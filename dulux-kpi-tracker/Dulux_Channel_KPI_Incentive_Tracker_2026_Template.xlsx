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Parameters" sheetId="2" state="visible" r:id="rId2"/>
    <sheet name="KPI_Framework" sheetId="3" state="visible" r:id="rId3"/>
    <sheet name="Team_Master" sheetId="4" state="visible" r:id="rId4"/>
    <sheet name="Weekly_Tracker" sheetId="5" state="visible" r:id="rId5"/>
    <sheet name="Target_FY" sheetId="6" state="visible" r:id="rId6"/>
    <sheet name="Actual_Monthly" sheetId="7" state="visible" r:id="rId7"/>
    <sheet name="Tracking" sheetId="8" state="visible" r:id="rId8"/>
    <sheet name="Incentive_Calc" sheetId="9" state="visible" r:id="rId9"/>
    <sheet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30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6100"/>
      <sz val="10"/>
    </font>
    <font>
      <name val="Arial"/>
      <i val="1"/>
      <color rgb="00808080"/>
      <sz val="9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C00000"/>
      <sz val="9"/>
    </font>
    <font>
      <name val="Arial"/>
      <b val="1"/>
      <color rgb="00FFFFFF"/>
      <sz val="9"/>
    </font>
    <font>
      <name val="Arial"/>
      <b val="1"/>
      <color rgb="00C00000"/>
      <sz val="10"/>
    </font>
    <font>
      <name val="Arial"/>
      <i val="1"/>
      <color rgb="00C00000"/>
      <sz val="9"/>
    </font>
    <font>
      <name val="Arial"/>
      <i val="1"/>
      <color rgb="00C00000"/>
      <sz val="10"/>
    </font>
    <font>
      <name val="Arial"/>
      <color rgb="000000FF"/>
      <sz val="10"/>
    </font>
    <font>
      <name val="Arial"/>
      <color rgb="00006100"/>
      <sz val="10"/>
    </font>
    <font>
      <name val="Arial"/>
      <color rgb="000000FF"/>
      <sz val="9"/>
    </font>
    <font>
      <name val="Arial"/>
      <b val="1"/>
      <color rgb="001F3864"/>
      <sz val="8"/>
    </font>
    <font>
      <name val="Arial"/>
      <b val="1"/>
      <color rgb="00006100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color rgb="00A6A6A6"/>
      <sz val="9"/>
    </font>
    <font>
      <name val="Arial"/>
      <b val="1"/>
      <color rgb="001F4E79"/>
      <sz val="11"/>
    </font>
    <font>
      <name val="Arial"/>
      <b val="1"/>
      <color rgb="00000000"/>
      <sz val="11"/>
    </font>
    <font>
      <name val="Arial"/>
      <color rgb="00C00000"/>
      <sz val="9"/>
    </font>
  </fonts>
  <fills count="1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DE7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548235"/>
      </patternFill>
    </fill>
    <fill>
      <patternFill patternType="solid">
        <fgColor rgb="00A9D08E"/>
      </patternFill>
    </fill>
    <fill>
      <patternFill patternType="solid">
        <fgColor rgb="0070AD47"/>
      </patternFill>
    </fill>
    <fill>
      <patternFill patternType="solid">
        <fgColor rgb="0040404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808080"/>
      </patternFill>
    </fill>
    <fill>
      <patternFill patternType="solid">
        <fgColor rgb="00BF8F00"/>
      </patternFill>
    </fill>
    <fill>
      <patternFill patternType="solid">
        <fgColor rgb="007F7F7F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1" fontId="6" fillId="4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4" fillId="0" borderId="1" pivotButton="0" quotePrefix="0" xfId="0"/>
    <xf numFmtId="9" fontId="4" fillId="3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7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1" pivotButton="0" quotePrefix="0" xfId="0"/>
    <xf numFmtId="0" fontId="6" fillId="4" borderId="1" pivotButton="0" quotePrefix="0" xfId="0"/>
    <xf numFmtId="0" fontId="5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15" fillId="0" borderId="1" pivotButton="0" quotePrefix="0" xfId="0"/>
    <xf numFmtId="9" fontId="5" fillId="3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1" fontId="5" fillId="0" borderId="1" applyAlignment="1" pivotButton="0" quotePrefix="0" xfId="0">
      <alignment horizontal="center" vertical="center"/>
    </xf>
    <xf numFmtId="0" fontId="18" fillId="4" borderId="1" pivotButton="0" quotePrefix="0" xfId="0"/>
    <xf numFmtId="1" fontId="18" fillId="4" borderId="1" applyAlignment="1" pivotButton="0" quotePrefix="0" xfId="0">
      <alignment horizontal="center" vertical="center"/>
    </xf>
    <xf numFmtId="164" fontId="18" fillId="4" borderId="1" pivotButton="0" quotePrefix="0" xfId="0"/>
    <xf numFmtId="164" fontId="5" fillId="0" borderId="1" pivotButton="0" quotePrefix="0" xfId="0"/>
    <xf numFmtId="164" fontId="19" fillId="0" borderId="1" pivotButton="0" quotePrefix="0" xfId="0"/>
    <xf numFmtId="0" fontId="20" fillId="4" borderId="1" pivotButton="0" quotePrefix="0" xfId="0"/>
    <xf numFmtId="164" fontId="4" fillId="3" borderId="1" pivotButton="0" quotePrefix="0" xfId="0"/>
    <xf numFmtId="0" fontId="11" fillId="13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22" fillId="14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3" fillId="3" borderId="1" applyAlignment="1" pivotButton="0" quotePrefix="0" xfId="0">
      <alignment horizontal="center" vertical="center"/>
    </xf>
    <xf numFmtId="165" fontId="4" fillId="3" borderId="1" pivotButton="0" quotePrefix="0" xfId="0"/>
    <xf numFmtId="165" fontId="24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25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26" fillId="0" borderId="1" pivotButton="0" quotePrefix="0" xfId="0"/>
    <xf numFmtId="0" fontId="19" fillId="0" borderId="1" applyAlignment="1" pivotButton="0" quotePrefix="0" xfId="0">
      <alignment horizontal="center" vertical="center"/>
    </xf>
    <xf numFmtId="0" fontId="19" fillId="0" borderId="1" pivotButton="0" quotePrefix="0" xfId="0"/>
    <xf numFmtId="164" fontId="4" fillId="5" borderId="1" pivotButton="0" quotePrefix="0" xfId="0"/>
    <xf numFmtId="164" fontId="6" fillId="4" borderId="1" pivotButton="0" quotePrefix="0" xfId="0"/>
    <xf numFmtId="0" fontId="13" fillId="0" borderId="1" applyAlignment="1" pivotButton="0" quotePrefix="0" xfId="0">
      <alignment horizontal="center" vertical="center"/>
    </xf>
    <xf numFmtId="0" fontId="26" fillId="15" borderId="1" pivotButton="0" quotePrefix="0" xfId="0"/>
    <xf numFmtId="0" fontId="19" fillId="15" borderId="1" applyAlignment="1" pivotButton="0" quotePrefix="0" xfId="0">
      <alignment horizontal="center" vertical="center"/>
    </xf>
    <xf numFmtId="0" fontId="19" fillId="15" borderId="1" pivotButton="0" quotePrefix="0" xfId="0"/>
    <xf numFmtId="164" fontId="19" fillId="15" borderId="1" pivotButton="0" quotePrefix="0" xfId="0"/>
    <xf numFmtId="164" fontId="5" fillId="15" borderId="1" pivotButton="0" quotePrefix="0" xfId="0"/>
    <xf numFmtId="0" fontId="27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 wrapText="1"/>
    </xf>
    <xf numFmtId="1" fontId="26" fillId="0" borderId="1" applyAlignment="1" pivotButton="0" quotePrefix="0" xfId="0">
      <alignment horizontal="center" vertical="center"/>
    </xf>
    <xf numFmtId="164" fontId="5" fillId="5" borderId="1" pivotButton="0" quotePrefix="0" xfId="0"/>
    <xf numFmtId="165" fontId="4" fillId="5" borderId="1" pivotButton="0" quotePrefix="0" xfId="0"/>
    <xf numFmtId="165" fontId="5" fillId="5" borderId="1" pivotButton="0" quotePrefix="0" xfId="0"/>
    <xf numFmtId="164" fontId="5" fillId="8" borderId="1" pivotButton="0" quotePrefix="0" xfId="0"/>
    <xf numFmtId="165" fontId="4" fillId="8" borderId="1" pivotButton="0" quotePrefix="0" xfId="0"/>
    <xf numFmtId="9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5" fillId="9" borderId="1" pivotButton="0" quotePrefix="0" xfId="0"/>
    <xf numFmtId="165" fontId="5" fillId="9" borderId="1" pivotButton="0" quotePrefix="0" xfId="0"/>
    <xf numFmtId="0" fontId="4" fillId="15" borderId="1" applyAlignment="1" pivotButton="0" quotePrefix="0" xfId="0">
      <alignment horizontal="center" vertical="center"/>
    </xf>
    <xf numFmtId="1" fontId="26" fillId="15" borderId="1" applyAlignment="1" pivotButton="0" quotePrefix="0" xfId="0">
      <alignment horizontal="center" vertical="center"/>
    </xf>
    <xf numFmtId="0" fontId="16" fillId="4" borderId="1" pivotButton="0" quotePrefix="0" xfId="0"/>
    <xf numFmtId="0" fontId="11" fillId="7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164" fontId="4" fillId="0" borderId="1" pivotButton="0" quotePrefix="0" xfId="0"/>
    <xf numFmtId="165" fontId="5" fillId="8" borderId="1" pivotButton="0" quotePrefix="0" xfId="0"/>
    <xf numFmtId="164" fontId="4" fillId="8" borderId="1" pivotButton="0" quotePrefix="0" xfId="0"/>
    <xf numFmtId="164" fontId="28" fillId="3" borderId="1" pivotButton="0" quotePrefix="0" xfId="0"/>
    <xf numFmtId="0" fontId="29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2" fillId="0" borderId="1" pivotButton="0" quotePrefix="0" xfId="0"/>
    <xf numFmtId="0" fontId="2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5" borderId="1" pivotButton="0" quotePrefix="0" xfId="0"/>
    <xf numFmtId="0" fontId="5" fillId="5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pivotButton="0" quotePrefix="0" xfId="0"/>
    <xf numFmtId="0" fontId="5" fillId="8" borderId="1" applyAlignment="1" pivotButton="0" quotePrefix="0" xfId="0">
      <alignment horizontal="center" vertical="center"/>
    </xf>
    <xf numFmtId="9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pivotButton="0" quotePrefix="0" xfId="0"/>
    <xf numFmtId="0" fontId="5" fillId="9" borderId="1" applyAlignment="1" pivotButton="0" quotePrefix="0" xfId="0">
      <alignment horizontal="center" vertical="center"/>
    </xf>
    <xf numFmtId="165" fontId="4" fillId="9" borderId="1" pivotButton="0" quotePrefix="0" xfId="0"/>
    <xf numFmtId="9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3" borderId="1" pivotButton="0" quotePrefix="0" xfId="0"/>
    <xf numFmtId="165" fontId="28" fillId="3" borderId="1" pivotButton="0" quotePrefix="0" xfId="0"/>
    <xf numFmtId="9" fontId="5" fillId="3" borderId="1" applyAlignment="1" pivotButton="0" quotePrefix="0" xfId="0">
      <alignment horizontal="center" vertical="center"/>
    </xf>
    <xf numFmtId="0" fontId="7" fillId="0" borderId="1" pivotButton="0" quotePrefix="0" xfId="0"/>
    <xf numFmtId="1" fontId="5" fillId="0" borderId="1" applyAlignment="1" pivotButton="0" quotePrefix="0" xfId="0">
      <alignment horizontal="center" vertical="center"/>
    </xf>
    <xf numFmtId="165" fontId="4" fillId="0" borderId="1" pivotButton="0" quotePrefix="0" xfId="0"/>
    <xf numFmtId="165" fontId="5" fillId="0" borderId="1" pivotButton="0" quotePrefix="0" xfId="0"/>
    <xf numFmtId="9" fontId="5" fillId="0" borderId="1" applyAlignment="1" pivotButton="0" quotePrefix="0" xfId="0">
      <alignment horizontal="center" vertical="center"/>
    </xf>
    <xf numFmtId="1" fontId="4" fillId="3" borderId="1" pivotButton="0" quotePrefix="0" xfId="0"/>
    <xf numFmtId="0" fontId="4" fillId="0" borderId="1" applyAlignment="1" pivotButton="0" quotePrefix="0" xfId="0">
      <alignment horizontal="center" vertical="center"/>
    </xf>
    <xf numFmtId="164" fontId="5" fillId="3" borderId="1" pivotButton="0" quotePrefix="0" xfId="0"/>
  </cellXfs>
  <cellStyles count="1">
    <cellStyle name="Normal" xfId="0" builtinId="0" hidden="0"/>
  </cellStyles>
  <dxfs count="7">
    <dxf>
      <font>
        <name val="Arial"/>
        <color rgb="009C0006"/>
        <sz val="9"/>
      </font>
      <fill>
        <patternFill patternType="solid">
          <fgColor rgb="00FFC7CE"/>
        </patternFill>
      </fill>
    </dxf>
    <dxf>
      <font>
        <name val="Arial"/>
        <color rgb="009C6500"/>
        <sz val="9"/>
      </font>
      <fill>
        <patternFill patternType="solid">
          <fgColor rgb="00FFEB9C"/>
        </patternFill>
      </fill>
    </dxf>
    <dxf>
      <font>
        <name val="Arial"/>
        <color rgb="00006100"/>
        <sz val="9"/>
      </font>
      <fill>
        <patternFill patternType="solid">
          <fgColor rgb="00C6EFCE"/>
        </patternFill>
      </fill>
    </dxf>
    <dxf>
      <font>
        <name val="Arial"/>
        <b val="1"/>
        <color rgb="00006100"/>
        <sz val="9"/>
      </font>
      <fill>
        <patternFill patternType="solid">
          <f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00" customWidth="1" min="3" max="3"/>
  </cols>
  <sheetData>
    <row r="2">
      <c r="B2" s="1" t="inlineStr">
        <is>
          <t>DULUX – SALES CHANNEL KPI &amp; INCENTIVE TRACKER 2026</t>
        </is>
      </c>
    </row>
    <row r="3">
      <c r="B3" s="2" t="inlineStr">
        <is>
          <t>Target → Phasing theo tuần → Actual → Performance tracking → Incentive</t>
        </is>
      </c>
    </row>
    <row r="5" ht="20" customHeight="1">
      <c r="B5" s="3" t="inlineStr">
        <is>
          <t>1. BỘ KPI ĐANG ÁP DỤNG</t>
        </is>
      </c>
    </row>
    <row r="6" ht="30" customHeight="1">
      <c r="B6" s="4" t="inlineStr">
        <is>
          <t>LEAD KPI – 70% – review &amp; trả theo QUÝ</t>
        </is>
      </c>
      <c r="C6" s="5" t="inlineStr">
        <is>
          <t>Invoiced Value 50%  +  Key account approach / Site check 20%.  Hai chỉ số đo được thường xuyên để các bạn chạy và review hàng tuần/hàng quý.</t>
        </is>
      </c>
    </row>
    <row r="7" ht="30" customHeight="1">
      <c r="B7" s="4" t="inlineStr">
        <is>
          <t>FOCUS KPI – 30% – chốt &amp; trả CUỐI NĂM</t>
        </is>
      </c>
      <c r="C7" s="5" t="inlineStr">
        <is>
          <t>Spec-in Value 15%  +  Engaged Architect (Submit Design) 15%.</t>
        </is>
      </c>
    </row>
    <row r="8" ht="30" customHeight="1">
      <c r="B8" s="4" t="inlineStr">
        <is>
          <t>Spec-in Design – theo dõi, weight 0%</t>
        </is>
      </c>
      <c r="C8" s="5" t="inlineStr">
        <is>
          <t>Số design nộp là chỉ số dẫn dắt của Spec-in Value (~50 MVND/design). Vẫn phase &amp; track như 4 KPI kia nhưng chưa tính điểm – nếu quyết định tính điểm thì chỉ cần gõ weight vào KPI_Framework!F10 và chia lại 4 KPI còn lại cho tổng = 100%.</t>
        </is>
      </c>
    </row>
    <row r="10" ht="20" customHeight="1">
      <c r="B10" s="3" t="inlineStr">
        <is>
          <t>2. QUY TRÌNH SỬ DỤNG / HOW TO USE</t>
        </is>
      </c>
    </row>
    <row r="11" ht="30" customHeight="1">
      <c r="B11" s="6" t="inlineStr">
        <is>
          <t>Bước 1 – Parameters</t>
        </is>
      </c>
      <c r="C11" s="7" t="inlineStr">
        <is>
          <t>Điền tên kênh, quý đang chốt. Chốt tỷ trọng Lead/Focus, đường trả thưởng (threshold–target–cap), pass gate, danh sách region.</t>
        </is>
      </c>
    </row>
    <row r="12" ht="30" customHeight="1">
      <c r="B12" s="6" t="inlineStr">
        <is>
          <t>Bước 2 – KPI_Framework</t>
        </is>
      </c>
      <c r="C12" s="7" t="inlineStr">
        <is>
          <t>Chốt 5 KPI và weight. Tổng weight phải = 100% (ô kiểm tra sẽ báo đỏ nếu lệch).</t>
        </is>
      </c>
    </row>
    <row r="13" ht="30" customHeight="1">
      <c r="B13" s="6" t="inlineStr">
        <is>
          <t>Bước 3 – Team_Master</t>
        </is>
      </c>
      <c r="C13" s="7" t="inlineStr">
        <is>
          <t>Nhập nhân sự: mã NV, team, region, line manager, area, số tháng hưởng, ATVP (quỹ thưởng mục tiêu cả năm).</t>
        </is>
      </c>
    </row>
    <row r="14" ht="30" customHeight="1">
      <c r="B14" s="6" t="inlineStr">
        <is>
          <t>Bước 4 – Target_FY</t>
        </is>
      </c>
      <c r="C14" s="7" t="inlineStr">
        <is>
          <t>Nhập FY Target chính thức của từng người cho từng KPI (cột G). Ví dụ: Site check 215 roadshow, Engaged architect 80 D&amp;B, Spec-in design 85, Spec-in value 4,250 MVND.</t>
        </is>
      </c>
    </row>
    <row r="15" ht="30" customHeight="1">
      <c r="B15" s="6" t="inlineStr">
        <is>
          <t>Bước 5 – Weekly_Tracker ⭐</t>
        </is>
      </c>
      <c r="C15" s="7" t="inlineStr">
        <is>
          <t>SHEET NHẬP LIỆU DUY NHẤT. Mỗi người 5 KPI × 3 dòng (Phasing / Actual / % Achieved), 12 tháng × 5 tuần. Phase target xuống từng tuần, hàng tuần điền Actual. Cột 'Check' ở Target_FY báo ngay nếu phasing cộng lại chưa khớp FY target.</t>
        </is>
      </c>
    </row>
    <row r="16" ht="30" customHeight="1">
      <c r="B16" s="6" t="inlineStr">
        <is>
          <t>Bước 6 – Target_FY &amp; Actual_Monthly</t>
        </is>
      </c>
      <c r="C16" s="7" t="inlineStr">
        <is>
          <t>Tự động: gom tuần → tháng → quý → luỹ kế YTD. Không nhập tay.</t>
        </is>
      </c>
    </row>
    <row r="17" ht="30" customHeight="1">
      <c r="B17" s="6" t="inlineStr">
        <is>
          <t>Bước 7 – Tracking</t>
        </is>
      </c>
      <c r="C17" s="7" t="inlineStr">
        <is>
          <t>Tự động: achievement luỹ kế theo quý, payout factor từng KPI, Lead factor, Focus factor, pass gate, trạng thái RAG.</t>
        </is>
      </c>
    </row>
    <row r="18" ht="30" customHeight="1">
      <c r="B18" s="6" t="inlineStr">
        <is>
          <t>Bước 8 – Incentive_Calc</t>
        </is>
      </c>
      <c r="C18" s="7" t="inlineStr">
        <is>
          <t>Tự động: tiền Lead trả từng quý + Focus trả cuối năm + tổng FY của từng người.</t>
        </is>
      </c>
    </row>
    <row r="19" ht="30" customHeight="1">
      <c r="B19" s="6" t="inlineStr">
        <is>
          <t>Bước 9 – Dashboard</t>
        </is>
      </c>
      <c r="C19" s="7" t="inlineStr">
        <is>
          <t>Toàn kênh / theo region / theo từng người tại quý chọn ở Parameters!C7.</t>
        </is>
      </c>
    </row>
    <row r="21" ht="20" customHeight="1">
      <c r="B21" s="3" t="inlineStr">
        <is>
          <t>3. QUY TẮC TÍNH / CALCULATION RULES</t>
        </is>
      </c>
    </row>
    <row r="22" ht="30" customHeight="1">
      <c r="B22" s="6" t="inlineStr">
        <is>
          <t>Lead KPI – 70%</t>
        </is>
      </c>
      <c r="C22" s="7" t="inlineStr">
        <is>
          <t>Đo LUỸ KẾ theo quý (Q3 = Jan–Sep). Tiền quý n = Lead pot × n/4 × factor luỹ kế đến quý n − số đã trả các quý trước.</t>
        </is>
      </c>
    </row>
    <row r="23" ht="30" customHeight="1">
      <c r="B23" s="6" t="inlineStr">
        <is>
          <t>Focus KPI – 30%</t>
        </is>
      </c>
      <c r="C23" s="7" t="inlineStr">
        <is>
          <t>Đo luỹ kế cả năm, trả 1 lần sau khi chốt Q4, tối đa 150%.</t>
        </is>
      </c>
    </row>
    <row r="24" ht="30" customHeight="1">
      <c r="B24" s="6" t="inlineStr">
        <is>
          <t>Payout curve</t>
        </is>
      </c>
      <c r="C24" s="7" t="inlineStr">
        <is>
          <t>&lt; 80% → 0%.  80% → 50%.  100% → 100%.  ≥ 120% → 150% (trần). Nội suy tuyến tính giữa các mốc. Sửa mốc tại Parameters mục C.</t>
        </is>
      </c>
    </row>
    <row r="25" ht="30" customHeight="1">
      <c r="B25" s="6" t="inlineStr">
        <is>
          <t>Pass gate</t>
        </is>
      </c>
      <c r="C25" s="7" t="inlineStr">
        <is>
          <t>Kết quả Focus KPI khoá tiền Lead KPI: Focus ≥100% mở 100%; ≥90% mở 90%; ≥80% mở 80%; &lt;80% không trả. Bật/tắt tại Parameters!C23.</t>
        </is>
      </c>
    </row>
    <row r="26" ht="30" customHeight="1">
      <c r="B26" s="6" t="inlineStr">
        <is>
          <t>Prorate</t>
        </is>
      </c>
      <c r="C26" s="7" t="inlineStr">
        <is>
          <t>Người vào/ra giữa năm: điền số tháng hưởng ở Team_Master cột K, ATVP tự prorate.</t>
        </is>
      </c>
    </row>
    <row r="28" ht="20" customHeight="1">
      <c r="B28" s="3" t="inlineStr">
        <is>
          <t>4. QUY ƯỚC MÀU / COLOR LEGEND</t>
        </is>
      </c>
    </row>
    <row r="29" ht="30" customHeight="1">
      <c r="B29" s="8" t="inlineStr">
        <is>
          <t>Chữ XANH DƯƠNG trên nền vàng nhạt</t>
        </is>
      </c>
      <c r="C29" s="9" t="inlineStr">
        <is>
          <t>Ô NHẬP LIỆU – chỉ gõ vào các ô này (Weekly_Tracker, Target_FY cột G, Team_Master, Parameters).</t>
        </is>
      </c>
    </row>
    <row r="30" ht="30" customHeight="1">
      <c r="B30" s="6" t="inlineStr">
        <is>
          <t>Chữ ĐEN</t>
        </is>
      </c>
      <c r="C30" s="7" t="inlineStr">
        <is>
          <t>Công thức – không sửa.</t>
        </is>
      </c>
    </row>
    <row r="31" ht="30" customHeight="1">
      <c r="B31" s="10" t="inlineStr">
        <is>
          <t>Chữ XANH LÁ</t>
        </is>
      </c>
      <c r="C31" s="7" t="inlineStr">
        <is>
          <t>Lấy từ sheet khác – không sửa.</t>
        </is>
      </c>
    </row>
    <row r="32" ht="30" customHeight="1">
      <c r="B32" s="11" t="inlineStr">
        <is>
          <t>Nền xanh nhạt / vàng nhạt / xám</t>
        </is>
      </c>
      <c r="C32" s="12" t="inlineStr">
        <is>
          <t>Nhóm Lead KPI · nhóm Focus KPI · KPI chỉ theo dõi.</t>
        </is>
      </c>
    </row>
    <row r="34" ht="20" customHeight="1">
      <c r="B34" s="3" t="inlineStr">
        <is>
          <t>5. ĐIỂM CẦN CHỐT VỚI HR / BU</t>
        </is>
      </c>
    </row>
    <row r="35" ht="30" customHeight="1">
      <c r="B35" s="13" t="inlineStr">
        <is>
          <t>a. KPI thứ 5 có tính điểm không?</t>
        </is>
      </c>
      <c r="C35" s="14" t="inlineStr">
        <is>
          <t>Hiện Spec-in Design để weight 0%. Nếu chốt tính điểm cho đủ 5 mục thì chia lại weight (VD Focus 30% = Spec-in value 10% + Engaged 10% + Design 10%).</t>
        </is>
      </c>
    </row>
    <row r="36" ht="30" customHeight="1">
      <c r="B36" s="13" t="inlineStr">
        <is>
          <t>b. Payout tại ngưỡng 80%</t>
        </is>
      </c>
      <c r="C36" s="14" t="inlineStr">
        <is>
          <t>Đang giả định 50%. File Product Consultant chỉ ghi performance range 80–120, không ghi mức trả tại 80%.</t>
        </is>
      </c>
    </row>
    <row r="37" ht="30" customHeight="1">
      <c r="B37" s="13" t="inlineStr">
        <is>
          <t>c. Hai bậc giữa của pass gate</t>
        </is>
      </c>
      <c r="C37" s="14" t="inlineStr">
        <is>
          <t>File mẫu chỉ ghi ≥100% trả 100% và &lt;80% trả 0%; mức 90% và 80% đang giả định 90%/80%.</t>
        </is>
      </c>
    </row>
    <row r="38" ht="30" customHeight="1">
      <c r="B38" s="13" t="inlineStr">
        <is>
          <t>d. Định nghĩa Site check hợp lệ</t>
        </is>
      </c>
      <c r="C38" s="14" t="inlineStr">
        <is>
          <t>Cần chốt: thế nào là 1 roadshow/site check được tính (check-in trên app? có biên bản? tối thiểu bao nhiêu phút?).</t>
        </is>
      </c>
    </row>
    <row r="39" ht="30" customHeight="1">
      <c r="B39" s="13" t="inlineStr">
        <is>
          <t>e. Định nghĩa Engaged Architect</t>
        </is>
      </c>
      <c r="C39" s="14" t="inlineStr">
        <is>
          <t>Tính theo tài khoản KTS duy nhất/năm hay theo lượt submit? Điều kiện ghi nhận trên CRM.</t>
        </is>
      </c>
    </row>
    <row r="40" ht="30" customHeight="1">
      <c r="B40" s="13" t="inlineStr">
        <is>
          <t>f. Spec-in Value</t>
        </is>
      </c>
      <c r="C40" s="14" t="inlineStr">
        <is>
          <t>Ghi nhận lúc spec-in hay lúc convert ra đơn? Xử lý thế nào khi dự án rớt?</t>
        </is>
      </c>
    </row>
    <row r="41" ht="30" customHeight="1">
      <c r="B41" s="13" t="inlineStr">
        <is>
          <t>g. ATVP từng người</t>
        </is>
      </c>
      <c r="C41" s="14" t="inlineStr">
        <is>
          <t>Do HR cấp – file đang để số minh hoạ.</t>
        </is>
      </c>
    </row>
    <row r="42" ht="30" customHeight="1">
      <c r="B42" s="13" t="inlineStr">
        <is>
          <t>h. Clawback</t>
        </is>
      </c>
      <c r="C42" s="14" t="inlineStr">
        <is>
          <t>Mặc định KHÔNG thu hồi khi quý sau tụt (Parameters!C31 = N).</t>
        </is>
      </c>
    </row>
    <row r="44" ht="20" customHeight="1">
      <c r="B44" s="3" t="inlineStr">
        <is>
          <t>6. DỮ LIỆU MẪU</t>
        </is>
      </c>
    </row>
    <row r="45" ht="30" customHeight="1">
      <c r="B45" s="6" t="inlineStr">
        <is>
          <t>6 nhân sự mẫu (SE-001…SE-006)</t>
        </is>
      </c>
      <c r="C45" s="7" t="inlineStr">
        <is>
          <t>Phasing cả năm + Actual Jan–Sep là SỐ MINH HOẠ. Xoá trước khi dùng thật: xoá dòng 6–11 ở Team_Master, xoá vùng tuần ở Weekly_Tracker và cột G ở Target_FY.</t>
        </is>
      </c>
    </row>
    <row r="46" ht="30" customHeight="1">
      <c r="B46" s="6" t="inlineStr">
        <is>
          <t>Không chèn/xoá dòng giữa bảng</t>
        </is>
      </c>
      <c r="C46" s="7" t="inlineStr">
        <is>
          <t>Target_FY / Actual_Monthly / Weekly_Tracker / Tracking / Incentive_Calc khớp dòng theo đúng thứ tự Team_Master. Template có sẵn 15 slot nhân sự.</t>
        </is>
      </c>
    </row>
    <row r="48">
      <c r="B48" s="15" t="inlineStr">
        <is>
          <t>Version 2.0 · 2026-09-17 · bộ KPI: Invoiced Value / Site check / Spec-in Value / Engaged Architect / Spec-in Design</t>
        </is>
      </c>
    </row>
  </sheetData>
  <mergeCells count="6">
    <mergeCell ref="B21:C21"/>
    <mergeCell ref="B44:C44"/>
    <mergeCell ref="B5:C5"/>
    <mergeCell ref="B34:C34"/>
    <mergeCell ref="B10:C10"/>
    <mergeCell ref="B28:C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62" customWidth="1" min="4" max="4"/>
  </cols>
  <sheetData>
    <row r="2">
      <c r="B2" s="16" t="inlineStr">
        <is>
          <t>PARAMETERS / THÔNG SỐ ĐIỀU KHIỂN</t>
        </is>
      </c>
    </row>
    <row r="3">
      <c r="B3" s="17" t="inlineStr">
        <is>
          <t>Tất cả sheet khác lấy thông số từ đây. Chỉ sửa ô màu vàng.</t>
        </is>
      </c>
    </row>
    <row r="5">
      <c r="B5" s="18" t="inlineStr">
        <is>
          <t>A. THÔNG TIN CHUNG / GENERAL</t>
        </is>
      </c>
      <c r="C5" s="19" t="n"/>
      <c r="D5" s="20" t="n"/>
    </row>
    <row r="6">
      <c r="B6" s="7" t="inlineStr">
        <is>
          <t>Sales channel / Tên kênh</t>
        </is>
      </c>
      <c r="C6" s="21" t="inlineStr">
        <is>
          <t>Dulux – &lt;điền tên kênh&gt;</t>
        </is>
      </c>
      <c r="D6" s="22" t="inlineStr">
        <is>
          <t>VD: Project / Specification channel.</t>
        </is>
      </c>
    </row>
    <row r="7">
      <c r="B7" s="7" t="inlineStr">
        <is>
          <t>Quý đang chốt (1–4) / Reporting quarter</t>
        </is>
      </c>
      <c r="C7" s="23" t="n">
        <v>3</v>
      </c>
      <c r="D7" s="22" t="inlineStr">
        <is>
          <t>Dashboard hiển thị luỹ kế đến quý này.</t>
        </is>
      </c>
    </row>
    <row r="8">
      <c r="B8" s="7" t="inlineStr">
        <is>
          <t>Đơn vị tiền / Currency unit</t>
        </is>
      </c>
      <c r="C8" s="21" t="inlineStr">
        <is>
          <t>MVND</t>
        </is>
      </c>
      <c r="D8" s="22" t="inlineStr">
        <is>
          <t>Triệu đồng – giữ nhất quán mọi sheet.</t>
        </is>
      </c>
    </row>
    <row r="9">
      <c r="B9" s="18" t="inlineStr">
        <is>
          <t>B. CHIA TỶ TRỌNG THƯỞNG / VARIABLE PAY SPLIT</t>
        </is>
      </c>
      <c r="C9" s="19" t="n"/>
      <c r="D9" s="20" t="n"/>
    </row>
    <row r="10">
      <c r="B10" s="7" t="inlineStr">
        <is>
          <t>Lead KPI share – trả theo QUÝ</t>
        </is>
      </c>
      <c r="C10" s="24" t="n">
        <v>0.7</v>
      </c>
      <c r="D10" s="22" t="inlineStr"/>
    </row>
    <row r="11">
      <c r="B11" s="7" t="inlineStr">
        <is>
          <t>Focus KPI share – trả theo NĂM</t>
        </is>
      </c>
      <c r="C11" s="24" t="n">
        <v>0.3</v>
      </c>
      <c r="D11" s="22" t="inlineStr"/>
    </row>
    <row r="12">
      <c r="B12" s="25" t="inlineStr">
        <is>
          <t>Check = 100%</t>
        </is>
      </c>
      <c r="C12" s="26">
        <f>C10+C11</f>
        <v/>
      </c>
      <c r="D12" s="27">
        <f>IF(ROUND(C10+C11,6)=1,"OK","LỖI: tổng phải = 100%")</f>
        <v/>
      </c>
    </row>
    <row r="13">
      <c r="B13" s="18" t="inlineStr">
        <is>
          <t>C. ĐƯỜNG TRẢ THƯỞNG / PAYOUT CURVE</t>
        </is>
      </c>
      <c r="C13" s="19" t="n"/>
      <c r="D13" s="20" t="n"/>
    </row>
    <row r="14">
      <c r="B14" s="28" t="inlineStr">
        <is>
          <t>Mốc / Point</t>
        </is>
      </c>
      <c r="C14" s="28" t="inlineStr">
        <is>
          <t>Giá trị</t>
        </is>
      </c>
      <c r="D14" s="28" t="inlineStr">
        <is>
          <t>Ghi chú</t>
        </is>
      </c>
    </row>
    <row r="15">
      <c r="B15" s="7" t="inlineStr">
        <is>
          <t>Threshold achievement (dưới mức này = 0đ)</t>
        </is>
      </c>
      <c r="C15" s="24" t="n">
        <v>0.8</v>
      </c>
      <c r="D15" s="22" t="inlineStr">
        <is>
          <t>Performance range 80–120 theo file mẫu.</t>
        </is>
      </c>
    </row>
    <row r="16">
      <c r="B16" s="7" t="inlineStr">
        <is>
          <t>Payout tại threshold</t>
        </is>
      </c>
      <c r="C16" s="24" t="n">
        <v>0.5</v>
      </c>
      <c r="D16" s="22" t="inlineStr">
        <is>
          <t>GIẢ ĐỊNH – cần HR xác nhận.</t>
        </is>
      </c>
    </row>
    <row r="17">
      <c r="B17" s="7" t="inlineStr">
        <is>
          <t>Target achievement</t>
        </is>
      </c>
      <c r="C17" s="24" t="n">
        <v>1</v>
      </c>
      <c r="D17" s="22" t="inlineStr"/>
    </row>
    <row r="18">
      <c r="B18" s="7" t="inlineStr">
        <is>
          <t>Payout tại target</t>
        </is>
      </c>
      <c r="C18" s="24" t="n">
        <v>1</v>
      </c>
      <c r="D18" s="22" t="inlineStr"/>
    </row>
    <row r="19">
      <c r="B19" s="7" t="inlineStr">
        <is>
          <t>Max achievement (cap)</t>
        </is>
      </c>
      <c r="C19" s="24" t="n">
        <v>1.2</v>
      </c>
      <c r="D19" s="22" t="inlineStr"/>
    </row>
    <row r="20">
      <c r="B20" s="7" t="inlineStr">
        <is>
          <t>Payout tại cap</t>
        </is>
      </c>
      <c r="C20" s="24" t="n">
        <v>1.5</v>
      </c>
      <c r="D20" s="22" t="inlineStr">
        <is>
          <t>Trần 150% theo ghi chú file mẫu.</t>
        </is>
      </c>
    </row>
    <row r="21">
      <c r="B21" s="29" t="inlineStr">
        <is>
          <t>Giữa các mốc: nội suy tuyến tính. Trên cap: giữ nguyên mức cap.</t>
        </is>
      </c>
    </row>
    <row r="22">
      <c r="B22" s="18" t="inlineStr">
        <is>
          <t>D. PASS GATE – Focus KPI khoá tiền Lead KPI</t>
        </is>
      </c>
      <c r="C22" s="19" t="n"/>
      <c r="D22" s="20" t="n"/>
    </row>
    <row r="23">
      <c r="B23" s="7" t="inlineStr">
        <is>
          <t>Gate ON / OFF</t>
        </is>
      </c>
      <c r="C23" s="21" t="inlineStr">
        <is>
          <t>ON</t>
        </is>
      </c>
      <c r="D23" s="22" t="inlineStr">
        <is>
          <t>OFF = trả đủ Lead KPI, bỏ qua gate.</t>
        </is>
      </c>
    </row>
    <row r="24">
      <c r="B24" s="28" t="inlineStr">
        <is>
          <t>Focus KPI achievement ≥</t>
        </is>
      </c>
      <c r="C24" s="28" t="inlineStr">
        <is>
          <t>% tiền Lead được trả</t>
        </is>
      </c>
      <c r="D24" s="28" t="inlineStr">
        <is>
          <t>Ghi chú</t>
        </is>
      </c>
    </row>
    <row r="25">
      <c r="B25" s="24" t="n">
        <v>1</v>
      </c>
      <c r="C25" s="24" t="n">
        <v>1</v>
      </c>
      <c r="D25" s="22" t="inlineStr">
        <is>
          <t>Theo file mẫu: ≥100% → trả 100%.</t>
        </is>
      </c>
    </row>
    <row r="26">
      <c r="B26" s="24" t="n">
        <v>0.9</v>
      </c>
      <c r="C26" s="24" t="n">
        <v>0.9</v>
      </c>
      <c r="D26" s="22" t="inlineStr">
        <is>
          <t>GIẢ ĐỊNH – cần chốt.</t>
        </is>
      </c>
    </row>
    <row r="27">
      <c r="B27" s="24" t="n">
        <v>0.8</v>
      </c>
      <c r="C27" s="24" t="n">
        <v>0.8</v>
      </c>
      <c r="D27" s="22" t="inlineStr">
        <is>
          <t>GIẢ ĐỊNH – cần chốt.</t>
        </is>
      </c>
    </row>
    <row r="28">
      <c r="B28" s="21" t="inlineStr">
        <is>
          <t>&lt; 80%</t>
        </is>
      </c>
      <c r="C28" s="24" t="n">
        <v>0</v>
      </c>
      <c r="D28" s="22" t="inlineStr">
        <is>
          <t>Theo file mẫu: &lt;80% → trả 0%.</t>
        </is>
      </c>
    </row>
    <row r="29">
      <c r="B29" s="18" t="inlineStr">
        <is>
          <t>E. TRUE-UP / CLAWBACK</t>
        </is>
      </c>
      <c r="C29" s="19" t="n"/>
      <c r="D29" s="20" t="n"/>
    </row>
    <row r="30">
      <c r="B30" s="30" t="inlineStr">
        <is>
          <t>Cơ chế luỹ kế: tiền quý = số hưởng luỹ kế − số đã trả.</t>
        </is>
      </c>
    </row>
    <row r="31">
      <c r="B31" s="7" t="inlineStr">
        <is>
          <t>Cho phép true-up âm (thu hồi) Y/N</t>
        </is>
      </c>
      <c r="C31" s="21" t="inlineStr">
        <is>
          <t>N</t>
        </is>
      </c>
      <c r="D31" s="22" t="inlineStr">
        <is>
          <t>N = quý tụt thì trả 0, không thu hồi.</t>
        </is>
      </c>
    </row>
    <row r="32">
      <c r="B32" s="18" t="inlineStr">
        <is>
          <t>F. DANH SÁCH REGION / REGION LIST</t>
        </is>
      </c>
      <c r="C32" s="19" t="n"/>
      <c r="D32" s="20" t="n"/>
    </row>
    <row r="33">
      <c r="B33" s="31" t="inlineStr">
        <is>
          <t>HA NOI</t>
        </is>
      </c>
      <c r="D33" s="22" t="inlineStr">
        <is>
          <t>Sửa/thêm region tại B33:B40 – Dashboard đọc đúng danh sách này.</t>
        </is>
      </c>
    </row>
    <row r="34">
      <c r="B34" s="31" t="inlineStr">
        <is>
          <t>HCMC</t>
        </is>
      </c>
    </row>
    <row r="35">
      <c r="B35" s="31" t="inlineStr">
        <is>
          <t>NORTH</t>
        </is>
      </c>
    </row>
    <row r="36">
      <c r="B36" s="31" t="inlineStr">
        <is>
          <t>NCENT</t>
        </is>
      </c>
    </row>
    <row r="37">
      <c r="B37" s="31" t="inlineStr">
        <is>
          <t>SCENT</t>
        </is>
      </c>
    </row>
    <row r="38">
      <c r="B38" s="31" t="inlineStr">
        <is>
          <t>HCMEX</t>
        </is>
      </c>
    </row>
    <row r="39">
      <c r="B39" s="31" t="inlineStr">
        <is>
          <t>MEKONG</t>
        </is>
      </c>
    </row>
    <row r="40">
      <c r="B40" s="31" t="inlineStr"/>
    </row>
    <row r="41">
      <c r="B41" s="18" t="inlineStr">
        <is>
          <t>G. LỊCH QUÝ / THÁNG / TUẦN</t>
        </is>
      </c>
      <c r="C41" s="19" t="n"/>
      <c r="D41" s="20" t="n"/>
    </row>
    <row r="42">
      <c r="B42" s="32" t="inlineStr">
        <is>
          <t>Q1 = Jan–Mar · Q2 = Apr–Jun · Q3 = Jul–Sep · Q4 = Oct–Dec</t>
        </is>
      </c>
      <c r="D42" s="22" t="inlineStr">
        <is>
          <t>Weekly_Tracker: mỗi tháng có 5 ô tuần (W1–W5); tháng chỉ có 4 tuần thì để trống W5.</t>
        </is>
      </c>
    </row>
  </sheetData>
  <mergeCells count="7">
    <mergeCell ref="B5:D5"/>
    <mergeCell ref="B41:D41"/>
    <mergeCell ref="B22:D22"/>
    <mergeCell ref="B32:D32"/>
    <mergeCell ref="B9:D9"/>
    <mergeCell ref="B13:D13"/>
    <mergeCell ref="B29:D29"/>
  </mergeCells>
  <dataValidations count="3">
    <dataValidation sqref="C23" showDropDown="0" showInputMessage="0" showErrorMessage="0" allowBlank="1" type="list">
      <formula1>"ON,OFF"</formula1>
    </dataValidation>
    <dataValidation sqref="C31" showDropDown="0" showInputMessage="0" showErrorMessage="0" allowBlank="1" type="list">
      <formula1>"Y,N"</formula1>
    </dataValidation>
    <dataValidation sqref="C7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L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32" customWidth="1" min="3" max="3"/>
    <col width="30" customWidth="1" min="4" max="4"/>
    <col width="11" customWidth="1" min="5" max="5"/>
    <col width="10" customWidth="1" min="6" max="6"/>
    <col width="11" customWidth="1" min="7" max="7"/>
    <col width="20" customWidth="1" min="8" max="8"/>
    <col width="12" customWidth="1" min="9" max="9"/>
    <col width="13" customWidth="1" min="10" max="10"/>
    <col width="22" customWidth="1" min="11" max="11"/>
    <col width="56" customWidth="1" min="12" max="12"/>
  </cols>
  <sheetData>
    <row r="2">
      <c r="B2" s="16" t="inlineStr">
        <is>
          <t>2026 KPIs OF SALES FORCE INCENTIVE – &lt;TÊN KÊNH&gt; – FY2026</t>
        </is>
      </c>
    </row>
    <row r="3">
      <c r="B3" s="17" t="inlineStr">
        <is>
          <t>Tracking / Incentive đọc weight trực tiếp từ cột Weight bên dưới. Sửa weight ở đây là cả file đổi theo.</t>
        </is>
      </c>
    </row>
    <row r="5" ht="36" customHeight="1">
      <c r="B5" s="28" t="inlineStr">
        <is>
          <t>KPI code</t>
        </is>
      </c>
      <c r="C5" s="28" t="inlineStr">
        <is>
          <t>KPI (EN)</t>
        </is>
      </c>
      <c r="D5" s="28" t="inlineStr">
        <is>
          <t>Tên KPI (VN)</t>
        </is>
      </c>
      <c r="E5" s="28" t="inlineStr">
        <is>
          <t>Group</t>
        </is>
      </c>
      <c r="F5" s="28" t="inlineStr">
        <is>
          <t>Weight</t>
        </is>
      </c>
      <c r="G5" s="28" t="inlineStr">
        <is>
          <t>Weight in group</t>
        </is>
      </c>
      <c r="H5" s="28" t="inlineStr">
        <is>
          <t>Measurement frequency</t>
        </is>
      </c>
      <c r="I5" s="28" t="inlineStr">
        <is>
          <t>Payout</t>
        </is>
      </c>
      <c r="J5" s="28" t="inlineStr">
        <is>
          <t>Unit</t>
        </is>
      </c>
      <c r="K5" s="28" t="inlineStr">
        <is>
          <t>Data source</t>
        </is>
      </c>
      <c r="L5" s="28" t="inlineStr">
        <is>
          <t>Định nghĩa / Definition</t>
        </is>
      </c>
    </row>
    <row r="6" ht="32" customHeight="1">
      <c r="B6" s="63" t="inlineStr">
        <is>
          <t>K1</t>
        </is>
      </c>
      <c r="C6" s="11" t="inlineStr">
        <is>
          <t>Invoiced Value</t>
        </is>
      </c>
      <c r="D6" s="12" t="inlineStr">
        <is>
          <t>Doanh số xuất hoá đơn</t>
        </is>
      </c>
      <c r="E6" s="64" t="inlineStr">
        <is>
          <t>Lead</t>
        </is>
      </c>
      <c r="F6" s="24" t="n">
        <v>0.5</v>
      </c>
      <c r="G6" s="35">
        <f>IFERROR(F6/SUMIF($E$6:$E$10,E6,$F$6:$F$10),0)</f>
        <v/>
      </c>
      <c r="H6" s="64" t="inlineStr">
        <is>
          <t>Quarterly cumulative</t>
        </is>
      </c>
      <c r="I6" s="64" t="inlineStr">
        <is>
          <t>Quarterly</t>
        </is>
      </c>
      <c r="J6" s="64" t="inlineStr">
        <is>
          <t>MVND</t>
        </is>
      </c>
      <c r="K6" s="12" t="inlineStr">
        <is>
          <t>DERP / Invoice report</t>
        </is>
      </c>
      <c r="L6" s="7" t="inlineStr">
        <is>
          <t>Giá trị hoá đơn thực xuất cho khách hàng / dự án thuộc danh sách phụ trách.</t>
        </is>
      </c>
    </row>
    <row r="7" ht="32" customHeight="1">
      <c r="B7" s="63" t="inlineStr">
        <is>
          <t>K2</t>
        </is>
      </c>
      <c r="C7" s="11" t="inlineStr">
        <is>
          <t>Key account approach / Site check</t>
        </is>
      </c>
      <c r="D7" s="12" t="inlineStr">
        <is>
          <t>Site check – tiếp cận key account</t>
        </is>
      </c>
      <c r="E7" s="64" t="inlineStr">
        <is>
          <t>Lead</t>
        </is>
      </c>
      <c r="F7" s="24" t="n">
        <v>0.2</v>
      </c>
      <c r="G7" s="35">
        <f>IFERROR(F7/SUMIF($E$6:$E$10,E7,$F$6:$F$10),0)</f>
        <v/>
      </c>
      <c r="H7" s="64" t="inlineStr">
        <is>
          <t>Quarterly cumulative</t>
        </is>
      </c>
      <c r="I7" s="64" t="inlineStr">
        <is>
          <t>Quarterly</t>
        </is>
      </c>
      <c r="J7" s="64" t="inlineStr">
        <is>
          <t>Roadshow</t>
        </is>
      </c>
      <c r="K7" s="12" t="inlineStr">
        <is>
          <t>Mini Sales app / CRM</t>
        </is>
      </c>
      <c r="L7" s="7" t="inlineStr">
        <is>
          <t>Số lượt roadshow / site check hợp lệ (có check-in, có biên bản trên app).</t>
        </is>
      </c>
    </row>
    <row r="8" ht="32" customHeight="1">
      <c r="B8" s="71" t="inlineStr">
        <is>
          <t>K3</t>
        </is>
      </c>
      <c r="C8" s="37" t="inlineStr">
        <is>
          <t>Spec-in Value</t>
        </is>
      </c>
      <c r="D8" s="38" t="inlineStr">
        <is>
          <t>Giá trị dự án được chỉ định</t>
        </is>
      </c>
      <c r="E8" s="72" t="inlineStr">
        <is>
          <t>Focus</t>
        </is>
      </c>
      <c r="F8" s="24" t="n">
        <v>0.15</v>
      </c>
      <c r="G8" s="35">
        <f>IFERROR(F8/SUMIF($E$6:$E$10,E8,$F$6:$F$10),0)</f>
        <v/>
      </c>
      <c r="H8" s="72" t="inlineStr">
        <is>
          <t>Yearly cumulative</t>
        </is>
      </c>
      <c r="I8" s="72" t="inlineStr">
        <is>
          <t>Annual</t>
        </is>
      </c>
      <c r="J8" s="72" t="inlineStr">
        <is>
          <t>MVND</t>
        </is>
      </c>
      <c r="K8" s="38" t="inlineStr">
        <is>
          <t>CRM</t>
        </is>
      </c>
      <c r="L8" s="7" t="inlineStr">
        <is>
          <t>Giá trị dự án Dulux được spec-in trong năm (chuẩn ~50 MVND / design).</t>
        </is>
      </c>
    </row>
    <row r="9" ht="32" customHeight="1">
      <c r="B9" s="71" t="inlineStr">
        <is>
          <t>K4</t>
        </is>
      </c>
      <c r="C9" s="37" t="inlineStr">
        <is>
          <t>Engaged Architect (Submit Design)</t>
        </is>
      </c>
      <c r="D9" s="38" t="inlineStr">
        <is>
          <t>Kiến trúc sư engaged (nộp design)</t>
        </is>
      </c>
      <c r="E9" s="72" t="inlineStr">
        <is>
          <t>Focus</t>
        </is>
      </c>
      <c r="F9" s="24" t="n">
        <v>0.15</v>
      </c>
      <c r="G9" s="35">
        <f>IFERROR(F9/SUMIF($E$6:$E$10,E9,$F$6:$F$10),0)</f>
        <v/>
      </c>
      <c r="H9" s="72" t="inlineStr">
        <is>
          <t>Yearly cumulative</t>
        </is>
      </c>
      <c r="I9" s="72" t="inlineStr">
        <is>
          <t>Annual</t>
        </is>
      </c>
      <c r="J9" s="72" t="inlineStr">
        <is>
          <t>D&amp;B</t>
        </is>
      </c>
      <c r="K9" s="38" t="inlineStr">
        <is>
          <t>CRM</t>
        </is>
      </c>
      <c r="L9" s="7" t="inlineStr">
        <is>
          <t>Số KTS/nhà thầu D&amp;B engaged – tính theo tài khoản duy nhất có submit design trong năm.</t>
        </is>
      </c>
    </row>
    <row r="10" ht="32" customHeight="1">
      <c r="B10" s="73" t="inlineStr">
        <is>
          <t>K5</t>
        </is>
      </c>
      <c r="C10" s="41" t="inlineStr">
        <is>
          <t>Spec-in Design (submitted design)</t>
        </is>
      </c>
      <c r="D10" s="42" t="inlineStr">
        <is>
          <t>Số design được nộp</t>
        </is>
      </c>
      <c r="E10" s="74" t="inlineStr">
        <is>
          <t>Tracking</t>
        </is>
      </c>
      <c r="F10" s="24" t="n">
        <v>0</v>
      </c>
      <c r="G10" s="35">
        <f>IFERROR(F10/SUMIF($E$6:$E$10,E10,$F$6:$F$10),0)</f>
        <v/>
      </c>
      <c r="H10" s="74" t="inlineStr">
        <is>
          <t>Yearly cumulative</t>
        </is>
      </c>
      <c r="I10" s="74" t="inlineStr">
        <is>
          <t>n/a</t>
        </is>
      </c>
      <c r="J10" s="74" t="inlineStr">
        <is>
          <t>Designs</t>
        </is>
      </c>
      <c r="K10" s="42" t="inlineStr">
        <is>
          <t>CRM</t>
        </is>
      </c>
      <c r="L10" s="7" t="inlineStr">
        <is>
          <t>Chỉ số dẫn dắt của K3 (design x 50 MVND). Weight 0 – chỉ theo dõi, chưa tính điểm.</t>
        </is>
      </c>
    </row>
    <row r="11">
      <c r="E11" s="44" t="inlineStr">
        <is>
          <t>TOTAL</t>
        </is>
      </c>
      <c r="F11" s="26">
        <f>SUM(F6:F10)</f>
        <v/>
      </c>
      <c r="H11" s="45">
        <f>IF(ROUND(SUM(F6:F10),6)=1,"OK – tổng weight = 100%","LỖI: tổng weight phải = 100%")</f>
        <v/>
      </c>
    </row>
    <row r="12">
      <c r="E12" s="44" t="inlineStr">
        <is>
          <t>Lead group</t>
        </is>
      </c>
      <c r="F12" s="105">
        <f>SUMIF($E$6:$E$10,"Lead",$F$6:$F$10)</f>
        <v/>
      </c>
      <c r="H12" s="45">
        <f>IF(ROUND(F12,6)=ROUND(Parameters!$C$10,6),"OK – khớp Parameters","LỆCH so với Parameters!C10")</f>
        <v/>
      </c>
    </row>
    <row r="13">
      <c r="E13" s="44" t="inlineStr">
        <is>
          <t>Focus group</t>
        </is>
      </c>
      <c r="F13" s="105">
        <f>SUMIF($E$6:$E$10,"Focus",$F$6:$F$10)</f>
        <v/>
      </c>
      <c r="H13" s="45">
        <f>IF(ROUND(F13,6)=ROUND(Parameters!$C$11,6),"OK – khớp Parameters","LỆCH so với Parameters!C11")</f>
        <v/>
      </c>
    </row>
    <row r="15">
      <c r="B15" s="47" t="inlineStr">
        <is>
          <t>*/ Lead KPIs: đo luỹ kế theo quý, trả thưởng hàng quý, cap 150%.</t>
        </is>
      </c>
    </row>
    <row r="16">
      <c r="B16" s="47" t="inlineStr">
        <is>
          <t>*/ Focus KPIs: đo luỹ kế cả năm, trả 1 lần cuối năm, tối đa 150%.</t>
        </is>
      </c>
    </row>
    <row r="17">
      <c r="B17" s="47" t="inlineStr">
        <is>
          <t>*/ Pass gate: Focus KPI quyết định % tiền Lead KPI được giải ngân (Parameters mục D).</t>
        </is>
      </c>
    </row>
    <row r="18">
      <c r="B18" s="47" t="inlineStr">
        <is>
          <t>*/ K5 Spec-in Design weight 0% – chỉ theo dõi. Muốn tính điểm: gõ weight vào F10 và chia lại F6:F9 cho tổng = 100%.</t>
        </is>
      </c>
    </row>
    <row r="19">
      <c r="B19" s="47" t="inlineStr">
        <is>
          <t>*/ Điều kiện ghi nhận: tên &amp; mã nhân viên phải khớp giữa DERP / CRM / Mini Sales app.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P2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14" customWidth="1" min="4" max="4"/>
    <col width="14" customWidth="1" min="5" max="5"/>
    <col width="18" customWidth="1" min="6" max="6"/>
    <col width="22" customWidth="1" min="7" max="7"/>
    <col width="18" customWidth="1" min="8" max="8"/>
    <col width="20" customWidth="1" min="9" max="9"/>
    <col width="11" customWidth="1" min="10" max="10"/>
    <col width="12" customWidth="1" min="11" max="11"/>
    <col width="14" customWidth="1" min="12" max="12"/>
    <col width="14" customWidth="1" min="13" max="13"/>
    <col width="13" customWidth="1" min="14" max="14"/>
    <col width="13" customWidth="1" min="15" max="15"/>
    <col width="26" customWidth="1" min="16" max="16"/>
  </cols>
  <sheetData>
    <row r="2">
      <c r="B2" s="16" t="inlineStr">
        <is>
          <t>TEAM MASTER – DANH SÁCH NHÂN SỰ &amp; QUỸ THƯỞNG</t>
        </is>
      </c>
    </row>
    <row r="3">
      <c r="B3" s="48" t="inlineStr">
        <is>
          <t>Nhập từ cột Emp Code đến ATVP. Thứ tự dòng ở đây quyết định thứ tự khối của mọi sheet khác – KHÔNG chèn/xoá dòng giữa bảng, chỉ ghi đè hoặc xoá nội dung.</t>
        </is>
      </c>
    </row>
    <row r="5" ht="40" customHeight="1">
      <c r="B5" s="28" t="inlineStr">
        <is>
          <t>No</t>
        </is>
      </c>
      <c r="C5" s="28" t="inlineStr">
        <is>
          <t>Emp Code</t>
        </is>
      </c>
      <c r="D5" s="28" t="inlineStr">
        <is>
          <t>Team</t>
        </is>
      </c>
      <c r="E5" s="28" t="inlineStr">
        <is>
          <t>Region</t>
        </is>
      </c>
      <c r="F5" s="28" t="inlineStr">
        <is>
          <t>Line Manager</t>
        </is>
      </c>
      <c r="G5" s="28" t="inlineStr">
        <is>
          <t>Name of Sales Person</t>
        </is>
      </c>
      <c r="H5" s="28" t="inlineStr">
        <is>
          <t>Area</t>
        </is>
      </c>
      <c r="I5" s="28" t="inlineStr">
        <is>
          <t>Role</t>
        </is>
      </c>
      <c r="J5" s="28" t="inlineStr">
        <is>
          <t>Status</t>
        </is>
      </c>
      <c r="K5" s="28" t="inlineStr">
        <is>
          <t>Eligible months (0–12)</t>
        </is>
      </c>
      <c r="L5" s="28" t="inlineStr">
        <is>
          <t>ATVP full year</t>
        </is>
      </c>
      <c r="M5" s="28" t="inlineStr">
        <is>
          <t>ATVP prorated</t>
        </is>
      </c>
      <c r="N5" s="28" t="inlineStr">
        <is>
          <t>Lead pot (70%)</t>
        </is>
      </c>
      <c r="O5" s="28" t="inlineStr">
        <is>
          <t>Focus pot (30%)</t>
        </is>
      </c>
      <c r="P5" s="28" t="inlineStr">
        <is>
          <t>Note</t>
        </is>
      </c>
    </row>
    <row r="6">
      <c r="B6" s="49">
        <f>IF($C6="","",ROW()-5)</f>
        <v/>
      </c>
      <c r="C6" s="50" t="inlineStr">
        <is>
          <t>SE-001</t>
        </is>
      </c>
      <c r="D6" s="50" t="inlineStr">
        <is>
          <t>SPEC</t>
        </is>
      </c>
      <c r="E6" s="50" t="inlineStr">
        <is>
          <t>HA NOI</t>
        </is>
      </c>
      <c r="F6" s="50" t="inlineStr">
        <is>
          <t>Nguyen Thi Lan</t>
        </is>
      </c>
      <c r="G6" s="50" t="inlineStr">
        <is>
          <t>HUNG</t>
        </is>
      </c>
      <c r="H6" s="50" t="inlineStr">
        <is>
          <t>Ha Noi 1</t>
        </is>
      </c>
      <c r="I6" s="50" t="inlineStr">
        <is>
          <t>Sales Executive</t>
        </is>
      </c>
      <c r="J6" s="50" t="inlineStr">
        <is>
          <t>Active</t>
        </is>
      </c>
      <c r="K6" s="51" t="n">
        <v>12</v>
      </c>
      <c r="L6" s="52" t="n">
        <v>120</v>
      </c>
      <c r="M6" s="53">
        <f>IF($C6="","",L6*MIN(K6,12)/12)</f>
        <v/>
      </c>
      <c r="N6" s="54">
        <f>IF($C6="","",M6*Parameters!$C$10)</f>
        <v/>
      </c>
      <c r="O6" s="54">
        <f>IF($C6="","",M6*Parameters!$C$11)</f>
        <v/>
      </c>
      <c r="P6" s="111" t="inlineStr">
        <is>
          <t>SAMPLE – xoá trước khi dùng thật</t>
        </is>
      </c>
    </row>
    <row r="7">
      <c r="B7" s="49">
        <f>IF($C7="","",ROW()-5)</f>
        <v/>
      </c>
      <c r="C7" s="50" t="inlineStr">
        <is>
          <t>SE-002</t>
        </is>
      </c>
      <c r="D7" s="50" t="inlineStr">
        <is>
          <t>SPEC</t>
        </is>
      </c>
      <c r="E7" s="50" t="inlineStr">
        <is>
          <t>HA NOI</t>
        </is>
      </c>
      <c r="F7" s="50" t="inlineStr">
        <is>
          <t>Nguyen Thi Lan</t>
        </is>
      </c>
      <c r="G7" s="50" t="inlineStr">
        <is>
          <t>DUY</t>
        </is>
      </c>
      <c r="H7" s="50" t="inlineStr">
        <is>
          <t>Ha Noi 2</t>
        </is>
      </c>
      <c r="I7" s="50" t="inlineStr">
        <is>
          <t>Sales Executive</t>
        </is>
      </c>
      <c r="J7" s="50" t="inlineStr">
        <is>
          <t>Active</t>
        </is>
      </c>
      <c r="K7" s="51" t="n">
        <v>12</v>
      </c>
      <c r="L7" s="52" t="n">
        <v>120</v>
      </c>
      <c r="M7" s="53">
        <f>IF($C7="","",L7*MIN(K7,12)/12)</f>
        <v/>
      </c>
      <c r="N7" s="54">
        <f>IF($C7="","",M7*Parameters!$C$10)</f>
        <v/>
      </c>
      <c r="O7" s="54">
        <f>IF($C7="","",M7*Parameters!$C$11)</f>
        <v/>
      </c>
      <c r="P7" s="111" t="inlineStr">
        <is>
          <t>SAMPLE – xoá trước khi dùng thật</t>
        </is>
      </c>
    </row>
    <row r="8">
      <c r="B8" s="49">
        <f>IF($C8="","",ROW()-5)</f>
        <v/>
      </c>
      <c r="C8" s="50" t="inlineStr">
        <is>
          <t>SE-003</t>
        </is>
      </c>
      <c r="D8" s="50" t="inlineStr">
        <is>
          <t>SPEC</t>
        </is>
      </c>
      <c r="E8" s="50" t="inlineStr">
        <is>
          <t>HCMC</t>
        </is>
      </c>
      <c r="F8" s="50" t="inlineStr">
        <is>
          <t>Tran Quang Minh</t>
        </is>
      </c>
      <c r="G8" s="50" t="inlineStr">
        <is>
          <t>QUYEN</t>
        </is>
      </c>
      <c r="H8" s="50" t="inlineStr">
        <is>
          <t>HCMC 1</t>
        </is>
      </c>
      <c r="I8" s="50" t="inlineStr">
        <is>
          <t>Sales Executive</t>
        </is>
      </c>
      <c r="J8" s="50" t="inlineStr">
        <is>
          <t>Active</t>
        </is>
      </c>
      <c r="K8" s="51" t="n">
        <v>12</v>
      </c>
      <c r="L8" s="52" t="n">
        <v>130</v>
      </c>
      <c r="M8" s="53">
        <f>IF($C8="","",L8*MIN(K8,12)/12)</f>
        <v/>
      </c>
      <c r="N8" s="54">
        <f>IF($C8="","",M8*Parameters!$C$10)</f>
        <v/>
      </c>
      <c r="O8" s="54">
        <f>IF($C8="","",M8*Parameters!$C$11)</f>
        <v/>
      </c>
      <c r="P8" s="111" t="inlineStr">
        <is>
          <t>SAMPLE – xoá trước khi dùng thật</t>
        </is>
      </c>
    </row>
    <row r="9">
      <c r="B9" s="49">
        <f>IF($C9="","",ROW()-5)</f>
        <v/>
      </c>
      <c r="C9" s="50" t="inlineStr">
        <is>
          <t>SE-004</t>
        </is>
      </c>
      <c r="D9" s="50" t="inlineStr">
        <is>
          <t>SPEC</t>
        </is>
      </c>
      <c r="E9" s="50" t="inlineStr">
        <is>
          <t>HCMC</t>
        </is>
      </c>
      <c r="F9" s="50" t="inlineStr">
        <is>
          <t>Tran Quang Minh</t>
        </is>
      </c>
      <c r="G9" s="50" t="inlineStr">
        <is>
          <t>Pham Minh Chau</t>
        </is>
      </c>
      <c r="H9" s="50" t="inlineStr">
        <is>
          <t>HCMC 2</t>
        </is>
      </c>
      <c r="I9" s="50" t="inlineStr">
        <is>
          <t>Sales Executive</t>
        </is>
      </c>
      <c r="J9" s="50" t="inlineStr">
        <is>
          <t>Active</t>
        </is>
      </c>
      <c r="K9" s="51" t="n">
        <v>12</v>
      </c>
      <c r="L9" s="52" t="n">
        <v>130</v>
      </c>
      <c r="M9" s="53">
        <f>IF($C9="","",L9*MIN(K9,12)/12)</f>
        <v/>
      </c>
      <c r="N9" s="54">
        <f>IF($C9="","",M9*Parameters!$C$10)</f>
        <v/>
      </c>
      <c r="O9" s="54">
        <f>IF($C9="","",M9*Parameters!$C$11)</f>
        <v/>
      </c>
      <c r="P9" s="111" t="inlineStr">
        <is>
          <t>SAMPLE – xoá trước khi dùng thật</t>
        </is>
      </c>
    </row>
    <row r="10">
      <c r="B10" s="49">
        <f>IF($C10="","",ROW()-5)</f>
        <v/>
      </c>
      <c r="C10" s="50" t="inlineStr">
        <is>
          <t>SE-005</t>
        </is>
      </c>
      <c r="D10" s="50" t="inlineStr">
        <is>
          <t>SPEC</t>
        </is>
      </c>
      <c r="E10" s="50" t="inlineStr">
        <is>
          <t>NORTH</t>
        </is>
      </c>
      <c r="F10" s="50" t="inlineStr">
        <is>
          <t>Nguyen Thi Lan</t>
        </is>
      </c>
      <c r="G10" s="50" t="inlineStr">
        <is>
          <t>Vo Thi Em</t>
        </is>
      </c>
      <c r="H10" s="50" t="inlineStr">
        <is>
          <t>Bac Ninh</t>
        </is>
      </c>
      <c r="I10" s="50" t="inlineStr">
        <is>
          <t>Sales Supervisor</t>
        </is>
      </c>
      <c r="J10" s="50" t="inlineStr">
        <is>
          <t>Active</t>
        </is>
      </c>
      <c r="K10" s="51" t="n">
        <v>12</v>
      </c>
      <c r="L10" s="52" t="n">
        <v>110</v>
      </c>
      <c r="M10" s="53">
        <f>IF($C10="","",L10*MIN(K10,12)/12)</f>
        <v/>
      </c>
      <c r="N10" s="54">
        <f>IF($C10="","",M10*Parameters!$C$10)</f>
        <v/>
      </c>
      <c r="O10" s="54">
        <f>IF($C10="","",M10*Parameters!$C$11)</f>
        <v/>
      </c>
      <c r="P10" s="111" t="inlineStr">
        <is>
          <t>SAMPLE – xoá trước khi dùng thật</t>
        </is>
      </c>
    </row>
    <row r="11">
      <c r="B11" s="49">
        <f>IF($C11="","",ROW()-5)</f>
        <v/>
      </c>
      <c r="C11" s="50" t="inlineStr">
        <is>
          <t>SE-006</t>
        </is>
      </c>
      <c r="D11" s="50" t="inlineStr">
        <is>
          <t>SPEC</t>
        </is>
      </c>
      <c r="E11" s="50" t="inlineStr">
        <is>
          <t>MEKONG</t>
        </is>
      </c>
      <c r="F11" s="50" t="inlineStr">
        <is>
          <t>Tran Quang Minh</t>
        </is>
      </c>
      <c r="G11" s="50" t="inlineStr">
        <is>
          <t>Ngo Van Phuc</t>
        </is>
      </c>
      <c r="H11" s="50" t="inlineStr">
        <is>
          <t>Can Tho</t>
        </is>
      </c>
      <c r="I11" s="50" t="inlineStr">
        <is>
          <t>Sales Executive</t>
        </is>
      </c>
      <c r="J11" s="50" t="inlineStr">
        <is>
          <t>Active</t>
        </is>
      </c>
      <c r="K11" s="51" t="n">
        <v>12</v>
      </c>
      <c r="L11" s="52" t="n">
        <v>110</v>
      </c>
      <c r="M11" s="53">
        <f>IF($C11="","",L11*MIN(K11,12)/12)</f>
        <v/>
      </c>
      <c r="N11" s="54">
        <f>IF($C11="","",M11*Parameters!$C$10)</f>
        <v/>
      </c>
      <c r="O11" s="54">
        <f>IF($C11="","",M11*Parameters!$C$11)</f>
        <v/>
      </c>
      <c r="P11" s="111" t="inlineStr">
        <is>
          <t>SAMPLE – xoá trước khi dùng thật</t>
        </is>
      </c>
    </row>
    <row r="12">
      <c r="B12" s="49">
        <f>IF($C12="","",ROW()-5)</f>
        <v/>
      </c>
      <c r="C12" s="50" t="n"/>
      <c r="D12" s="50" t="n"/>
      <c r="E12" s="50" t="n"/>
      <c r="F12" s="50" t="n"/>
      <c r="G12" s="50" t="n"/>
      <c r="H12" s="50" t="n"/>
      <c r="I12" s="50" t="n"/>
      <c r="J12" s="50" t="n"/>
      <c r="K12" s="51" t="n">
        <v>12</v>
      </c>
      <c r="L12" s="52" t="n"/>
      <c r="M12" s="53">
        <f>IF($C12="","",L12*MIN(K12,12)/12)</f>
        <v/>
      </c>
      <c r="N12" s="54">
        <f>IF($C12="","",M12*Parameters!$C$10)</f>
        <v/>
      </c>
      <c r="O12" s="54">
        <f>IF($C12="","",M12*Parameters!$C$11)</f>
        <v/>
      </c>
      <c r="P12" s="55" t="n"/>
    </row>
    <row r="13">
      <c r="B13" s="49">
        <f>IF($C13="","",ROW()-5)</f>
        <v/>
      </c>
      <c r="C13" s="50" t="n"/>
      <c r="D13" s="50" t="n"/>
      <c r="E13" s="50" t="n"/>
      <c r="F13" s="50" t="n"/>
      <c r="G13" s="50" t="n"/>
      <c r="H13" s="50" t="n"/>
      <c r="I13" s="50" t="n"/>
      <c r="J13" s="50" t="n"/>
      <c r="K13" s="51" t="n">
        <v>12</v>
      </c>
      <c r="L13" s="52" t="n"/>
      <c r="M13" s="53">
        <f>IF($C13="","",L13*MIN(K13,12)/12)</f>
        <v/>
      </c>
      <c r="N13" s="54">
        <f>IF($C13="","",M13*Parameters!$C$10)</f>
        <v/>
      </c>
      <c r="O13" s="54">
        <f>IF($C13="","",M13*Parameters!$C$11)</f>
        <v/>
      </c>
      <c r="P13" s="55" t="n"/>
    </row>
    <row r="14">
      <c r="B14" s="49">
        <f>IF($C14="","",ROW()-5)</f>
        <v/>
      </c>
      <c r="C14" s="50" t="n"/>
      <c r="D14" s="50" t="n"/>
      <c r="E14" s="50" t="n"/>
      <c r="F14" s="50" t="n"/>
      <c r="G14" s="50" t="n"/>
      <c r="H14" s="50" t="n"/>
      <c r="I14" s="50" t="n"/>
      <c r="J14" s="50" t="n"/>
      <c r="K14" s="51" t="n">
        <v>12</v>
      </c>
      <c r="L14" s="52" t="n"/>
      <c r="M14" s="53">
        <f>IF($C14="","",L14*MIN(K14,12)/12)</f>
        <v/>
      </c>
      <c r="N14" s="54">
        <f>IF($C14="","",M14*Parameters!$C$10)</f>
        <v/>
      </c>
      <c r="O14" s="54">
        <f>IF($C14="","",M14*Parameters!$C$11)</f>
        <v/>
      </c>
      <c r="P14" s="55" t="n"/>
    </row>
    <row r="15">
      <c r="B15" s="49">
        <f>IF($C15="","",ROW()-5)</f>
        <v/>
      </c>
      <c r="C15" s="50" t="n"/>
      <c r="D15" s="50" t="n"/>
      <c r="E15" s="50" t="n"/>
      <c r="F15" s="50" t="n"/>
      <c r="G15" s="50" t="n"/>
      <c r="H15" s="50" t="n"/>
      <c r="I15" s="50" t="n"/>
      <c r="J15" s="50" t="n"/>
      <c r="K15" s="51" t="n">
        <v>12</v>
      </c>
      <c r="L15" s="52" t="n"/>
      <c r="M15" s="53">
        <f>IF($C15="","",L15*MIN(K15,12)/12)</f>
        <v/>
      </c>
      <c r="N15" s="54">
        <f>IF($C15="","",M15*Parameters!$C$10)</f>
        <v/>
      </c>
      <c r="O15" s="54">
        <f>IF($C15="","",M15*Parameters!$C$11)</f>
        <v/>
      </c>
      <c r="P15" s="55" t="n"/>
    </row>
    <row r="16">
      <c r="B16" s="49">
        <f>IF($C16="","",ROW()-5)</f>
        <v/>
      </c>
      <c r="C16" s="50" t="n"/>
      <c r="D16" s="50" t="n"/>
      <c r="E16" s="50" t="n"/>
      <c r="F16" s="50" t="n"/>
      <c r="G16" s="50" t="n"/>
      <c r="H16" s="50" t="n"/>
      <c r="I16" s="50" t="n"/>
      <c r="J16" s="50" t="n"/>
      <c r="K16" s="51" t="n">
        <v>12</v>
      </c>
      <c r="L16" s="52" t="n"/>
      <c r="M16" s="53">
        <f>IF($C16="","",L16*MIN(K16,12)/12)</f>
        <v/>
      </c>
      <c r="N16" s="54">
        <f>IF($C16="","",M16*Parameters!$C$10)</f>
        <v/>
      </c>
      <c r="O16" s="54">
        <f>IF($C16="","",M16*Parameters!$C$11)</f>
        <v/>
      </c>
      <c r="P16" s="55" t="n"/>
    </row>
    <row r="17">
      <c r="B17" s="49">
        <f>IF($C17="","",ROW()-5)</f>
        <v/>
      </c>
      <c r="C17" s="50" t="n"/>
      <c r="D17" s="50" t="n"/>
      <c r="E17" s="50" t="n"/>
      <c r="F17" s="50" t="n"/>
      <c r="G17" s="50" t="n"/>
      <c r="H17" s="50" t="n"/>
      <c r="I17" s="50" t="n"/>
      <c r="J17" s="50" t="n"/>
      <c r="K17" s="51" t="n">
        <v>12</v>
      </c>
      <c r="L17" s="52" t="n"/>
      <c r="M17" s="53">
        <f>IF($C17="","",L17*MIN(K17,12)/12)</f>
        <v/>
      </c>
      <c r="N17" s="54">
        <f>IF($C17="","",M17*Parameters!$C$10)</f>
        <v/>
      </c>
      <c r="O17" s="54">
        <f>IF($C17="","",M17*Parameters!$C$11)</f>
        <v/>
      </c>
      <c r="P17" s="55" t="n"/>
    </row>
    <row r="18">
      <c r="B18" s="49">
        <f>IF($C18="","",ROW()-5)</f>
        <v/>
      </c>
      <c r="C18" s="50" t="n"/>
      <c r="D18" s="50" t="n"/>
      <c r="E18" s="50" t="n"/>
      <c r="F18" s="50" t="n"/>
      <c r="G18" s="50" t="n"/>
      <c r="H18" s="50" t="n"/>
      <c r="I18" s="50" t="n"/>
      <c r="J18" s="50" t="n"/>
      <c r="K18" s="51" t="n">
        <v>12</v>
      </c>
      <c r="L18" s="52" t="n"/>
      <c r="M18" s="53">
        <f>IF($C18="","",L18*MIN(K18,12)/12)</f>
        <v/>
      </c>
      <c r="N18" s="54">
        <f>IF($C18="","",M18*Parameters!$C$10)</f>
        <v/>
      </c>
      <c r="O18" s="54">
        <f>IF($C18="","",M18*Parameters!$C$11)</f>
        <v/>
      </c>
      <c r="P18" s="55" t="n"/>
    </row>
    <row r="19">
      <c r="B19" s="49">
        <f>IF($C19="","",ROW()-5)</f>
        <v/>
      </c>
      <c r="C19" s="50" t="n"/>
      <c r="D19" s="50" t="n"/>
      <c r="E19" s="50" t="n"/>
      <c r="F19" s="50" t="n"/>
      <c r="G19" s="50" t="n"/>
      <c r="H19" s="50" t="n"/>
      <c r="I19" s="50" t="n"/>
      <c r="J19" s="50" t="n"/>
      <c r="K19" s="51" t="n">
        <v>12</v>
      </c>
      <c r="L19" s="52" t="n"/>
      <c r="M19" s="53">
        <f>IF($C19="","",L19*MIN(K19,12)/12)</f>
        <v/>
      </c>
      <c r="N19" s="54">
        <f>IF($C19="","",M19*Parameters!$C$10)</f>
        <v/>
      </c>
      <c r="O19" s="54">
        <f>IF($C19="","",M19*Parameters!$C$11)</f>
        <v/>
      </c>
      <c r="P19" s="55" t="n"/>
    </row>
    <row r="20">
      <c r="B20" s="49">
        <f>IF($C20="","",ROW()-5)</f>
        <v/>
      </c>
      <c r="C20" s="50" t="n"/>
      <c r="D20" s="50" t="n"/>
      <c r="E20" s="50" t="n"/>
      <c r="F20" s="50" t="n"/>
      <c r="G20" s="50" t="n"/>
      <c r="H20" s="50" t="n"/>
      <c r="I20" s="50" t="n"/>
      <c r="J20" s="50" t="n"/>
      <c r="K20" s="51" t="n">
        <v>12</v>
      </c>
      <c r="L20" s="52" t="n"/>
      <c r="M20" s="53">
        <f>IF($C20="","",L20*MIN(K20,12)/12)</f>
        <v/>
      </c>
      <c r="N20" s="54">
        <f>IF($C20="","",M20*Parameters!$C$10)</f>
        <v/>
      </c>
      <c r="O20" s="54">
        <f>IF($C20="","",M20*Parameters!$C$11)</f>
        <v/>
      </c>
      <c r="P20" s="55" t="n"/>
    </row>
    <row r="21">
      <c r="K21" s="44" t="inlineStr">
        <is>
          <t>TOTAL</t>
        </is>
      </c>
      <c r="L21" s="56">
        <f>SUM(L6:L20)</f>
        <v/>
      </c>
      <c r="M21" s="56">
        <f>SUM(M6:M20)</f>
        <v/>
      </c>
      <c r="N21" s="56">
        <f>SUM(N6:N20)</f>
        <v/>
      </c>
      <c r="O21" s="56">
        <f>SUM(O6:O20)</f>
        <v/>
      </c>
    </row>
    <row r="23">
      <c r="B23" s="29" t="inlineStr">
        <is>
          <t>ATVP = Annual Target Variable Pay (quỹ thưởng mục tiêu cả năm của 1 người, do HR cấp), đơn vị theo Parameters!C8.</t>
        </is>
      </c>
    </row>
  </sheetData>
  <dataValidations count="2">
    <dataValidation sqref="E6:E20" showDropDown="0" showInputMessage="0" showErrorMessage="0" allowBlank="1" type="list">
      <formula1>=Parameters!$B$33:$B$40</formula1>
    </dataValidation>
    <dataValidation sqref="J6:J20" showDropDown="0" showInputMessage="0" showErrorMessage="0" allowBlank="1" type="list">
      <formula1>"Active,Vacant,Left,New joiner"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BO230"/>
  <sheetViews>
    <sheetView showGridLines="0" workbookViewId="0">
      <pane xSplit="7" ySplit="5" topLeftCell="H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26" customWidth="1" min="4" max="4"/>
    <col width="10" customWidth="1" min="5" max="5"/>
    <col width="13" customWidth="1" min="6" max="6"/>
    <col width="12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</cols>
  <sheetData>
    <row r="2">
      <c r="B2" s="16" t="inlineStr">
        <is>
          <t>WEEKLY TRACKER – PHASING / ACTUAL / % ACHIEVED (sheet nhập liệu chính)</t>
        </is>
      </c>
    </row>
    <row r="3">
      <c r="A3" s="48" t="inlineStr">
        <is>
          <t>Mỗi người 5 KPI × 3 dòng. Gõ Phasing cả năm 1 lần, hàng tuần gõ Actual. Tháng nào chỉ có 4 tuần thì để trống cột W5. Mọi sheet khác tự gom từ đây.</t>
        </is>
      </c>
    </row>
    <row r="4">
      <c r="A4" s="57" t="inlineStr">
        <is>
          <t>THÔNG TIN / ID</t>
        </is>
      </c>
      <c r="H4" s="58" t="inlineStr">
        <is>
          <t>Jan</t>
        </is>
      </c>
      <c r="M4" s="59" t="inlineStr">
        <is>
          <t>Feb</t>
        </is>
      </c>
      <c r="R4" s="58" t="inlineStr">
        <is>
          <t>Mar</t>
        </is>
      </c>
      <c r="W4" s="59" t="inlineStr">
        <is>
          <t>Apr</t>
        </is>
      </c>
      <c r="AB4" s="58" t="inlineStr">
        <is>
          <t>May</t>
        </is>
      </c>
      <c r="AG4" s="59" t="inlineStr">
        <is>
          <t>Jun</t>
        </is>
      </c>
      <c r="AL4" s="58" t="inlineStr">
        <is>
          <t>Jul</t>
        </is>
      </c>
      <c r="AQ4" s="59" t="inlineStr">
        <is>
          <t>Aug</t>
        </is>
      </c>
      <c r="AV4" s="58" t="inlineStr">
        <is>
          <t>Sep</t>
        </is>
      </c>
      <c r="BA4" s="59" t="inlineStr">
        <is>
          <t>Oct</t>
        </is>
      </c>
      <c r="BF4" s="58" t="inlineStr">
        <is>
          <t>Nov</t>
        </is>
      </c>
      <c r="BK4" s="59" t="inlineStr">
        <is>
          <t>Dec</t>
        </is>
      </c>
    </row>
    <row r="5" ht="26" customHeight="1">
      <c r="A5" s="28" t="inlineStr">
        <is>
          <t>Emp Code</t>
        </is>
      </c>
      <c r="B5" s="28" t="inlineStr">
        <is>
          <t>Name</t>
        </is>
      </c>
      <c r="C5" s="28" t="inlineStr">
        <is>
          <t>KPI</t>
        </is>
      </c>
      <c r="D5" s="28" t="inlineStr">
        <is>
          <t>KPI name</t>
        </is>
      </c>
      <c r="E5" s="28" t="inlineStr">
        <is>
          <t>Unit</t>
        </is>
      </c>
      <c r="F5" s="28" t="inlineStr">
        <is>
          <t>Phasing / Actual</t>
        </is>
      </c>
      <c r="G5" s="28" t="inlineStr">
        <is>
          <t>FY total</t>
        </is>
      </c>
      <c r="H5" s="60" t="inlineStr">
        <is>
          <t>W1</t>
        </is>
      </c>
      <c r="I5" s="60" t="inlineStr">
        <is>
          <t>W2</t>
        </is>
      </c>
      <c r="J5" s="60" t="inlineStr">
        <is>
          <t>W3</t>
        </is>
      </c>
      <c r="K5" s="60" t="inlineStr">
        <is>
          <t>W4</t>
        </is>
      </c>
      <c r="L5" s="60" t="inlineStr">
        <is>
          <t>W5</t>
        </is>
      </c>
      <c r="M5" s="60" t="inlineStr">
        <is>
          <t>W1</t>
        </is>
      </c>
      <c r="N5" s="60" t="inlineStr">
        <is>
          <t>W2</t>
        </is>
      </c>
      <c r="O5" s="60" t="inlineStr">
        <is>
          <t>W3</t>
        </is>
      </c>
      <c r="P5" s="60" t="inlineStr">
        <is>
          <t>W4</t>
        </is>
      </c>
      <c r="Q5" s="60" t="inlineStr">
        <is>
          <t>W5</t>
        </is>
      </c>
      <c r="R5" s="60" t="inlineStr">
        <is>
          <t>W1</t>
        </is>
      </c>
      <c r="S5" s="60" t="inlineStr">
        <is>
          <t>W2</t>
        </is>
      </c>
      <c r="T5" s="60" t="inlineStr">
        <is>
          <t>W3</t>
        </is>
      </c>
      <c r="U5" s="60" t="inlineStr">
        <is>
          <t>W4</t>
        </is>
      </c>
      <c r="V5" s="60" t="inlineStr">
        <is>
          <t>W5</t>
        </is>
      </c>
      <c r="W5" s="60" t="inlineStr">
        <is>
          <t>W1</t>
        </is>
      </c>
      <c r="X5" s="60" t="inlineStr">
        <is>
          <t>W2</t>
        </is>
      </c>
      <c r="Y5" s="60" t="inlineStr">
        <is>
          <t>W3</t>
        </is>
      </c>
      <c r="Z5" s="60" t="inlineStr">
        <is>
          <t>W4</t>
        </is>
      </c>
      <c r="AA5" s="60" t="inlineStr">
        <is>
          <t>W5</t>
        </is>
      </c>
      <c r="AB5" s="60" t="inlineStr">
        <is>
          <t>W1</t>
        </is>
      </c>
      <c r="AC5" s="60" t="inlineStr">
        <is>
          <t>W2</t>
        </is>
      </c>
      <c r="AD5" s="60" t="inlineStr">
        <is>
          <t>W3</t>
        </is>
      </c>
      <c r="AE5" s="60" t="inlineStr">
        <is>
          <t>W4</t>
        </is>
      </c>
      <c r="AF5" s="60" t="inlineStr">
        <is>
          <t>W5</t>
        </is>
      </c>
      <c r="AG5" s="60" t="inlineStr">
        <is>
          <t>W1</t>
        </is>
      </c>
      <c r="AH5" s="60" t="inlineStr">
        <is>
          <t>W2</t>
        </is>
      </c>
      <c r="AI5" s="60" t="inlineStr">
        <is>
          <t>W3</t>
        </is>
      </c>
      <c r="AJ5" s="60" t="inlineStr">
        <is>
          <t>W4</t>
        </is>
      </c>
      <c r="AK5" s="60" t="inlineStr">
        <is>
          <t>W5</t>
        </is>
      </c>
      <c r="AL5" s="60" t="inlineStr">
        <is>
          <t>W1</t>
        </is>
      </c>
      <c r="AM5" s="60" t="inlineStr">
        <is>
          <t>W2</t>
        </is>
      </c>
      <c r="AN5" s="60" t="inlineStr">
        <is>
          <t>W3</t>
        </is>
      </c>
      <c r="AO5" s="60" t="inlineStr">
        <is>
          <t>W4</t>
        </is>
      </c>
      <c r="AP5" s="60" t="inlineStr">
        <is>
          <t>W5</t>
        </is>
      </c>
      <c r="AQ5" s="60" t="inlineStr">
        <is>
          <t>W1</t>
        </is>
      </c>
      <c r="AR5" s="60" t="inlineStr">
        <is>
          <t>W2</t>
        </is>
      </c>
      <c r="AS5" s="60" t="inlineStr">
        <is>
          <t>W3</t>
        </is>
      </c>
      <c r="AT5" s="60" t="inlineStr">
        <is>
          <t>W4</t>
        </is>
      </c>
      <c r="AU5" s="60" t="inlineStr">
        <is>
          <t>W5</t>
        </is>
      </c>
      <c r="AV5" s="60" t="inlineStr">
        <is>
          <t>W1</t>
        </is>
      </c>
      <c r="AW5" s="60" t="inlineStr">
        <is>
          <t>W2</t>
        </is>
      </c>
      <c r="AX5" s="60" t="inlineStr">
        <is>
          <t>W3</t>
        </is>
      </c>
      <c r="AY5" s="60" t="inlineStr">
        <is>
          <t>W4</t>
        </is>
      </c>
      <c r="AZ5" s="60" t="inlineStr">
        <is>
          <t>W5</t>
        </is>
      </c>
      <c r="BA5" s="60" t="inlineStr">
        <is>
          <t>W1</t>
        </is>
      </c>
      <c r="BB5" s="60" t="inlineStr">
        <is>
          <t>W2</t>
        </is>
      </c>
      <c r="BC5" s="60" t="inlineStr">
        <is>
          <t>W3</t>
        </is>
      </c>
      <c r="BD5" s="60" t="inlineStr">
        <is>
          <t>W4</t>
        </is>
      </c>
      <c r="BE5" s="60" t="inlineStr">
        <is>
          <t>W5</t>
        </is>
      </c>
      <c r="BF5" s="60" t="inlineStr">
        <is>
          <t>W1</t>
        </is>
      </c>
      <c r="BG5" s="60" t="inlineStr">
        <is>
          <t>W2</t>
        </is>
      </c>
      <c r="BH5" s="60" t="inlineStr">
        <is>
          <t>W3</t>
        </is>
      </c>
      <c r="BI5" s="60" t="inlineStr">
        <is>
          <t>W4</t>
        </is>
      </c>
      <c r="BJ5" s="60" t="inlineStr">
        <is>
          <t>W5</t>
        </is>
      </c>
      <c r="BK5" s="60" t="inlineStr">
        <is>
          <t>W1</t>
        </is>
      </c>
      <c r="BL5" s="60" t="inlineStr">
        <is>
          <t>W2</t>
        </is>
      </c>
      <c r="BM5" s="60" t="inlineStr">
        <is>
          <t>W3</t>
        </is>
      </c>
      <c r="BN5" s="60" t="inlineStr">
        <is>
          <t>W4</t>
        </is>
      </c>
      <c r="BO5" s="60" t="inlineStr">
        <is>
          <t>W5</t>
        </is>
      </c>
    </row>
    <row r="6">
      <c r="A6" s="61">
        <f>IFERROR(INDEX(Team_Master!$C$6:$C$20,1),"")</f>
        <v/>
      </c>
      <c r="B6" s="62">
        <f>IFERROR(INDEX(Team_Master!$G$6:$G$20,1),"")</f>
        <v/>
      </c>
      <c r="C6" s="63" t="inlineStr">
        <is>
          <t>K1</t>
        </is>
      </c>
      <c r="D6" s="11" t="inlineStr">
        <is>
          <t>Invoiced Value</t>
        </is>
      </c>
      <c r="E6" s="64" t="inlineStr">
        <is>
          <t>MVND</t>
        </is>
      </c>
      <c r="F6" s="65" t="inlineStr">
        <is>
          <t>Phasing</t>
        </is>
      </c>
      <c r="G6" s="56">
        <f>SUM(H6:BO6)</f>
        <v/>
      </c>
      <c r="H6" s="52" t="n">
        <v>212</v>
      </c>
      <c r="I6" s="52" t="n">
        <v>212</v>
      </c>
      <c r="J6" s="52" t="n">
        <v>212</v>
      </c>
      <c r="K6" s="52" t="n">
        <v>214</v>
      </c>
      <c r="L6" s="52" t="n"/>
      <c r="M6" s="52" t="n">
        <v>155</v>
      </c>
      <c r="N6" s="52" t="n">
        <v>155</v>
      </c>
      <c r="O6" s="52" t="n">
        <v>155</v>
      </c>
      <c r="P6" s="52" t="n">
        <v>155</v>
      </c>
      <c r="Q6" s="52" t="n"/>
      <c r="R6" s="52" t="n">
        <v>237</v>
      </c>
      <c r="S6" s="52" t="n">
        <v>237</v>
      </c>
      <c r="T6" s="52" t="n">
        <v>237</v>
      </c>
      <c r="U6" s="52" t="n">
        <v>239</v>
      </c>
      <c r="V6" s="52" t="n"/>
      <c r="W6" s="52" t="n">
        <v>250</v>
      </c>
      <c r="X6" s="52" t="n">
        <v>250</v>
      </c>
      <c r="Y6" s="52" t="n">
        <v>250</v>
      </c>
      <c r="Z6" s="52" t="n">
        <v>250</v>
      </c>
      <c r="AA6" s="52" t="n"/>
      <c r="AB6" s="52" t="n">
        <v>255</v>
      </c>
      <c r="AC6" s="52" t="n">
        <v>255</v>
      </c>
      <c r="AD6" s="52" t="n">
        <v>255</v>
      </c>
      <c r="AE6" s="52" t="n">
        <v>255</v>
      </c>
      <c r="AF6" s="52" t="n"/>
      <c r="AG6" s="52" t="n">
        <v>262</v>
      </c>
      <c r="AH6" s="52" t="n">
        <v>262</v>
      </c>
      <c r="AI6" s="52" t="n">
        <v>262</v>
      </c>
      <c r="AJ6" s="52" t="n">
        <v>264</v>
      </c>
      <c r="AK6" s="52" t="n"/>
      <c r="AL6" s="52" t="n">
        <v>250</v>
      </c>
      <c r="AM6" s="52" t="n">
        <v>250</v>
      </c>
      <c r="AN6" s="52" t="n">
        <v>250</v>
      </c>
      <c r="AO6" s="52" t="n">
        <v>250</v>
      </c>
      <c r="AP6" s="52" t="n"/>
      <c r="AQ6" s="52" t="n">
        <v>257</v>
      </c>
      <c r="AR6" s="52" t="n">
        <v>257</v>
      </c>
      <c r="AS6" s="52" t="n">
        <v>257</v>
      </c>
      <c r="AT6" s="52" t="n">
        <v>259</v>
      </c>
      <c r="AU6" s="52" t="n"/>
      <c r="AV6" s="52" t="n">
        <v>270</v>
      </c>
      <c r="AW6" s="52" t="n">
        <v>270</v>
      </c>
      <c r="AX6" s="52" t="n">
        <v>270</v>
      </c>
      <c r="AY6" s="52" t="n">
        <v>270</v>
      </c>
      <c r="AZ6" s="52" t="n"/>
      <c r="BA6" s="52" t="n">
        <v>280</v>
      </c>
      <c r="BB6" s="52" t="n">
        <v>280</v>
      </c>
      <c r="BC6" s="52" t="n">
        <v>280</v>
      </c>
      <c r="BD6" s="52" t="n">
        <v>280</v>
      </c>
      <c r="BE6" s="52" t="n"/>
      <c r="BF6" s="52" t="n">
        <v>287</v>
      </c>
      <c r="BG6" s="52" t="n">
        <v>287</v>
      </c>
      <c r="BH6" s="52" t="n">
        <v>287</v>
      </c>
      <c r="BI6" s="52" t="n">
        <v>289</v>
      </c>
      <c r="BJ6" s="52" t="n"/>
      <c r="BK6" s="52" t="n">
        <v>282</v>
      </c>
      <c r="BL6" s="52" t="n">
        <v>282</v>
      </c>
      <c r="BM6" s="52" t="n">
        <v>282</v>
      </c>
      <c r="BN6" s="52" t="n">
        <v>284</v>
      </c>
      <c r="BO6" s="52" t="n"/>
    </row>
    <row r="7">
      <c r="A7" s="66" t="n"/>
      <c r="B7" s="66" t="n"/>
      <c r="C7" s="66" t="n"/>
      <c r="D7" s="66" t="n"/>
      <c r="E7" s="66" t="n"/>
      <c r="F7" s="65" t="inlineStr">
        <is>
          <t>Actual</t>
        </is>
      </c>
      <c r="G7" s="56">
        <f>SUM(H7:BO7)</f>
        <v/>
      </c>
      <c r="H7" s="52" t="n">
        <v>215</v>
      </c>
      <c r="I7" s="52" t="n">
        <v>223</v>
      </c>
      <c r="J7" s="52" t="n">
        <v>252</v>
      </c>
      <c r="K7" s="52" t="n">
        <v>218</v>
      </c>
      <c r="L7" s="52" t="n"/>
      <c r="M7" s="52" t="n">
        <v>160</v>
      </c>
      <c r="N7" s="52" t="n">
        <v>165</v>
      </c>
      <c r="O7" s="52" t="n">
        <v>142</v>
      </c>
      <c r="P7" s="52" t="n">
        <v>160</v>
      </c>
      <c r="Q7" s="52" t="n"/>
      <c r="R7" s="52" t="n">
        <v>256</v>
      </c>
      <c r="S7" s="52" t="n">
        <v>270</v>
      </c>
      <c r="T7" s="52" t="n">
        <v>208</v>
      </c>
      <c r="U7" s="52" t="n">
        <v>229</v>
      </c>
      <c r="V7" s="52" t="n"/>
      <c r="W7" s="52" t="n">
        <v>220</v>
      </c>
      <c r="X7" s="52" t="n">
        <v>286</v>
      </c>
      <c r="Y7" s="52" t="n">
        <v>275</v>
      </c>
      <c r="Z7" s="52" t="n">
        <v>215</v>
      </c>
      <c r="AA7" s="52" t="n"/>
      <c r="AB7" s="52" t="n">
        <v>308</v>
      </c>
      <c r="AC7" s="52" t="n">
        <v>307</v>
      </c>
      <c r="AD7" s="52" t="n">
        <v>277</v>
      </c>
      <c r="AE7" s="52" t="n">
        <v>274</v>
      </c>
      <c r="AF7" s="52" t="n"/>
      <c r="AG7" s="52" t="n">
        <v>237</v>
      </c>
      <c r="AH7" s="52" t="n">
        <v>223</v>
      </c>
      <c r="AI7" s="52" t="n">
        <v>273</v>
      </c>
      <c r="AJ7" s="52" t="n">
        <v>229</v>
      </c>
      <c r="AK7" s="52" t="n"/>
      <c r="AL7" s="52" t="n">
        <v>229</v>
      </c>
      <c r="AM7" s="52" t="n">
        <v>234</v>
      </c>
      <c r="AN7" s="52" t="n">
        <v>214</v>
      </c>
      <c r="AO7" s="52" t="n">
        <v>254</v>
      </c>
      <c r="AP7" s="52" t="n"/>
      <c r="AQ7" s="52" t="n">
        <v>259</v>
      </c>
      <c r="AR7" s="52" t="n">
        <v>297</v>
      </c>
      <c r="AS7" s="52" t="n">
        <v>267</v>
      </c>
      <c r="AT7" s="52" t="n">
        <v>280</v>
      </c>
      <c r="AU7" s="52" t="n"/>
      <c r="AV7" s="52" t="n">
        <v>278</v>
      </c>
      <c r="AW7" s="52" t="n">
        <v>294</v>
      </c>
      <c r="AX7" s="52" t="n">
        <v>274</v>
      </c>
      <c r="AY7" s="52" t="n">
        <v>256</v>
      </c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  <c r="BI7" s="52" t="n"/>
      <c r="BJ7" s="52" t="n"/>
      <c r="BK7" s="52" t="n"/>
      <c r="BL7" s="52" t="n"/>
      <c r="BM7" s="52" t="n"/>
      <c r="BN7" s="52" t="n"/>
      <c r="BO7" s="52" t="n"/>
    </row>
    <row r="8">
      <c r="A8" s="66" t="n"/>
      <c r="B8" s="66" t="n"/>
      <c r="C8" s="67" t="n"/>
      <c r="D8" s="67" t="n"/>
      <c r="E8" s="67" t="n"/>
      <c r="F8" s="68" t="inlineStr">
        <is>
          <t>% Achieved</t>
        </is>
      </c>
      <c r="G8" s="69">
        <f>IFERROR(G7/G6,"")</f>
        <v/>
      </c>
      <c r="H8" s="70">
        <f>IFERROR(H7/H6,"")</f>
        <v/>
      </c>
      <c r="I8" s="70">
        <f>IFERROR(I7/I6,"")</f>
        <v/>
      </c>
      <c r="J8" s="70">
        <f>IFERROR(J7/J6,"")</f>
        <v/>
      </c>
      <c r="K8" s="70">
        <f>IFERROR(K7/K6,"")</f>
        <v/>
      </c>
      <c r="L8" s="70">
        <f>IFERROR(L7/L6,"")</f>
        <v/>
      </c>
      <c r="M8" s="70">
        <f>IFERROR(M7/M6,"")</f>
        <v/>
      </c>
      <c r="N8" s="70">
        <f>IFERROR(N7/N6,"")</f>
        <v/>
      </c>
      <c r="O8" s="70">
        <f>IFERROR(O7/O6,"")</f>
        <v/>
      </c>
      <c r="P8" s="70">
        <f>IFERROR(P7/P6,"")</f>
        <v/>
      </c>
      <c r="Q8" s="70">
        <f>IFERROR(Q7/Q6,"")</f>
        <v/>
      </c>
      <c r="R8" s="70">
        <f>IFERROR(R7/R6,"")</f>
        <v/>
      </c>
      <c r="S8" s="70">
        <f>IFERROR(S7/S6,"")</f>
        <v/>
      </c>
      <c r="T8" s="70">
        <f>IFERROR(T7/T6,"")</f>
        <v/>
      </c>
      <c r="U8" s="70">
        <f>IFERROR(U7/U6,"")</f>
        <v/>
      </c>
      <c r="V8" s="70">
        <f>IFERROR(V7/V6,"")</f>
        <v/>
      </c>
      <c r="W8" s="70">
        <f>IFERROR(W7/W6,"")</f>
        <v/>
      </c>
      <c r="X8" s="70">
        <f>IFERROR(X7/X6,"")</f>
        <v/>
      </c>
      <c r="Y8" s="70">
        <f>IFERROR(Y7/Y6,"")</f>
        <v/>
      </c>
      <c r="Z8" s="70">
        <f>IFERROR(Z7/Z6,"")</f>
        <v/>
      </c>
      <c r="AA8" s="70">
        <f>IFERROR(AA7/AA6,"")</f>
        <v/>
      </c>
      <c r="AB8" s="70">
        <f>IFERROR(AB7/AB6,"")</f>
        <v/>
      </c>
      <c r="AC8" s="70">
        <f>IFERROR(AC7/AC6,"")</f>
        <v/>
      </c>
      <c r="AD8" s="70">
        <f>IFERROR(AD7/AD6,"")</f>
        <v/>
      </c>
      <c r="AE8" s="70">
        <f>IFERROR(AE7/AE6,"")</f>
        <v/>
      </c>
      <c r="AF8" s="70">
        <f>IFERROR(AF7/AF6,"")</f>
        <v/>
      </c>
      <c r="AG8" s="70">
        <f>IFERROR(AG7/AG6,"")</f>
        <v/>
      </c>
      <c r="AH8" s="70">
        <f>IFERROR(AH7/AH6,"")</f>
        <v/>
      </c>
      <c r="AI8" s="70">
        <f>IFERROR(AI7/AI6,"")</f>
        <v/>
      </c>
      <c r="AJ8" s="70">
        <f>IFERROR(AJ7/AJ6,"")</f>
        <v/>
      </c>
      <c r="AK8" s="70">
        <f>IFERROR(AK7/AK6,"")</f>
        <v/>
      </c>
      <c r="AL8" s="70">
        <f>IFERROR(AL7/AL6,"")</f>
        <v/>
      </c>
      <c r="AM8" s="70">
        <f>IFERROR(AM7/AM6,"")</f>
        <v/>
      </c>
      <c r="AN8" s="70">
        <f>IFERROR(AN7/AN6,"")</f>
        <v/>
      </c>
      <c r="AO8" s="70">
        <f>IFERROR(AO7/AO6,"")</f>
        <v/>
      </c>
      <c r="AP8" s="70">
        <f>IFERROR(AP7/AP6,"")</f>
        <v/>
      </c>
      <c r="AQ8" s="70">
        <f>IFERROR(AQ7/AQ6,"")</f>
        <v/>
      </c>
      <c r="AR8" s="70">
        <f>IFERROR(AR7/AR6,"")</f>
        <v/>
      </c>
      <c r="AS8" s="70">
        <f>IFERROR(AS7/AS6,"")</f>
        <v/>
      </c>
      <c r="AT8" s="70">
        <f>IFERROR(AT7/AT6,"")</f>
        <v/>
      </c>
      <c r="AU8" s="70">
        <f>IFERROR(AU7/AU6,"")</f>
        <v/>
      </c>
      <c r="AV8" s="70">
        <f>IFERROR(AV7/AV6,"")</f>
        <v/>
      </c>
      <c r="AW8" s="70">
        <f>IFERROR(AW7/AW6,"")</f>
        <v/>
      </c>
      <c r="AX8" s="70">
        <f>IFERROR(AX7/AX6,"")</f>
        <v/>
      </c>
      <c r="AY8" s="70">
        <f>IFERROR(AY7/AY6,"")</f>
        <v/>
      </c>
      <c r="AZ8" s="70">
        <f>IFERROR(AZ7/AZ6,"")</f>
        <v/>
      </c>
      <c r="BA8" s="70">
        <f>IFERROR(BA7/BA6,"")</f>
        <v/>
      </c>
      <c r="BB8" s="70">
        <f>IFERROR(BB7/BB6,"")</f>
        <v/>
      </c>
      <c r="BC8" s="70">
        <f>IFERROR(BC7/BC6,"")</f>
        <v/>
      </c>
      <c r="BD8" s="70">
        <f>IFERROR(BD7/BD6,"")</f>
        <v/>
      </c>
      <c r="BE8" s="70">
        <f>IFERROR(BE7/BE6,"")</f>
        <v/>
      </c>
      <c r="BF8" s="70">
        <f>IFERROR(BF7/BF6,"")</f>
        <v/>
      </c>
      <c r="BG8" s="70">
        <f>IFERROR(BG7/BG6,"")</f>
        <v/>
      </c>
      <c r="BH8" s="70">
        <f>IFERROR(BH7/BH6,"")</f>
        <v/>
      </c>
      <c r="BI8" s="70">
        <f>IFERROR(BI7/BI6,"")</f>
        <v/>
      </c>
      <c r="BJ8" s="70">
        <f>IFERROR(BJ7/BJ6,"")</f>
        <v/>
      </c>
      <c r="BK8" s="70">
        <f>IFERROR(BK7/BK6,"")</f>
        <v/>
      </c>
      <c r="BL8" s="70">
        <f>IFERROR(BL7/BL6,"")</f>
        <v/>
      </c>
      <c r="BM8" s="70">
        <f>IFERROR(BM7/BM6,"")</f>
        <v/>
      </c>
      <c r="BN8" s="70">
        <f>IFERROR(BN7/BN6,"")</f>
        <v/>
      </c>
      <c r="BO8" s="70">
        <f>IFERROR(BO7/BO6,"")</f>
        <v/>
      </c>
    </row>
    <row r="9">
      <c r="A9" s="66" t="n"/>
      <c r="B9" s="66" t="n"/>
      <c r="C9" s="63" t="inlineStr">
        <is>
          <t>K2</t>
        </is>
      </c>
      <c r="D9" s="11" t="inlineStr">
        <is>
          <t>Key account approach / Site check</t>
        </is>
      </c>
      <c r="E9" s="64" t="inlineStr">
        <is>
          <t>Roadshow</t>
        </is>
      </c>
      <c r="F9" s="65" t="inlineStr">
        <is>
          <t>Phasing</t>
        </is>
      </c>
      <c r="G9" s="56">
        <f>SUM(H9:BO9)</f>
        <v/>
      </c>
      <c r="H9" s="52" t="n">
        <v>3</v>
      </c>
      <c r="I9" s="52" t="n">
        <v>3</v>
      </c>
      <c r="J9" s="52" t="n">
        <v>3</v>
      </c>
      <c r="K9" s="52" t="n">
        <v>6</v>
      </c>
      <c r="L9" s="52" t="n"/>
      <c r="M9" s="52" t="n">
        <v>2</v>
      </c>
      <c r="N9" s="52" t="n">
        <v>2</v>
      </c>
      <c r="O9" s="52" t="n">
        <v>2</v>
      </c>
      <c r="P9" s="52" t="n">
        <v>5</v>
      </c>
      <c r="Q9" s="52" t="n"/>
      <c r="R9" s="52" t="n">
        <v>4</v>
      </c>
      <c r="S9" s="52" t="n">
        <v>4</v>
      </c>
      <c r="T9" s="52" t="n">
        <v>4</v>
      </c>
      <c r="U9" s="52" t="n">
        <v>5</v>
      </c>
      <c r="V9" s="52" t="n"/>
      <c r="W9" s="52" t="n">
        <v>4</v>
      </c>
      <c r="X9" s="52" t="n">
        <v>4</v>
      </c>
      <c r="Y9" s="52" t="n">
        <v>4</v>
      </c>
      <c r="Z9" s="52" t="n">
        <v>6</v>
      </c>
      <c r="AA9" s="52" t="n"/>
      <c r="AB9" s="52" t="n">
        <v>4</v>
      </c>
      <c r="AC9" s="52" t="n">
        <v>4</v>
      </c>
      <c r="AD9" s="52" t="n">
        <v>4</v>
      </c>
      <c r="AE9" s="52" t="n">
        <v>6</v>
      </c>
      <c r="AF9" s="52" t="n"/>
      <c r="AG9" s="52" t="n">
        <v>4</v>
      </c>
      <c r="AH9" s="52" t="n">
        <v>4</v>
      </c>
      <c r="AI9" s="52" t="n">
        <v>4</v>
      </c>
      <c r="AJ9" s="52" t="n">
        <v>7</v>
      </c>
      <c r="AK9" s="52" t="n"/>
      <c r="AL9" s="52" t="n">
        <v>4</v>
      </c>
      <c r="AM9" s="52" t="n">
        <v>4</v>
      </c>
      <c r="AN9" s="52" t="n">
        <v>4</v>
      </c>
      <c r="AO9" s="52" t="n">
        <v>6</v>
      </c>
      <c r="AP9" s="52" t="n"/>
      <c r="AQ9" s="52" t="n">
        <v>4</v>
      </c>
      <c r="AR9" s="52" t="n">
        <v>4</v>
      </c>
      <c r="AS9" s="52" t="n">
        <v>4</v>
      </c>
      <c r="AT9" s="52" t="n">
        <v>6</v>
      </c>
      <c r="AU9" s="52" t="n"/>
      <c r="AV9" s="52" t="n">
        <v>4</v>
      </c>
      <c r="AW9" s="52" t="n">
        <v>4</v>
      </c>
      <c r="AX9" s="52" t="n">
        <v>4</v>
      </c>
      <c r="AY9" s="52" t="n">
        <v>7</v>
      </c>
      <c r="AZ9" s="52" t="n"/>
      <c r="BA9" s="52" t="n">
        <v>5</v>
      </c>
      <c r="BB9" s="52" t="n">
        <v>5</v>
      </c>
      <c r="BC9" s="52" t="n">
        <v>5</v>
      </c>
      <c r="BD9" s="52" t="n">
        <v>5</v>
      </c>
      <c r="BE9" s="52" t="n"/>
      <c r="BF9" s="52" t="n">
        <v>5</v>
      </c>
      <c r="BG9" s="52" t="n">
        <v>5</v>
      </c>
      <c r="BH9" s="52" t="n">
        <v>5</v>
      </c>
      <c r="BI9" s="52" t="n">
        <v>6</v>
      </c>
      <c r="BJ9" s="52" t="n"/>
      <c r="BK9" s="52" t="n">
        <v>5</v>
      </c>
      <c r="BL9" s="52" t="n">
        <v>5</v>
      </c>
      <c r="BM9" s="52" t="n">
        <v>5</v>
      </c>
      <c r="BN9" s="52" t="n">
        <v>6</v>
      </c>
      <c r="BO9" s="52" t="n"/>
    </row>
    <row r="10">
      <c r="A10" s="66" t="n"/>
      <c r="B10" s="66" t="n"/>
      <c r="C10" s="66" t="n"/>
      <c r="D10" s="66" t="n"/>
      <c r="E10" s="66" t="n"/>
      <c r="F10" s="65" t="inlineStr">
        <is>
          <t>Actual</t>
        </is>
      </c>
      <c r="G10" s="56">
        <f>SUM(H10:BO10)</f>
        <v/>
      </c>
      <c r="H10" s="52" t="n">
        <v>4</v>
      </c>
      <c r="I10" s="52" t="n">
        <v>4</v>
      </c>
      <c r="J10" s="52" t="n">
        <v>3</v>
      </c>
      <c r="K10" s="52" t="n">
        <v>7</v>
      </c>
      <c r="L10" s="52" t="n"/>
      <c r="M10" s="52" t="n">
        <v>2</v>
      </c>
      <c r="N10" s="52" t="n">
        <v>2</v>
      </c>
      <c r="O10" s="52" t="n">
        <v>2</v>
      </c>
      <c r="P10" s="52" t="n">
        <v>4</v>
      </c>
      <c r="Q10" s="52" t="n"/>
      <c r="R10" s="52" t="n">
        <v>5</v>
      </c>
      <c r="S10" s="52" t="n">
        <v>4</v>
      </c>
      <c r="T10" s="52" t="n">
        <v>5</v>
      </c>
      <c r="U10" s="52" t="n">
        <v>5</v>
      </c>
      <c r="V10" s="52" t="n"/>
      <c r="W10" s="52" t="n">
        <v>5</v>
      </c>
      <c r="X10" s="52" t="n">
        <v>5</v>
      </c>
      <c r="Y10" s="52" t="n">
        <v>3</v>
      </c>
      <c r="Z10" s="52" t="n">
        <v>6</v>
      </c>
      <c r="AA10" s="52" t="n"/>
      <c r="AB10" s="52" t="n">
        <v>5</v>
      </c>
      <c r="AC10" s="52" t="n">
        <v>4</v>
      </c>
      <c r="AD10" s="52" t="n">
        <v>5</v>
      </c>
      <c r="AE10" s="52" t="n">
        <v>6</v>
      </c>
      <c r="AF10" s="52" t="n"/>
      <c r="AG10" s="52" t="n">
        <v>3</v>
      </c>
      <c r="AH10" s="52" t="n">
        <v>4</v>
      </c>
      <c r="AI10" s="52" t="n">
        <v>5</v>
      </c>
      <c r="AJ10" s="52" t="n">
        <v>7</v>
      </c>
      <c r="AK10" s="52" t="n"/>
      <c r="AL10" s="52" t="n">
        <v>4</v>
      </c>
      <c r="AM10" s="52" t="n">
        <v>4</v>
      </c>
      <c r="AN10" s="52" t="n">
        <v>5</v>
      </c>
      <c r="AO10" s="52" t="n">
        <v>7</v>
      </c>
      <c r="AP10" s="52" t="n"/>
      <c r="AQ10" s="52" t="n">
        <v>4</v>
      </c>
      <c r="AR10" s="52" t="n">
        <v>4</v>
      </c>
      <c r="AS10" s="52" t="n">
        <v>4</v>
      </c>
      <c r="AT10" s="52" t="n">
        <v>5</v>
      </c>
      <c r="AU10" s="52" t="n"/>
      <c r="AV10" s="52" t="n">
        <v>5</v>
      </c>
      <c r="AW10" s="52" t="n">
        <v>4</v>
      </c>
      <c r="AX10" s="52" t="n">
        <v>4</v>
      </c>
      <c r="AY10" s="52" t="n">
        <v>7</v>
      </c>
      <c r="AZ10" s="52" t="n"/>
      <c r="BA10" s="52" t="n"/>
      <c r="BB10" s="52" t="n"/>
      <c r="BC10" s="52" t="n"/>
      <c r="BD10" s="52" t="n"/>
      <c r="BE10" s="52" t="n"/>
      <c r="BF10" s="52" t="n"/>
      <c r="BG10" s="52" t="n"/>
      <c r="BH10" s="52" t="n"/>
      <c r="BI10" s="52" t="n"/>
      <c r="BJ10" s="52" t="n"/>
      <c r="BK10" s="52" t="n"/>
      <c r="BL10" s="52" t="n"/>
      <c r="BM10" s="52" t="n"/>
      <c r="BN10" s="52" t="n"/>
      <c r="BO10" s="52" t="n"/>
    </row>
    <row r="11">
      <c r="A11" s="66" t="n"/>
      <c r="B11" s="66" t="n"/>
      <c r="C11" s="67" t="n"/>
      <c r="D11" s="67" t="n"/>
      <c r="E11" s="67" t="n"/>
      <c r="F11" s="68" t="inlineStr">
        <is>
          <t>% Achieved</t>
        </is>
      </c>
      <c r="G11" s="69">
        <f>IFERROR(G10/G9,"")</f>
        <v/>
      </c>
      <c r="H11" s="70">
        <f>IFERROR(H10/H9,"")</f>
        <v/>
      </c>
      <c r="I11" s="70">
        <f>IFERROR(I10/I9,"")</f>
        <v/>
      </c>
      <c r="J11" s="70">
        <f>IFERROR(J10/J9,"")</f>
        <v/>
      </c>
      <c r="K11" s="70">
        <f>IFERROR(K10/K9,"")</f>
        <v/>
      </c>
      <c r="L11" s="70">
        <f>IFERROR(L10/L9,"")</f>
        <v/>
      </c>
      <c r="M11" s="70">
        <f>IFERROR(M10/M9,"")</f>
        <v/>
      </c>
      <c r="N11" s="70">
        <f>IFERROR(N10/N9,"")</f>
        <v/>
      </c>
      <c r="O11" s="70">
        <f>IFERROR(O10/O9,"")</f>
        <v/>
      </c>
      <c r="P11" s="70">
        <f>IFERROR(P10/P9,"")</f>
        <v/>
      </c>
      <c r="Q11" s="70">
        <f>IFERROR(Q10/Q9,"")</f>
        <v/>
      </c>
      <c r="R11" s="70">
        <f>IFERROR(R10/R9,"")</f>
        <v/>
      </c>
      <c r="S11" s="70">
        <f>IFERROR(S10/S9,"")</f>
        <v/>
      </c>
      <c r="T11" s="70">
        <f>IFERROR(T10/T9,"")</f>
        <v/>
      </c>
      <c r="U11" s="70">
        <f>IFERROR(U10/U9,"")</f>
        <v/>
      </c>
      <c r="V11" s="70">
        <f>IFERROR(V10/V9,"")</f>
        <v/>
      </c>
      <c r="W11" s="70">
        <f>IFERROR(W10/W9,"")</f>
        <v/>
      </c>
      <c r="X11" s="70">
        <f>IFERROR(X10/X9,"")</f>
        <v/>
      </c>
      <c r="Y11" s="70">
        <f>IFERROR(Y10/Y9,"")</f>
        <v/>
      </c>
      <c r="Z11" s="70">
        <f>IFERROR(Z10/Z9,"")</f>
        <v/>
      </c>
      <c r="AA11" s="70">
        <f>IFERROR(AA10/AA9,"")</f>
        <v/>
      </c>
      <c r="AB11" s="70">
        <f>IFERROR(AB10/AB9,"")</f>
        <v/>
      </c>
      <c r="AC11" s="70">
        <f>IFERROR(AC10/AC9,"")</f>
        <v/>
      </c>
      <c r="AD11" s="70">
        <f>IFERROR(AD10/AD9,"")</f>
        <v/>
      </c>
      <c r="AE11" s="70">
        <f>IFERROR(AE10/AE9,"")</f>
        <v/>
      </c>
      <c r="AF11" s="70">
        <f>IFERROR(AF10/AF9,"")</f>
        <v/>
      </c>
      <c r="AG11" s="70">
        <f>IFERROR(AG10/AG9,"")</f>
        <v/>
      </c>
      <c r="AH11" s="70">
        <f>IFERROR(AH10/AH9,"")</f>
        <v/>
      </c>
      <c r="AI11" s="70">
        <f>IFERROR(AI10/AI9,"")</f>
        <v/>
      </c>
      <c r="AJ11" s="70">
        <f>IFERROR(AJ10/AJ9,"")</f>
        <v/>
      </c>
      <c r="AK11" s="70">
        <f>IFERROR(AK10/AK9,"")</f>
        <v/>
      </c>
      <c r="AL11" s="70">
        <f>IFERROR(AL10/AL9,"")</f>
        <v/>
      </c>
      <c r="AM11" s="70">
        <f>IFERROR(AM10/AM9,"")</f>
        <v/>
      </c>
      <c r="AN11" s="70">
        <f>IFERROR(AN10/AN9,"")</f>
        <v/>
      </c>
      <c r="AO11" s="70">
        <f>IFERROR(AO10/AO9,"")</f>
        <v/>
      </c>
      <c r="AP11" s="70">
        <f>IFERROR(AP10/AP9,"")</f>
        <v/>
      </c>
      <c r="AQ11" s="70">
        <f>IFERROR(AQ10/AQ9,"")</f>
        <v/>
      </c>
      <c r="AR11" s="70">
        <f>IFERROR(AR10/AR9,"")</f>
        <v/>
      </c>
      <c r="AS11" s="70">
        <f>IFERROR(AS10/AS9,"")</f>
        <v/>
      </c>
      <c r="AT11" s="70">
        <f>IFERROR(AT10/AT9,"")</f>
        <v/>
      </c>
      <c r="AU11" s="70">
        <f>IFERROR(AU10/AU9,"")</f>
        <v/>
      </c>
      <c r="AV11" s="70">
        <f>IFERROR(AV10/AV9,"")</f>
        <v/>
      </c>
      <c r="AW11" s="70">
        <f>IFERROR(AW10/AW9,"")</f>
        <v/>
      </c>
      <c r="AX11" s="70">
        <f>IFERROR(AX10/AX9,"")</f>
        <v/>
      </c>
      <c r="AY11" s="70">
        <f>IFERROR(AY10/AY9,"")</f>
        <v/>
      </c>
      <c r="AZ11" s="70">
        <f>IFERROR(AZ10/AZ9,"")</f>
        <v/>
      </c>
      <c r="BA11" s="70">
        <f>IFERROR(BA10/BA9,"")</f>
        <v/>
      </c>
      <c r="BB11" s="70">
        <f>IFERROR(BB10/BB9,"")</f>
        <v/>
      </c>
      <c r="BC11" s="70">
        <f>IFERROR(BC10/BC9,"")</f>
        <v/>
      </c>
      <c r="BD11" s="70">
        <f>IFERROR(BD10/BD9,"")</f>
        <v/>
      </c>
      <c r="BE11" s="70">
        <f>IFERROR(BE10/BE9,"")</f>
        <v/>
      </c>
      <c r="BF11" s="70">
        <f>IFERROR(BF10/BF9,"")</f>
        <v/>
      </c>
      <c r="BG11" s="70">
        <f>IFERROR(BG10/BG9,"")</f>
        <v/>
      </c>
      <c r="BH11" s="70">
        <f>IFERROR(BH10/BH9,"")</f>
        <v/>
      </c>
      <c r="BI11" s="70">
        <f>IFERROR(BI10/BI9,"")</f>
        <v/>
      </c>
      <c r="BJ11" s="70">
        <f>IFERROR(BJ10/BJ9,"")</f>
        <v/>
      </c>
      <c r="BK11" s="70">
        <f>IFERROR(BK10/BK9,"")</f>
        <v/>
      </c>
      <c r="BL11" s="70">
        <f>IFERROR(BL10/BL9,"")</f>
        <v/>
      </c>
      <c r="BM11" s="70">
        <f>IFERROR(BM10/BM9,"")</f>
        <v/>
      </c>
      <c r="BN11" s="70">
        <f>IFERROR(BN10/BN9,"")</f>
        <v/>
      </c>
      <c r="BO11" s="70">
        <f>IFERROR(BO10/BO9,"")</f>
        <v/>
      </c>
    </row>
    <row r="12">
      <c r="A12" s="66" t="n"/>
      <c r="B12" s="66" t="n"/>
      <c r="C12" s="71" t="inlineStr">
        <is>
          <t>K3</t>
        </is>
      </c>
      <c r="D12" s="37" t="inlineStr">
        <is>
          <t>Spec-in Value</t>
        </is>
      </c>
      <c r="E12" s="72" t="inlineStr">
        <is>
          <t>MVND</t>
        </is>
      </c>
      <c r="F12" s="65" t="inlineStr">
        <is>
          <t>Phasing</t>
        </is>
      </c>
      <c r="G12" s="56">
        <f>SUM(H12:BO12)</f>
        <v/>
      </c>
      <c r="H12" s="52" t="n">
        <v>75</v>
      </c>
      <c r="I12" s="52" t="n">
        <v>75</v>
      </c>
      <c r="J12" s="52" t="n">
        <v>75</v>
      </c>
      <c r="K12" s="52" t="n">
        <v>76</v>
      </c>
      <c r="L12" s="52" t="n"/>
      <c r="M12" s="52" t="n">
        <v>55</v>
      </c>
      <c r="N12" s="52" t="n">
        <v>55</v>
      </c>
      <c r="O12" s="52" t="n">
        <v>55</v>
      </c>
      <c r="P12" s="52" t="n">
        <v>55</v>
      </c>
      <c r="Q12" s="52" t="n"/>
      <c r="R12" s="52" t="n">
        <v>84</v>
      </c>
      <c r="S12" s="52" t="n">
        <v>84</v>
      </c>
      <c r="T12" s="52" t="n">
        <v>84</v>
      </c>
      <c r="U12" s="52" t="n">
        <v>84</v>
      </c>
      <c r="V12" s="52" t="n"/>
      <c r="W12" s="52" t="n">
        <v>88</v>
      </c>
      <c r="X12" s="52" t="n">
        <v>88</v>
      </c>
      <c r="Y12" s="52" t="n">
        <v>88</v>
      </c>
      <c r="Z12" s="52" t="n">
        <v>90</v>
      </c>
      <c r="AA12" s="52" t="n"/>
      <c r="AB12" s="52" t="n">
        <v>90</v>
      </c>
      <c r="AC12" s="52" t="n">
        <v>90</v>
      </c>
      <c r="AD12" s="52" t="n">
        <v>90</v>
      </c>
      <c r="AE12" s="52" t="n">
        <v>91</v>
      </c>
      <c r="AF12" s="52" t="n"/>
      <c r="AG12" s="52" t="n">
        <v>93</v>
      </c>
      <c r="AH12" s="52" t="n">
        <v>93</v>
      </c>
      <c r="AI12" s="52" t="n">
        <v>93</v>
      </c>
      <c r="AJ12" s="52" t="n">
        <v>93</v>
      </c>
      <c r="AK12" s="52" t="n"/>
      <c r="AL12" s="52" t="n">
        <v>88</v>
      </c>
      <c r="AM12" s="52" t="n">
        <v>88</v>
      </c>
      <c r="AN12" s="52" t="n">
        <v>88</v>
      </c>
      <c r="AO12" s="52" t="n">
        <v>90</v>
      </c>
      <c r="AP12" s="52" t="n"/>
      <c r="AQ12" s="52" t="n">
        <v>91</v>
      </c>
      <c r="AR12" s="52" t="n">
        <v>91</v>
      </c>
      <c r="AS12" s="52" t="n">
        <v>91</v>
      </c>
      <c r="AT12" s="52" t="n">
        <v>92</v>
      </c>
      <c r="AU12" s="52" t="n"/>
      <c r="AV12" s="52" t="n">
        <v>95</v>
      </c>
      <c r="AW12" s="52" t="n">
        <v>95</v>
      </c>
      <c r="AX12" s="52" t="n">
        <v>95</v>
      </c>
      <c r="AY12" s="52" t="n">
        <v>97</v>
      </c>
      <c r="AZ12" s="52" t="n"/>
      <c r="BA12" s="52" t="n">
        <v>99</v>
      </c>
      <c r="BB12" s="52" t="n">
        <v>99</v>
      </c>
      <c r="BC12" s="52" t="n">
        <v>99</v>
      </c>
      <c r="BD12" s="52" t="n">
        <v>100</v>
      </c>
      <c r="BE12" s="52" t="n"/>
      <c r="BF12" s="52" t="n">
        <v>101</v>
      </c>
      <c r="BG12" s="52" t="n">
        <v>101</v>
      </c>
      <c r="BH12" s="52" t="n">
        <v>101</v>
      </c>
      <c r="BI12" s="52" t="n">
        <v>104</v>
      </c>
      <c r="BJ12" s="52" t="n"/>
      <c r="BK12" s="52" t="n">
        <v>100</v>
      </c>
      <c r="BL12" s="52" t="n">
        <v>100</v>
      </c>
      <c r="BM12" s="52" t="n">
        <v>100</v>
      </c>
      <c r="BN12" s="52" t="n">
        <v>101</v>
      </c>
      <c r="BO12" s="52" t="n"/>
    </row>
    <row r="13">
      <c r="A13" s="66" t="n"/>
      <c r="B13" s="66" t="n"/>
      <c r="C13" s="66" t="n"/>
      <c r="D13" s="66" t="n"/>
      <c r="E13" s="66" t="n"/>
      <c r="F13" s="65" t="inlineStr">
        <is>
          <t>Actual</t>
        </is>
      </c>
      <c r="G13" s="56">
        <f>SUM(H13:BO13)</f>
        <v/>
      </c>
      <c r="H13" s="52" t="n">
        <v>69</v>
      </c>
      <c r="I13" s="52" t="n">
        <v>84</v>
      </c>
      <c r="J13" s="52" t="n">
        <v>67</v>
      </c>
      <c r="K13" s="52" t="n">
        <v>82</v>
      </c>
      <c r="L13" s="52" t="n"/>
      <c r="M13" s="52" t="n">
        <v>49</v>
      </c>
      <c r="N13" s="52" t="n">
        <v>55</v>
      </c>
      <c r="O13" s="52" t="n">
        <v>51</v>
      </c>
      <c r="P13" s="52" t="n">
        <v>52</v>
      </c>
      <c r="Q13" s="52" t="n"/>
      <c r="R13" s="52" t="n">
        <v>101</v>
      </c>
      <c r="S13" s="52" t="n">
        <v>96</v>
      </c>
      <c r="T13" s="52" t="n">
        <v>80</v>
      </c>
      <c r="U13" s="52" t="n">
        <v>99</v>
      </c>
      <c r="V13" s="52" t="n"/>
      <c r="W13" s="52" t="n">
        <v>81</v>
      </c>
      <c r="X13" s="52" t="n">
        <v>87</v>
      </c>
      <c r="Y13" s="52" t="n">
        <v>102</v>
      </c>
      <c r="Z13" s="52" t="n">
        <v>97</v>
      </c>
      <c r="AA13" s="52" t="n"/>
      <c r="AB13" s="52" t="n">
        <v>79</v>
      </c>
      <c r="AC13" s="52" t="n">
        <v>109</v>
      </c>
      <c r="AD13" s="52" t="n">
        <v>83</v>
      </c>
      <c r="AE13" s="52" t="n">
        <v>86</v>
      </c>
      <c r="AF13" s="52" t="n"/>
      <c r="AG13" s="52" t="n">
        <v>105</v>
      </c>
      <c r="AH13" s="52" t="n">
        <v>90</v>
      </c>
      <c r="AI13" s="52" t="n">
        <v>89</v>
      </c>
      <c r="AJ13" s="52" t="n">
        <v>81</v>
      </c>
      <c r="AK13" s="52" t="n"/>
      <c r="AL13" s="52" t="n">
        <v>77</v>
      </c>
      <c r="AM13" s="52" t="n">
        <v>93</v>
      </c>
      <c r="AN13" s="52" t="n">
        <v>82</v>
      </c>
      <c r="AO13" s="52" t="n">
        <v>96</v>
      </c>
      <c r="AP13" s="52" t="n"/>
      <c r="AQ13" s="52" t="n">
        <v>89</v>
      </c>
      <c r="AR13" s="52" t="n">
        <v>92</v>
      </c>
      <c r="AS13" s="52" t="n">
        <v>109</v>
      </c>
      <c r="AT13" s="52" t="n">
        <v>94</v>
      </c>
      <c r="AU13" s="52" t="n"/>
      <c r="AV13" s="52" t="n">
        <v>100</v>
      </c>
      <c r="AW13" s="52" t="n">
        <v>111</v>
      </c>
      <c r="AX13" s="52" t="n">
        <v>87</v>
      </c>
      <c r="AY13" s="52" t="n">
        <v>87</v>
      </c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 t="n"/>
      <c r="BN13" s="52" t="n"/>
      <c r="BO13" s="52" t="n"/>
    </row>
    <row r="14">
      <c r="A14" s="66" t="n"/>
      <c r="B14" s="66" t="n"/>
      <c r="C14" s="67" t="n"/>
      <c r="D14" s="67" t="n"/>
      <c r="E14" s="67" t="n"/>
      <c r="F14" s="68" t="inlineStr">
        <is>
          <t>% Achieved</t>
        </is>
      </c>
      <c r="G14" s="69">
        <f>IFERROR(G13/G12,"")</f>
        <v/>
      </c>
      <c r="H14" s="70">
        <f>IFERROR(H13/H12,"")</f>
        <v/>
      </c>
      <c r="I14" s="70">
        <f>IFERROR(I13/I12,"")</f>
        <v/>
      </c>
      <c r="J14" s="70">
        <f>IFERROR(J13/J12,"")</f>
        <v/>
      </c>
      <c r="K14" s="70">
        <f>IFERROR(K13/K12,"")</f>
        <v/>
      </c>
      <c r="L14" s="70">
        <f>IFERROR(L13/L12,"")</f>
        <v/>
      </c>
      <c r="M14" s="70">
        <f>IFERROR(M13/M12,"")</f>
        <v/>
      </c>
      <c r="N14" s="70">
        <f>IFERROR(N13/N12,"")</f>
        <v/>
      </c>
      <c r="O14" s="70">
        <f>IFERROR(O13/O12,"")</f>
        <v/>
      </c>
      <c r="P14" s="70">
        <f>IFERROR(P13/P12,"")</f>
        <v/>
      </c>
      <c r="Q14" s="70">
        <f>IFERROR(Q13/Q12,"")</f>
        <v/>
      </c>
      <c r="R14" s="70">
        <f>IFERROR(R13/R12,"")</f>
        <v/>
      </c>
      <c r="S14" s="70">
        <f>IFERROR(S13/S12,"")</f>
        <v/>
      </c>
      <c r="T14" s="70">
        <f>IFERROR(T13/T12,"")</f>
        <v/>
      </c>
      <c r="U14" s="70">
        <f>IFERROR(U13/U12,"")</f>
        <v/>
      </c>
      <c r="V14" s="70">
        <f>IFERROR(V13/V12,"")</f>
        <v/>
      </c>
      <c r="W14" s="70">
        <f>IFERROR(W13/W12,"")</f>
        <v/>
      </c>
      <c r="X14" s="70">
        <f>IFERROR(X13/X12,"")</f>
        <v/>
      </c>
      <c r="Y14" s="70">
        <f>IFERROR(Y13/Y12,"")</f>
        <v/>
      </c>
      <c r="Z14" s="70">
        <f>IFERROR(Z13/Z12,"")</f>
        <v/>
      </c>
      <c r="AA14" s="70">
        <f>IFERROR(AA13/AA12,"")</f>
        <v/>
      </c>
      <c r="AB14" s="70">
        <f>IFERROR(AB13/AB12,"")</f>
        <v/>
      </c>
      <c r="AC14" s="70">
        <f>IFERROR(AC13/AC12,"")</f>
        <v/>
      </c>
      <c r="AD14" s="70">
        <f>IFERROR(AD13/AD12,"")</f>
        <v/>
      </c>
      <c r="AE14" s="70">
        <f>IFERROR(AE13/AE12,"")</f>
        <v/>
      </c>
      <c r="AF14" s="70">
        <f>IFERROR(AF13/AF12,"")</f>
        <v/>
      </c>
      <c r="AG14" s="70">
        <f>IFERROR(AG13/AG12,"")</f>
        <v/>
      </c>
      <c r="AH14" s="70">
        <f>IFERROR(AH13/AH12,"")</f>
        <v/>
      </c>
      <c r="AI14" s="70">
        <f>IFERROR(AI13/AI12,"")</f>
        <v/>
      </c>
      <c r="AJ14" s="70">
        <f>IFERROR(AJ13/AJ12,"")</f>
        <v/>
      </c>
      <c r="AK14" s="70">
        <f>IFERROR(AK13/AK12,"")</f>
        <v/>
      </c>
      <c r="AL14" s="70">
        <f>IFERROR(AL13/AL12,"")</f>
        <v/>
      </c>
      <c r="AM14" s="70">
        <f>IFERROR(AM13/AM12,"")</f>
        <v/>
      </c>
      <c r="AN14" s="70">
        <f>IFERROR(AN13/AN12,"")</f>
        <v/>
      </c>
      <c r="AO14" s="70">
        <f>IFERROR(AO13/AO12,"")</f>
        <v/>
      </c>
      <c r="AP14" s="70">
        <f>IFERROR(AP13/AP12,"")</f>
        <v/>
      </c>
      <c r="AQ14" s="70">
        <f>IFERROR(AQ13/AQ12,"")</f>
        <v/>
      </c>
      <c r="AR14" s="70">
        <f>IFERROR(AR13/AR12,"")</f>
        <v/>
      </c>
      <c r="AS14" s="70">
        <f>IFERROR(AS13/AS12,"")</f>
        <v/>
      </c>
      <c r="AT14" s="70">
        <f>IFERROR(AT13/AT12,"")</f>
        <v/>
      </c>
      <c r="AU14" s="70">
        <f>IFERROR(AU13/AU12,"")</f>
        <v/>
      </c>
      <c r="AV14" s="70">
        <f>IFERROR(AV13/AV12,"")</f>
        <v/>
      </c>
      <c r="AW14" s="70">
        <f>IFERROR(AW13/AW12,"")</f>
        <v/>
      </c>
      <c r="AX14" s="70">
        <f>IFERROR(AX13/AX12,"")</f>
        <v/>
      </c>
      <c r="AY14" s="70">
        <f>IFERROR(AY13/AY12,"")</f>
        <v/>
      </c>
      <c r="AZ14" s="70">
        <f>IFERROR(AZ13/AZ12,"")</f>
        <v/>
      </c>
      <c r="BA14" s="70">
        <f>IFERROR(BA13/BA12,"")</f>
        <v/>
      </c>
      <c r="BB14" s="70">
        <f>IFERROR(BB13/BB12,"")</f>
        <v/>
      </c>
      <c r="BC14" s="70">
        <f>IFERROR(BC13/BC12,"")</f>
        <v/>
      </c>
      <c r="BD14" s="70">
        <f>IFERROR(BD13/BD12,"")</f>
        <v/>
      </c>
      <c r="BE14" s="70">
        <f>IFERROR(BE13/BE12,"")</f>
        <v/>
      </c>
      <c r="BF14" s="70">
        <f>IFERROR(BF13/BF12,"")</f>
        <v/>
      </c>
      <c r="BG14" s="70">
        <f>IFERROR(BG13/BG12,"")</f>
        <v/>
      </c>
      <c r="BH14" s="70">
        <f>IFERROR(BH13/BH12,"")</f>
        <v/>
      </c>
      <c r="BI14" s="70">
        <f>IFERROR(BI13/BI12,"")</f>
        <v/>
      </c>
      <c r="BJ14" s="70">
        <f>IFERROR(BJ13/BJ12,"")</f>
        <v/>
      </c>
      <c r="BK14" s="70">
        <f>IFERROR(BK13/BK12,"")</f>
        <v/>
      </c>
      <c r="BL14" s="70">
        <f>IFERROR(BL13/BL12,"")</f>
        <v/>
      </c>
      <c r="BM14" s="70">
        <f>IFERROR(BM13/BM12,"")</f>
        <v/>
      </c>
      <c r="BN14" s="70">
        <f>IFERROR(BN13/BN12,"")</f>
        <v/>
      </c>
      <c r="BO14" s="70">
        <f>IFERROR(BO13/BO12,"")</f>
        <v/>
      </c>
    </row>
    <row r="15">
      <c r="A15" s="66" t="n"/>
      <c r="B15" s="66" t="n"/>
      <c r="C15" s="71" t="inlineStr">
        <is>
          <t>K4</t>
        </is>
      </c>
      <c r="D15" s="37" t="inlineStr">
        <is>
          <t>Engaged Architect (Submit Design)</t>
        </is>
      </c>
      <c r="E15" s="72" t="inlineStr">
        <is>
          <t>D&amp;B</t>
        </is>
      </c>
      <c r="F15" s="65" t="inlineStr">
        <is>
          <t>Phasing</t>
        </is>
      </c>
      <c r="G15" s="56">
        <f>SUM(H15:BO15)</f>
        <v/>
      </c>
      <c r="H15" s="52" t="n">
        <v>1</v>
      </c>
      <c r="I15" s="52" t="n">
        <v>1</v>
      </c>
      <c r="J15" s="52" t="n">
        <v>1</v>
      </c>
      <c r="K15" s="52" t="n">
        <v>3</v>
      </c>
      <c r="L15" s="52" t="n"/>
      <c r="M15" s="52" t="n">
        <v>1</v>
      </c>
      <c r="N15" s="52" t="n">
        <v>1</v>
      </c>
      <c r="O15" s="52" t="n">
        <v>1</v>
      </c>
      <c r="P15" s="52" t="n">
        <v>1</v>
      </c>
      <c r="Q15" s="52" t="n"/>
      <c r="R15" s="52" t="n">
        <v>1</v>
      </c>
      <c r="S15" s="52" t="n">
        <v>1</v>
      </c>
      <c r="T15" s="52" t="n">
        <v>1</v>
      </c>
      <c r="U15" s="52" t="n">
        <v>3</v>
      </c>
      <c r="V15" s="52" t="n"/>
      <c r="W15" s="52" t="n">
        <v>1</v>
      </c>
      <c r="X15" s="52" t="n">
        <v>1</v>
      </c>
      <c r="Y15" s="52" t="n">
        <v>1</v>
      </c>
      <c r="Z15" s="52" t="n">
        <v>4</v>
      </c>
      <c r="AA15" s="52" t="n"/>
      <c r="AB15" s="52" t="n">
        <v>1</v>
      </c>
      <c r="AC15" s="52" t="n">
        <v>1</v>
      </c>
      <c r="AD15" s="52" t="n">
        <v>1</v>
      </c>
      <c r="AE15" s="52" t="n">
        <v>4</v>
      </c>
      <c r="AF15" s="52" t="n"/>
      <c r="AG15" s="52" t="n">
        <v>1</v>
      </c>
      <c r="AH15" s="52" t="n">
        <v>1</v>
      </c>
      <c r="AI15" s="52" t="n">
        <v>1</v>
      </c>
      <c r="AJ15" s="52" t="n">
        <v>4</v>
      </c>
      <c r="AK15" s="52" t="n"/>
      <c r="AL15" s="52" t="n">
        <v>1</v>
      </c>
      <c r="AM15" s="52" t="n">
        <v>1</v>
      </c>
      <c r="AN15" s="52" t="n">
        <v>1</v>
      </c>
      <c r="AO15" s="52" t="n">
        <v>4</v>
      </c>
      <c r="AP15" s="52" t="n"/>
      <c r="AQ15" s="52" t="n">
        <v>1</v>
      </c>
      <c r="AR15" s="52" t="n">
        <v>1</v>
      </c>
      <c r="AS15" s="52" t="n">
        <v>1</v>
      </c>
      <c r="AT15" s="52" t="n">
        <v>4</v>
      </c>
      <c r="AU15" s="52" t="n"/>
      <c r="AV15" s="52" t="n">
        <v>1</v>
      </c>
      <c r="AW15" s="52" t="n">
        <v>1</v>
      </c>
      <c r="AX15" s="52" t="n">
        <v>1</v>
      </c>
      <c r="AY15" s="52" t="n">
        <v>4</v>
      </c>
      <c r="AZ15" s="52" t="n"/>
      <c r="BA15" s="52" t="n">
        <v>1</v>
      </c>
      <c r="BB15" s="52" t="n">
        <v>1</v>
      </c>
      <c r="BC15" s="52" t="n">
        <v>1</v>
      </c>
      <c r="BD15" s="52" t="n">
        <v>4</v>
      </c>
      <c r="BE15" s="52" t="n"/>
      <c r="BF15" s="52" t="n">
        <v>2</v>
      </c>
      <c r="BG15" s="52" t="n">
        <v>2</v>
      </c>
      <c r="BH15" s="52" t="n">
        <v>2</v>
      </c>
      <c r="BI15" s="52" t="n">
        <v>2</v>
      </c>
      <c r="BJ15" s="52" t="n"/>
      <c r="BK15" s="52" t="n">
        <v>1</v>
      </c>
      <c r="BL15" s="52" t="n">
        <v>1</v>
      </c>
      <c r="BM15" s="52" t="n">
        <v>1</v>
      </c>
      <c r="BN15" s="52" t="n">
        <v>4</v>
      </c>
      <c r="BO15" s="52" t="n"/>
    </row>
    <row r="16">
      <c r="A16" s="66" t="n"/>
      <c r="B16" s="66" t="n"/>
      <c r="C16" s="66" t="n"/>
      <c r="D16" s="66" t="n"/>
      <c r="E16" s="66" t="n"/>
      <c r="F16" s="65" t="inlineStr">
        <is>
          <t>Actual</t>
        </is>
      </c>
      <c r="G16" s="56">
        <f>SUM(H16:BO16)</f>
        <v/>
      </c>
      <c r="H16" s="52" t="n">
        <v>1</v>
      </c>
      <c r="I16" s="52" t="n">
        <v>1</v>
      </c>
      <c r="J16" s="52" t="n">
        <v>1</v>
      </c>
      <c r="K16" s="52" t="n">
        <v>3</v>
      </c>
      <c r="L16" s="52" t="n"/>
      <c r="M16" s="52" t="n">
        <v>1</v>
      </c>
      <c r="N16" s="52" t="n">
        <v>1</v>
      </c>
      <c r="O16" s="52" t="n">
        <v>1</v>
      </c>
      <c r="P16" s="52" t="n">
        <v>1</v>
      </c>
      <c r="Q16" s="52" t="n"/>
      <c r="R16" s="52" t="n">
        <v>1</v>
      </c>
      <c r="S16" s="52" t="n">
        <v>1</v>
      </c>
      <c r="T16" s="52" t="n">
        <v>1</v>
      </c>
      <c r="U16" s="52" t="n">
        <v>3</v>
      </c>
      <c r="V16" s="52" t="n"/>
      <c r="W16" s="52" t="n">
        <v>1</v>
      </c>
      <c r="X16" s="52" t="n">
        <v>1</v>
      </c>
      <c r="Y16" s="52" t="n">
        <v>1</v>
      </c>
      <c r="Z16" s="52" t="n">
        <v>4</v>
      </c>
      <c r="AA16" s="52" t="n"/>
      <c r="AB16" s="52" t="n">
        <v>1</v>
      </c>
      <c r="AC16" s="52" t="n">
        <v>1</v>
      </c>
      <c r="AD16" s="52" t="n">
        <v>1</v>
      </c>
      <c r="AE16" s="52" t="n">
        <v>4</v>
      </c>
      <c r="AF16" s="52" t="n"/>
      <c r="AG16" s="52" t="n">
        <v>1</v>
      </c>
      <c r="AH16" s="52" t="n">
        <v>1</v>
      </c>
      <c r="AI16" s="52" t="n">
        <v>1</v>
      </c>
      <c r="AJ16" s="52" t="n">
        <v>4</v>
      </c>
      <c r="AK16" s="52" t="n"/>
      <c r="AL16" s="52" t="n">
        <v>1</v>
      </c>
      <c r="AM16" s="52" t="n">
        <v>1</v>
      </c>
      <c r="AN16" s="52" t="n">
        <v>1</v>
      </c>
      <c r="AO16" s="52" t="n">
        <v>4</v>
      </c>
      <c r="AP16" s="52" t="n"/>
      <c r="AQ16" s="52" t="n">
        <v>1</v>
      </c>
      <c r="AR16" s="52" t="n">
        <v>1</v>
      </c>
      <c r="AS16" s="52" t="n">
        <v>1</v>
      </c>
      <c r="AT16" s="52" t="n">
        <v>4</v>
      </c>
      <c r="AU16" s="52" t="n"/>
      <c r="AV16" s="52" t="n">
        <v>1</v>
      </c>
      <c r="AW16" s="52" t="n">
        <v>1</v>
      </c>
      <c r="AX16" s="52" t="n">
        <v>1</v>
      </c>
      <c r="AY16" s="52" t="n">
        <v>4</v>
      </c>
      <c r="AZ16" s="52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 t="n"/>
      <c r="BN16" s="52" t="n"/>
      <c r="BO16" s="52" t="n"/>
    </row>
    <row r="17">
      <c r="A17" s="66" t="n"/>
      <c r="B17" s="66" t="n"/>
      <c r="C17" s="67" t="n"/>
      <c r="D17" s="67" t="n"/>
      <c r="E17" s="67" t="n"/>
      <c r="F17" s="68" t="inlineStr">
        <is>
          <t>% Achieved</t>
        </is>
      </c>
      <c r="G17" s="69">
        <f>IFERROR(G16/G15,"")</f>
        <v/>
      </c>
      <c r="H17" s="70">
        <f>IFERROR(H16/H15,"")</f>
        <v/>
      </c>
      <c r="I17" s="70">
        <f>IFERROR(I16/I15,"")</f>
        <v/>
      </c>
      <c r="J17" s="70">
        <f>IFERROR(J16/J15,"")</f>
        <v/>
      </c>
      <c r="K17" s="70">
        <f>IFERROR(K16/K15,"")</f>
        <v/>
      </c>
      <c r="L17" s="70">
        <f>IFERROR(L16/L15,"")</f>
        <v/>
      </c>
      <c r="M17" s="70">
        <f>IFERROR(M16/M15,"")</f>
        <v/>
      </c>
      <c r="N17" s="70">
        <f>IFERROR(N16/N15,"")</f>
        <v/>
      </c>
      <c r="O17" s="70">
        <f>IFERROR(O16/O15,"")</f>
        <v/>
      </c>
      <c r="P17" s="70">
        <f>IFERROR(P16/P15,"")</f>
        <v/>
      </c>
      <c r="Q17" s="70">
        <f>IFERROR(Q16/Q15,"")</f>
        <v/>
      </c>
      <c r="R17" s="70">
        <f>IFERROR(R16/R15,"")</f>
        <v/>
      </c>
      <c r="S17" s="70">
        <f>IFERROR(S16/S15,"")</f>
        <v/>
      </c>
      <c r="T17" s="70">
        <f>IFERROR(T16/T15,"")</f>
        <v/>
      </c>
      <c r="U17" s="70">
        <f>IFERROR(U16/U15,"")</f>
        <v/>
      </c>
      <c r="V17" s="70">
        <f>IFERROR(V16/V15,"")</f>
        <v/>
      </c>
      <c r="W17" s="70">
        <f>IFERROR(W16/W15,"")</f>
        <v/>
      </c>
      <c r="X17" s="70">
        <f>IFERROR(X16/X15,"")</f>
        <v/>
      </c>
      <c r="Y17" s="70">
        <f>IFERROR(Y16/Y15,"")</f>
        <v/>
      </c>
      <c r="Z17" s="70">
        <f>IFERROR(Z16/Z15,"")</f>
        <v/>
      </c>
      <c r="AA17" s="70">
        <f>IFERROR(AA16/AA15,"")</f>
        <v/>
      </c>
      <c r="AB17" s="70">
        <f>IFERROR(AB16/AB15,"")</f>
        <v/>
      </c>
      <c r="AC17" s="70">
        <f>IFERROR(AC16/AC15,"")</f>
        <v/>
      </c>
      <c r="AD17" s="70">
        <f>IFERROR(AD16/AD15,"")</f>
        <v/>
      </c>
      <c r="AE17" s="70">
        <f>IFERROR(AE16/AE15,"")</f>
        <v/>
      </c>
      <c r="AF17" s="70">
        <f>IFERROR(AF16/AF15,"")</f>
        <v/>
      </c>
      <c r="AG17" s="70">
        <f>IFERROR(AG16/AG15,"")</f>
        <v/>
      </c>
      <c r="AH17" s="70">
        <f>IFERROR(AH16/AH15,"")</f>
        <v/>
      </c>
      <c r="AI17" s="70">
        <f>IFERROR(AI16/AI15,"")</f>
        <v/>
      </c>
      <c r="AJ17" s="70">
        <f>IFERROR(AJ16/AJ15,"")</f>
        <v/>
      </c>
      <c r="AK17" s="70">
        <f>IFERROR(AK16/AK15,"")</f>
        <v/>
      </c>
      <c r="AL17" s="70">
        <f>IFERROR(AL16/AL15,"")</f>
        <v/>
      </c>
      <c r="AM17" s="70">
        <f>IFERROR(AM16/AM15,"")</f>
        <v/>
      </c>
      <c r="AN17" s="70">
        <f>IFERROR(AN16/AN15,"")</f>
        <v/>
      </c>
      <c r="AO17" s="70">
        <f>IFERROR(AO16/AO15,"")</f>
        <v/>
      </c>
      <c r="AP17" s="70">
        <f>IFERROR(AP16/AP15,"")</f>
        <v/>
      </c>
      <c r="AQ17" s="70">
        <f>IFERROR(AQ16/AQ15,"")</f>
        <v/>
      </c>
      <c r="AR17" s="70">
        <f>IFERROR(AR16/AR15,"")</f>
        <v/>
      </c>
      <c r="AS17" s="70">
        <f>IFERROR(AS16/AS15,"")</f>
        <v/>
      </c>
      <c r="AT17" s="70">
        <f>IFERROR(AT16/AT15,"")</f>
        <v/>
      </c>
      <c r="AU17" s="70">
        <f>IFERROR(AU16/AU15,"")</f>
        <v/>
      </c>
      <c r="AV17" s="70">
        <f>IFERROR(AV16/AV15,"")</f>
        <v/>
      </c>
      <c r="AW17" s="70">
        <f>IFERROR(AW16/AW15,"")</f>
        <v/>
      </c>
      <c r="AX17" s="70">
        <f>IFERROR(AX16/AX15,"")</f>
        <v/>
      </c>
      <c r="AY17" s="70">
        <f>IFERROR(AY16/AY15,"")</f>
        <v/>
      </c>
      <c r="AZ17" s="70">
        <f>IFERROR(AZ16/AZ15,"")</f>
        <v/>
      </c>
      <c r="BA17" s="70">
        <f>IFERROR(BA16/BA15,"")</f>
        <v/>
      </c>
      <c r="BB17" s="70">
        <f>IFERROR(BB16/BB15,"")</f>
        <v/>
      </c>
      <c r="BC17" s="70">
        <f>IFERROR(BC16/BC15,"")</f>
        <v/>
      </c>
      <c r="BD17" s="70">
        <f>IFERROR(BD16/BD15,"")</f>
        <v/>
      </c>
      <c r="BE17" s="70">
        <f>IFERROR(BE16/BE15,"")</f>
        <v/>
      </c>
      <c r="BF17" s="70">
        <f>IFERROR(BF16/BF15,"")</f>
        <v/>
      </c>
      <c r="BG17" s="70">
        <f>IFERROR(BG16/BG15,"")</f>
        <v/>
      </c>
      <c r="BH17" s="70">
        <f>IFERROR(BH16/BH15,"")</f>
        <v/>
      </c>
      <c r="BI17" s="70">
        <f>IFERROR(BI16/BI15,"")</f>
        <v/>
      </c>
      <c r="BJ17" s="70">
        <f>IFERROR(BJ16/BJ15,"")</f>
        <v/>
      </c>
      <c r="BK17" s="70">
        <f>IFERROR(BK16/BK15,"")</f>
        <v/>
      </c>
      <c r="BL17" s="70">
        <f>IFERROR(BL16/BL15,"")</f>
        <v/>
      </c>
      <c r="BM17" s="70">
        <f>IFERROR(BM16/BM15,"")</f>
        <v/>
      </c>
      <c r="BN17" s="70">
        <f>IFERROR(BN16/BN15,"")</f>
        <v/>
      </c>
      <c r="BO17" s="70">
        <f>IFERROR(BO16/BO15,"")</f>
        <v/>
      </c>
    </row>
    <row r="18">
      <c r="A18" s="66" t="n"/>
      <c r="B18" s="66" t="n"/>
      <c r="C18" s="73" t="inlineStr">
        <is>
          <t>K5</t>
        </is>
      </c>
      <c r="D18" s="41" t="inlineStr">
        <is>
          <t>Spec-in Design (submitted design)</t>
        </is>
      </c>
      <c r="E18" s="74" t="inlineStr">
        <is>
          <t>Designs</t>
        </is>
      </c>
      <c r="F18" s="65" t="inlineStr">
        <is>
          <t>Phasing</t>
        </is>
      </c>
      <c r="G18" s="56">
        <f>SUM(H18:BO18)</f>
        <v/>
      </c>
      <c r="H18" s="52" t="n">
        <v>1</v>
      </c>
      <c r="I18" s="52" t="n">
        <v>1</v>
      </c>
      <c r="J18" s="52" t="n">
        <v>1</v>
      </c>
      <c r="K18" s="52" t="n">
        <v>3</v>
      </c>
      <c r="L18" s="52" t="n"/>
      <c r="M18" s="52" t="n">
        <v>1</v>
      </c>
      <c r="N18" s="52" t="n">
        <v>1</v>
      </c>
      <c r="O18" s="52" t="n">
        <v>1</v>
      </c>
      <c r="P18" s="52" t="n">
        <v>1</v>
      </c>
      <c r="Q18" s="52" t="n"/>
      <c r="R18" s="52" t="n">
        <v>1</v>
      </c>
      <c r="S18" s="52" t="n">
        <v>1</v>
      </c>
      <c r="T18" s="52" t="n">
        <v>1</v>
      </c>
      <c r="U18" s="52" t="n">
        <v>4</v>
      </c>
      <c r="V18" s="52" t="n"/>
      <c r="W18" s="52" t="n">
        <v>1</v>
      </c>
      <c r="X18" s="52" t="n">
        <v>1</v>
      </c>
      <c r="Y18" s="52" t="n">
        <v>1</v>
      </c>
      <c r="Z18" s="52" t="n">
        <v>4</v>
      </c>
      <c r="AA18" s="52" t="n"/>
      <c r="AB18" s="52" t="n">
        <v>1</v>
      </c>
      <c r="AC18" s="52" t="n">
        <v>1</v>
      </c>
      <c r="AD18" s="52" t="n">
        <v>1</v>
      </c>
      <c r="AE18" s="52" t="n">
        <v>4</v>
      </c>
      <c r="AF18" s="52" t="n"/>
      <c r="AG18" s="52" t="n">
        <v>1</v>
      </c>
      <c r="AH18" s="52" t="n">
        <v>1</v>
      </c>
      <c r="AI18" s="52" t="n">
        <v>1</v>
      </c>
      <c r="AJ18" s="52" t="n">
        <v>4</v>
      </c>
      <c r="AK18" s="52" t="n"/>
      <c r="AL18" s="52" t="n">
        <v>1</v>
      </c>
      <c r="AM18" s="52" t="n">
        <v>1</v>
      </c>
      <c r="AN18" s="52" t="n">
        <v>1</v>
      </c>
      <c r="AO18" s="52" t="n">
        <v>4</v>
      </c>
      <c r="AP18" s="52" t="n"/>
      <c r="AQ18" s="52" t="n">
        <v>1</v>
      </c>
      <c r="AR18" s="52" t="n">
        <v>1</v>
      </c>
      <c r="AS18" s="52" t="n">
        <v>1</v>
      </c>
      <c r="AT18" s="52" t="n">
        <v>4</v>
      </c>
      <c r="AU18" s="52" t="n"/>
      <c r="AV18" s="52" t="n">
        <v>2</v>
      </c>
      <c r="AW18" s="52" t="n">
        <v>2</v>
      </c>
      <c r="AX18" s="52" t="n">
        <v>2</v>
      </c>
      <c r="AY18" s="52" t="n">
        <v>2</v>
      </c>
      <c r="AZ18" s="52" t="n"/>
      <c r="BA18" s="52" t="n">
        <v>2</v>
      </c>
      <c r="BB18" s="52" t="n">
        <v>2</v>
      </c>
      <c r="BC18" s="52" t="n">
        <v>2</v>
      </c>
      <c r="BD18" s="52" t="n">
        <v>2</v>
      </c>
      <c r="BE18" s="52" t="n"/>
      <c r="BF18" s="52" t="n">
        <v>2</v>
      </c>
      <c r="BG18" s="52" t="n">
        <v>2</v>
      </c>
      <c r="BH18" s="52" t="n">
        <v>2</v>
      </c>
      <c r="BI18" s="52" t="n">
        <v>2</v>
      </c>
      <c r="BJ18" s="52" t="n"/>
      <c r="BK18" s="52" t="n">
        <v>2</v>
      </c>
      <c r="BL18" s="52" t="n">
        <v>2</v>
      </c>
      <c r="BM18" s="52" t="n">
        <v>2</v>
      </c>
      <c r="BN18" s="52" t="n">
        <v>3</v>
      </c>
      <c r="BO18" s="52" t="n"/>
    </row>
    <row r="19">
      <c r="A19" s="66" t="n"/>
      <c r="B19" s="66" t="n"/>
      <c r="C19" s="66" t="n"/>
      <c r="D19" s="66" t="n"/>
      <c r="E19" s="66" t="n"/>
      <c r="F19" s="65" t="inlineStr">
        <is>
          <t>Actual</t>
        </is>
      </c>
      <c r="G19" s="56">
        <f>SUM(H19:BO19)</f>
        <v/>
      </c>
      <c r="H19" s="52" t="n">
        <v>1</v>
      </c>
      <c r="I19" s="52" t="n">
        <v>1</v>
      </c>
      <c r="J19" s="52" t="n">
        <v>1</v>
      </c>
      <c r="K19" s="52" t="n">
        <v>4</v>
      </c>
      <c r="L19" s="52" t="n"/>
      <c r="M19" s="52" t="n">
        <v>1</v>
      </c>
      <c r="N19" s="52" t="n">
        <v>1</v>
      </c>
      <c r="O19" s="52" t="n">
        <v>1</v>
      </c>
      <c r="P19" s="52" t="n">
        <v>1</v>
      </c>
      <c r="Q19" s="52" t="n"/>
      <c r="R19" s="52" t="n">
        <v>1</v>
      </c>
      <c r="S19" s="52" t="n">
        <v>1</v>
      </c>
      <c r="T19" s="52" t="n">
        <v>1</v>
      </c>
      <c r="U19" s="52" t="n">
        <v>5</v>
      </c>
      <c r="V19" s="52" t="n"/>
      <c r="W19" s="52" t="n">
        <v>1</v>
      </c>
      <c r="X19" s="52" t="n">
        <v>1</v>
      </c>
      <c r="Y19" s="52" t="n">
        <v>1</v>
      </c>
      <c r="Z19" s="52" t="n">
        <v>4</v>
      </c>
      <c r="AA19" s="52" t="n"/>
      <c r="AB19" s="52" t="n">
        <v>1</v>
      </c>
      <c r="AC19" s="52" t="n">
        <v>1</v>
      </c>
      <c r="AD19" s="52" t="n">
        <v>1</v>
      </c>
      <c r="AE19" s="52" t="n">
        <v>5</v>
      </c>
      <c r="AF19" s="52" t="n"/>
      <c r="AG19" s="52" t="n">
        <v>1</v>
      </c>
      <c r="AH19" s="52" t="n">
        <v>1</v>
      </c>
      <c r="AI19" s="52" t="n">
        <v>1</v>
      </c>
      <c r="AJ19" s="52" t="n">
        <v>5</v>
      </c>
      <c r="AK19" s="52" t="n"/>
      <c r="AL19" s="52" t="n">
        <v>1</v>
      </c>
      <c r="AM19" s="52" t="n">
        <v>1</v>
      </c>
      <c r="AN19" s="52" t="n">
        <v>1</v>
      </c>
      <c r="AO19" s="52" t="n">
        <v>5</v>
      </c>
      <c r="AP19" s="52" t="n"/>
      <c r="AQ19" s="52" t="n">
        <v>1</v>
      </c>
      <c r="AR19" s="52" t="n">
        <v>1</v>
      </c>
      <c r="AS19" s="52" t="n">
        <v>1</v>
      </c>
      <c r="AT19" s="52" t="n">
        <v>5</v>
      </c>
      <c r="AU19" s="52" t="n"/>
      <c r="AV19" s="52" t="n">
        <v>2</v>
      </c>
      <c r="AW19" s="52" t="n">
        <v>2</v>
      </c>
      <c r="AX19" s="52" t="n">
        <v>2</v>
      </c>
      <c r="AY19" s="52" t="n">
        <v>2</v>
      </c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</row>
    <row r="20">
      <c r="A20" s="67" t="n"/>
      <c r="B20" s="67" t="n"/>
      <c r="C20" s="67" t="n"/>
      <c r="D20" s="67" t="n"/>
      <c r="E20" s="67" t="n"/>
      <c r="F20" s="68" t="inlineStr">
        <is>
          <t>% Achieved</t>
        </is>
      </c>
      <c r="G20" s="69">
        <f>IFERROR(G19/G18,"")</f>
        <v/>
      </c>
      <c r="H20" s="70">
        <f>IFERROR(H19/H18,"")</f>
        <v/>
      </c>
      <c r="I20" s="70">
        <f>IFERROR(I19/I18,"")</f>
        <v/>
      </c>
      <c r="J20" s="70">
        <f>IFERROR(J19/J18,"")</f>
        <v/>
      </c>
      <c r="K20" s="70">
        <f>IFERROR(K19/K18,"")</f>
        <v/>
      </c>
      <c r="L20" s="70">
        <f>IFERROR(L19/L18,"")</f>
        <v/>
      </c>
      <c r="M20" s="70">
        <f>IFERROR(M19/M18,"")</f>
        <v/>
      </c>
      <c r="N20" s="70">
        <f>IFERROR(N19/N18,"")</f>
        <v/>
      </c>
      <c r="O20" s="70">
        <f>IFERROR(O19/O18,"")</f>
        <v/>
      </c>
      <c r="P20" s="70">
        <f>IFERROR(P19/P18,"")</f>
        <v/>
      </c>
      <c r="Q20" s="70">
        <f>IFERROR(Q19/Q18,"")</f>
        <v/>
      </c>
      <c r="R20" s="70">
        <f>IFERROR(R19/R18,"")</f>
        <v/>
      </c>
      <c r="S20" s="70">
        <f>IFERROR(S19/S18,"")</f>
        <v/>
      </c>
      <c r="T20" s="70">
        <f>IFERROR(T19/T18,"")</f>
        <v/>
      </c>
      <c r="U20" s="70">
        <f>IFERROR(U19/U18,"")</f>
        <v/>
      </c>
      <c r="V20" s="70">
        <f>IFERROR(V19/V18,"")</f>
        <v/>
      </c>
      <c r="W20" s="70">
        <f>IFERROR(W19/W18,"")</f>
        <v/>
      </c>
      <c r="X20" s="70">
        <f>IFERROR(X19/X18,"")</f>
        <v/>
      </c>
      <c r="Y20" s="70">
        <f>IFERROR(Y19/Y18,"")</f>
        <v/>
      </c>
      <c r="Z20" s="70">
        <f>IFERROR(Z19/Z18,"")</f>
        <v/>
      </c>
      <c r="AA20" s="70">
        <f>IFERROR(AA19/AA18,"")</f>
        <v/>
      </c>
      <c r="AB20" s="70">
        <f>IFERROR(AB19/AB18,"")</f>
        <v/>
      </c>
      <c r="AC20" s="70">
        <f>IFERROR(AC19/AC18,"")</f>
        <v/>
      </c>
      <c r="AD20" s="70">
        <f>IFERROR(AD19/AD18,"")</f>
        <v/>
      </c>
      <c r="AE20" s="70">
        <f>IFERROR(AE19/AE18,"")</f>
        <v/>
      </c>
      <c r="AF20" s="70">
        <f>IFERROR(AF19/AF18,"")</f>
        <v/>
      </c>
      <c r="AG20" s="70">
        <f>IFERROR(AG19/AG18,"")</f>
        <v/>
      </c>
      <c r="AH20" s="70">
        <f>IFERROR(AH19/AH18,"")</f>
        <v/>
      </c>
      <c r="AI20" s="70">
        <f>IFERROR(AI19/AI18,"")</f>
        <v/>
      </c>
      <c r="AJ20" s="70">
        <f>IFERROR(AJ19/AJ18,"")</f>
        <v/>
      </c>
      <c r="AK20" s="70">
        <f>IFERROR(AK19/AK18,"")</f>
        <v/>
      </c>
      <c r="AL20" s="70">
        <f>IFERROR(AL19/AL18,"")</f>
        <v/>
      </c>
      <c r="AM20" s="70">
        <f>IFERROR(AM19/AM18,"")</f>
        <v/>
      </c>
      <c r="AN20" s="70">
        <f>IFERROR(AN19/AN18,"")</f>
        <v/>
      </c>
      <c r="AO20" s="70">
        <f>IFERROR(AO19/AO18,"")</f>
        <v/>
      </c>
      <c r="AP20" s="70">
        <f>IFERROR(AP19/AP18,"")</f>
        <v/>
      </c>
      <c r="AQ20" s="70">
        <f>IFERROR(AQ19/AQ18,"")</f>
        <v/>
      </c>
      <c r="AR20" s="70">
        <f>IFERROR(AR19/AR18,"")</f>
        <v/>
      </c>
      <c r="AS20" s="70">
        <f>IFERROR(AS19/AS18,"")</f>
        <v/>
      </c>
      <c r="AT20" s="70">
        <f>IFERROR(AT19/AT18,"")</f>
        <v/>
      </c>
      <c r="AU20" s="70">
        <f>IFERROR(AU19/AU18,"")</f>
        <v/>
      </c>
      <c r="AV20" s="70">
        <f>IFERROR(AV19/AV18,"")</f>
        <v/>
      </c>
      <c r="AW20" s="70">
        <f>IFERROR(AW19/AW18,"")</f>
        <v/>
      </c>
      <c r="AX20" s="70">
        <f>IFERROR(AX19/AX18,"")</f>
        <v/>
      </c>
      <c r="AY20" s="70">
        <f>IFERROR(AY19/AY18,"")</f>
        <v/>
      </c>
      <c r="AZ20" s="70">
        <f>IFERROR(AZ19/AZ18,"")</f>
        <v/>
      </c>
      <c r="BA20" s="70">
        <f>IFERROR(BA19/BA18,"")</f>
        <v/>
      </c>
      <c r="BB20" s="70">
        <f>IFERROR(BB19/BB18,"")</f>
        <v/>
      </c>
      <c r="BC20" s="70">
        <f>IFERROR(BC19/BC18,"")</f>
        <v/>
      </c>
      <c r="BD20" s="70">
        <f>IFERROR(BD19/BD18,"")</f>
        <v/>
      </c>
      <c r="BE20" s="70">
        <f>IFERROR(BE19/BE18,"")</f>
        <v/>
      </c>
      <c r="BF20" s="70">
        <f>IFERROR(BF19/BF18,"")</f>
        <v/>
      </c>
      <c r="BG20" s="70">
        <f>IFERROR(BG19/BG18,"")</f>
        <v/>
      </c>
      <c r="BH20" s="70">
        <f>IFERROR(BH19/BH18,"")</f>
        <v/>
      </c>
      <c r="BI20" s="70">
        <f>IFERROR(BI19/BI18,"")</f>
        <v/>
      </c>
      <c r="BJ20" s="70">
        <f>IFERROR(BJ19/BJ18,"")</f>
        <v/>
      </c>
      <c r="BK20" s="70">
        <f>IFERROR(BK19/BK18,"")</f>
        <v/>
      </c>
      <c r="BL20" s="70">
        <f>IFERROR(BL19/BL18,"")</f>
        <v/>
      </c>
      <c r="BM20" s="70">
        <f>IFERROR(BM19/BM18,"")</f>
        <v/>
      </c>
      <c r="BN20" s="70">
        <f>IFERROR(BN19/BN18,"")</f>
        <v/>
      </c>
      <c r="BO20" s="70">
        <f>IFERROR(BO19/BO18,"")</f>
        <v/>
      </c>
    </row>
    <row r="21">
      <c r="A21" s="61">
        <f>IFERROR(INDEX(Team_Master!$C$6:$C$20,2),"")</f>
        <v/>
      </c>
      <c r="B21" s="62">
        <f>IFERROR(INDEX(Team_Master!$G$6:$G$20,2),"")</f>
        <v/>
      </c>
      <c r="C21" s="63" t="inlineStr">
        <is>
          <t>K1</t>
        </is>
      </c>
      <c r="D21" s="11" t="inlineStr">
        <is>
          <t>Invoiced Value</t>
        </is>
      </c>
      <c r="E21" s="64" t="inlineStr">
        <is>
          <t>MVND</t>
        </is>
      </c>
      <c r="F21" s="75" t="inlineStr">
        <is>
          <t>Phasing</t>
        </is>
      </c>
      <c r="G21" s="56">
        <f>SUM(H21:BO21)</f>
        <v/>
      </c>
      <c r="H21" s="52" t="n">
        <v>186</v>
      </c>
      <c r="I21" s="52" t="n">
        <v>186</v>
      </c>
      <c r="J21" s="52" t="n">
        <v>186</v>
      </c>
      <c r="K21" s="52" t="n">
        <v>186</v>
      </c>
      <c r="L21" s="52" t="n"/>
      <c r="M21" s="52" t="n">
        <v>135</v>
      </c>
      <c r="N21" s="52" t="n">
        <v>135</v>
      </c>
      <c r="O21" s="52" t="n">
        <v>135</v>
      </c>
      <c r="P21" s="52" t="n">
        <v>137</v>
      </c>
      <c r="Q21" s="52" t="n"/>
      <c r="R21" s="52" t="n">
        <v>207</v>
      </c>
      <c r="S21" s="52" t="n">
        <v>207</v>
      </c>
      <c r="T21" s="52" t="n">
        <v>207</v>
      </c>
      <c r="U21" s="52" t="n">
        <v>210</v>
      </c>
      <c r="V21" s="52" t="n"/>
      <c r="W21" s="52" t="n">
        <v>218</v>
      </c>
      <c r="X21" s="52" t="n">
        <v>218</v>
      </c>
      <c r="Y21" s="52" t="n">
        <v>218</v>
      </c>
      <c r="Z21" s="52" t="n">
        <v>221</v>
      </c>
      <c r="AA21" s="52" t="n"/>
      <c r="AB21" s="52" t="n">
        <v>223</v>
      </c>
      <c r="AC21" s="52" t="n">
        <v>223</v>
      </c>
      <c r="AD21" s="52" t="n">
        <v>223</v>
      </c>
      <c r="AE21" s="52" t="n">
        <v>223</v>
      </c>
      <c r="AF21" s="52" t="n"/>
      <c r="AG21" s="52" t="n">
        <v>229</v>
      </c>
      <c r="AH21" s="52" t="n">
        <v>229</v>
      </c>
      <c r="AI21" s="52" t="n">
        <v>229</v>
      </c>
      <c r="AJ21" s="52" t="n">
        <v>232</v>
      </c>
      <c r="AK21" s="52" t="n"/>
      <c r="AL21" s="52" t="n">
        <v>218</v>
      </c>
      <c r="AM21" s="52" t="n">
        <v>218</v>
      </c>
      <c r="AN21" s="52" t="n">
        <v>218</v>
      </c>
      <c r="AO21" s="52" t="n">
        <v>221</v>
      </c>
      <c r="AP21" s="52" t="n"/>
      <c r="AQ21" s="52" t="n">
        <v>225</v>
      </c>
      <c r="AR21" s="52" t="n">
        <v>225</v>
      </c>
      <c r="AS21" s="52" t="n">
        <v>225</v>
      </c>
      <c r="AT21" s="52" t="n">
        <v>226</v>
      </c>
      <c r="AU21" s="52" t="n"/>
      <c r="AV21" s="52" t="n">
        <v>236</v>
      </c>
      <c r="AW21" s="52" t="n">
        <v>236</v>
      </c>
      <c r="AX21" s="52" t="n">
        <v>236</v>
      </c>
      <c r="AY21" s="52" t="n">
        <v>237</v>
      </c>
      <c r="AZ21" s="52" t="n"/>
      <c r="BA21" s="52" t="n">
        <v>245</v>
      </c>
      <c r="BB21" s="52" t="n">
        <v>245</v>
      </c>
      <c r="BC21" s="52" t="n">
        <v>245</v>
      </c>
      <c r="BD21" s="52" t="n">
        <v>245</v>
      </c>
      <c r="BE21" s="52" t="n"/>
      <c r="BF21" s="52" t="n">
        <v>251</v>
      </c>
      <c r="BG21" s="52" t="n">
        <v>251</v>
      </c>
      <c r="BH21" s="52" t="n">
        <v>251</v>
      </c>
      <c r="BI21" s="52" t="n">
        <v>253</v>
      </c>
      <c r="BJ21" s="52" t="n"/>
      <c r="BK21" s="52" t="n">
        <v>247</v>
      </c>
      <c r="BL21" s="52" t="n">
        <v>247</v>
      </c>
      <c r="BM21" s="52" t="n">
        <v>247</v>
      </c>
      <c r="BN21" s="52" t="n">
        <v>249</v>
      </c>
      <c r="BO21" s="52" t="n"/>
    </row>
    <row r="22">
      <c r="A22" s="66" t="n"/>
      <c r="B22" s="66" t="n"/>
      <c r="C22" s="66" t="n"/>
      <c r="D22" s="66" t="n"/>
      <c r="E22" s="66" t="n"/>
      <c r="F22" s="75" t="inlineStr">
        <is>
          <t>Actual</t>
        </is>
      </c>
      <c r="G22" s="56">
        <f>SUM(H22:BO22)</f>
        <v/>
      </c>
      <c r="H22" s="52" t="n">
        <v>183</v>
      </c>
      <c r="I22" s="52" t="n">
        <v>167</v>
      </c>
      <c r="J22" s="52" t="n">
        <v>180</v>
      </c>
      <c r="K22" s="52" t="n">
        <v>182</v>
      </c>
      <c r="L22" s="52" t="n"/>
      <c r="M22" s="52" t="n">
        <v>108</v>
      </c>
      <c r="N22" s="52" t="n">
        <v>133</v>
      </c>
      <c r="O22" s="52" t="n">
        <v>149</v>
      </c>
      <c r="P22" s="52" t="n">
        <v>146</v>
      </c>
      <c r="Q22" s="52" t="n"/>
      <c r="R22" s="52" t="n">
        <v>211</v>
      </c>
      <c r="S22" s="52" t="n">
        <v>187</v>
      </c>
      <c r="T22" s="52" t="n">
        <v>211</v>
      </c>
      <c r="U22" s="52" t="n">
        <v>203</v>
      </c>
      <c r="V22" s="52" t="n"/>
      <c r="W22" s="52" t="n">
        <v>201</v>
      </c>
      <c r="X22" s="52" t="n">
        <v>230</v>
      </c>
      <c r="Y22" s="52" t="n">
        <v>174</v>
      </c>
      <c r="Z22" s="52" t="n">
        <v>226</v>
      </c>
      <c r="AA22" s="52" t="n"/>
      <c r="AB22" s="52" t="n">
        <v>174</v>
      </c>
      <c r="AC22" s="52" t="n">
        <v>217</v>
      </c>
      <c r="AD22" s="52" t="n">
        <v>208</v>
      </c>
      <c r="AE22" s="52" t="n">
        <v>189</v>
      </c>
      <c r="AF22" s="52" t="n"/>
      <c r="AG22" s="52" t="n">
        <v>231</v>
      </c>
      <c r="AH22" s="52" t="n">
        <v>215</v>
      </c>
      <c r="AI22" s="52" t="n">
        <v>224</v>
      </c>
      <c r="AJ22" s="52" t="n">
        <v>251</v>
      </c>
      <c r="AK22" s="52" t="n"/>
      <c r="AL22" s="52" t="n">
        <v>187</v>
      </c>
      <c r="AM22" s="52" t="n">
        <v>169</v>
      </c>
      <c r="AN22" s="52" t="n">
        <v>190</v>
      </c>
      <c r="AO22" s="52" t="n">
        <v>221</v>
      </c>
      <c r="AP22" s="52" t="n"/>
      <c r="AQ22" s="52" t="n">
        <v>189</v>
      </c>
      <c r="AR22" s="52" t="n">
        <v>186</v>
      </c>
      <c r="AS22" s="52" t="n">
        <v>242</v>
      </c>
      <c r="AT22" s="52" t="n">
        <v>225</v>
      </c>
      <c r="AU22" s="52" t="n"/>
      <c r="AV22" s="52" t="n">
        <v>217</v>
      </c>
      <c r="AW22" s="52" t="n">
        <v>253</v>
      </c>
      <c r="AX22" s="52" t="n">
        <v>208</v>
      </c>
      <c r="AY22" s="52" t="n">
        <v>236</v>
      </c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</row>
    <row r="23">
      <c r="A23" s="66" t="n"/>
      <c r="B23" s="66" t="n"/>
      <c r="C23" s="67" t="n"/>
      <c r="D23" s="67" t="n"/>
      <c r="E23" s="67" t="n"/>
      <c r="F23" s="68" t="inlineStr">
        <is>
          <t>% Achieved</t>
        </is>
      </c>
      <c r="G23" s="69">
        <f>IFERROR(G22/G21,"")</f>
        <v/>
      </c>
      <c r="H23" s="70">
        <f>IFERROR(H22/H21,"")</f>
        <v/>
      </c>
      <c r="I23" s="70">
        <f>IFERROR(I22/I21,"")</f>
        <v/>
      </c>
      <c r="J23" s="70">
        <f>IFERROR(J22/J21,"")</f>
        <v/>
      </c>
      <c r="K23" s="70">
        <f>IFERROR(K22/K21,"")</f>
        <v/>
      </c>
      <c r="L23" s="70">
        <f>IFERROR(L22/L21,"")</f>
        <v/>
      </c>
      <c r="M23" s="70">
        <f>IFERROR(M22/M21,"")</f>
        <v/>
      </c>
      <c r="N23" s="70">
        <f>IFERROR(N22/N21,"")</f>
        <v/>
      </c>
      <c r="O23" s="70">
        <f>IFERROR(O22/O21,"")</f>
        <v/>
      </c>
      <c r="P23" s="70">
        <f>IFERROR(P22/P21,"")</f>
        <v/>
      </c>
      <c r="Q23" s="70">
        <f>IFERROR(Q22/Q21,"")</f>
        <v/>
      </c>
      <c r="R23" s="70">
        <f>IFERROR(R22/R21,"")</f>
        <v/>
      </c>
      <c r="S23" s="70">
        <f>IFERROR(S22/S21,"")</f>
        <v/>
      </c>
      <c r="T23" s="70">
        <f>IFERROR(T22/T21,"")</f>
        <v/>
      </c>
      <c r="U23" s="70">
        <f>IFERROR(U22/U21,"")</f>
        <v/>
      </c>
      <c r="V23" s="70">
        <f>IFERROR(V22/V21,"")</f>
        <v/>
      </c>
      <c r="W23" s="70">
        <f>IFERROR(W22/W21,"")</f>
        <v/>
      </c>
      <c r="X23" s="70">
        <f>IFERROR(X22/X21,"")</f>
        <v/>
      </c>
      <c r="Y23" s="70">
        <f>IFERROR(Y22/Y21,"")</f>
        <v/>
      </c>
      <c r="Z23" s="70">
        <f>IFERROR(Z22/Z21,"")</f>
        <v/>
      </c>
      <c r="AA23" s="70">
        <f>IFERROR(AA22/AA21,"")</f>
        <v/>
      </c>
      <c r="AB23" s="70">
        <f>IFERROR(AB22/AB21,"")</f>
        <v/>
      </c>
      <c r="AC23" s="70">
        <f>IFERROR(AC22/AC21,"")</f>
        <v/>
      </c>
      <c r="AD23" s="70">
        <f>IFERROR(AD22/AD21,"")</f>
        <v/>
      </c>
      <c r="AE23" s="70">
        <f>IFERROR(AE22/AE21,"")</f>
        <v/>
      </c>
      <c r="AF23" s="70">
        <f>IFERROR(AF22/AF21,"")</f>
        <v/>
      </c>
      <c r="AG23" s="70">
        <f>IFERROR(AG22/AG21,"")</f>
        <v/>
      </c>
      <c r="AH23" s="70">
        <f>IFERROR(AH22/AH21,"")</f>
        <v/>
      </c>
      <c r="AI23" s="70">
        <f>IFERROR(AI22/AI21,"")</f>
        <v/>
      </c>
      <c r="AJ23" s="70">
        <f>IFERROR(AJ22/AJ21,"")</f>
        <v/>
      </c>
      <c r="AK23" s="70">
        <f>IFERROR(AK22/AK21,"")</f>
        <v/>
      </c>
      <c r="AL23" s="70">
        <f>IFERROR(AL22/AL21,"")</f>
        <v/>
      </c>
      <c r="AM23" s="70">
        <f>IFERROR(AM22/AM21,"")</f>
        <v/>
      </c>
      <c r="AN23" s="70">
        <f>IFERROR(AN22/AN21,"")</f>
        <v/>
      </c>
      <c r="AO23" s="70">
        <f>IFERROR(AO22/AO21,"")</f>
        <v/>
      </c>
      <c r="AP23" s="70">
        <f>IFERROR(AP22/AP21,"")</f>
        <v/>
      </c>
      <c r="AQ23" s="70">
        <f>IFERROR(AQ22/AQ21,"")</f>
        <v/>
      </c>
      <c r="AR23" s="70">
        <f>IFERROR(AR22/AR21,"")</f>
        <v/>
      </c>
      <c r="AS23" s="70">
        <f>IFERROR(AS22/AS21,"")</f>
        <v/>
      </c>
      <c r="AT23" s="70">
        <f>IFERROR(AT22/AT21,"")</f>
        <v/>
      </c>
      <c r="AU23" s="70">
        <f>IFERROR(AU22/AU21,"")</f>
        <v/>
      </c>
      <c r="AV23" s="70">
        <f>IFERROR(AV22/AV21,"")</f>
        <v/>
      </c>
      <c r="AW23" s="70">
        <f>IFERROR(AW22/AW21,"")</f>
        <v/>
      </c>
      <c r="AX23" s="70">
        <f>IFERROR(AX22/AX21,"")</f>
        <v/>
      </c>
      <c r="AY23" s="70">
        <f>IFERROR(AY22/AY21,"")</f>
        <v/>
      </c>
      <c r="AZ23" s="70">
        <f>IFERROR(AZ22/AZ21,"")</f>
        <v/>
      </c>
      <c r="BA23" s="70">
        <f>IFERROR(BA22/BA21,"")</f>
        <v/>
      </c>
      <c r="BB23" s="70">
        <f>IFERROR(BB22/BB21,"")</f>
        <v/>
      </c>
      <c r="BC23" s="70">
        <f>IFERROR(BC22/BC21,"")</f>
        <v/>
      </c>
      <c r="BD23" s="70">
        <f>IFERROR(BD22/BD21,"")</f>
        <v/>
      </c>
      <c r="BE23" s="70">
        <f>IFERROR(BE22/BE21,"")</f>
        <v/>
      </c>
      <c r="BF23" s="70">
        <f>IFERROR(BF22/BF21,"")</f>
        <v/>
      </c>
      <c r="BG23" s="70">
        <f>IFERROR(BG22/BG21,"")</f>
        <v/>
      </c>
      <c r="BH23" s="70">
        <f>IFERROR(BH22/BH21,"")</f>
        <v/>
      </c>
      <c r="BI23" s="70">
        <f>IFERROR(BI22/BI21,"")</f>
        <v/>
      </c>
      <c r="BJ23" s="70">
        <f>IFERROR(BJ22/BJ21,"")</f>
        <v/>
      </c>
      <c r="BK23" s="70">
        <f>IFERROR(BK22/BK21,"")</f>
        <v/>
      </c>
      <c r="BL23" s="70">
        <f>IFERROR(BL22/BL21,"")</f>
        <v/>
      </c>
      <c r="BM23" s="70">
        <f>IFERROR(BM22/BM21,"")</f>
        <v/>
      </c>
      <c r="BN23" s="70">
        <f>IFERROR(BN22/BN21,"")</f>
        <v/>
      </c>
      <c r="BO23" s="70">
        <f>IFERROR(BO22/BO21,"")</f>
        <v/>
      </c>
    </row>
    <row r="24">
      <c r="A24" s="66" t="n"/>
      <c r="B24" s="66" t="n"/>
      <c r="C24" s="63" t="inlineStr">
        <is>
          <t>K2</t>
        </is>
      </c>
      <c r="D24" s="11" t="inlineStr">
        <is>
          <t>Key account approach / Site check</t>
        </is>
      </c>
      <c r="E24" s="64" t="inlineStr">
        <is>
          <t>Roadshow</t>
        </is>
      </c>
      <c r="F24" s="75" t="inlineStr">
        <is>
          <t>Phasing</t>
        </is>
      </c>
      <c r="G24" s="56">
        <f>SUM(H24:BO24)</f>
        <v/>
      </c>
      <c r="H24" s="52" t="n">
        <v>3</v>
      </c>
      <c r="I24" s="52" t="n">
        <v>3</v>
      </c>
      <c r="J24" s="52" t="n">
        <v>3</v>
      </c>
      <c r="K24" s="52" t="n">
        <v>6</v>
      </c>
      <c r="L24" s="52" t="n"/>
      <c r="M24" s="52" t="n">
        <v>2</v>
      </c>
      <c r="N24" s="52" t="n">
        <v>2</v>
      </c>
      <c r="O24" s="52" t="n">
        <v>2</v>
      </c>
      <c r="P24" s="52" t="n">
        <v>5</v>
      </c>
      <c r="Q24" s="52" t="n"/>
      <c r="R24" s="52" t="n">
        <v>4</v>
      </c>
      <c r="S24" s="52" t="n">
        <v>4</v>
      </c>
      <c r="T24" s="52" t="n">
        <v>4</v>
      </c>
      <c r="U24" s="52" t="n">
        <v>5</v>
      </c>
      <c r="V24" s="52" t="n"/>
      <c r="W24" s="52" t="n">
        <v>4</v>
      </c>
      <c r="X24" s="52" t="n">
        <v>4</v>
      </c>
      <c r="Y24" s="52" t="n">
        <v>4</v>
      </c>
      <c r="Z24" s="52" t="n">
        <v>6</v>
      </c>
      <c r="AA24" s="52" t="n"/>
      <c r="AB24" s="52" t="n">
        <v>4</v>
      </c>
      <c r="AC24" s="52" t="n">
        <v>4</v>
      </c>
      <c r="AD24" s="52" t="n">
        <v>4</v>
      </c>
      <c r="AE24" s="52" t="n">
        <v>6</v>
      </c>
      <c r="AF24" s="52" t="n"/>
      <c r="AG24" s="52" t="n">
        <v>4</v>
      </c>
      <c r="AH24" s="52" t="n">
        <v>4</v>
      </c>
      <c r="AI24" s="52" t="n">
        <v>4</v>
      </c>
      <c r="AJ24" s="52" t="n">
        <v>7</v>
      </c>
      <c r="AK24" s="52" t="n"/>
      <c r="AL24" s="52" t="n">
        <v>4</v>
      </c>
      <c r="AM24" s="52" t="n">
        <v>4</v>
      </c>
      <c r="AN24" s="52" t="n">
        <v>4</v>
      </c>
      <c r="AO24" s="52" t="n">
        <v>6</v>
      </c>
      <c r="AP24" s="52" t="n"/>
      <c r="AQ24" s="52" t="n">
        <v>4</v>
      </c>
      <c r="AR24" s="52" t="n">
        <v>4</v>
      </c>
      <c r="AS24" s="52" t="n">
        <v>4</v>
      </c>
      <c r="AT24" s="52" t="n">
        <v>7</v>
      </c>
      <c r="AU24" s="52" t="n"/>
      <c r="AV24" s="52" t="n">
        <v>4</v>
      </c>
      <c r="AW24" s="52" t="n">
        <v>4</v>
      </c>
      <c r="AX24" s="52" t="n">
        <v>4</v>
      </c>
      <c r="AY24" s="52" t="n">
        <v>7</v>
      </c>
      <c r="AZ24" s="52" t="n"/>
      <c r="BA24" s="52" t="n">
        <v>5</v>
      </c>
      <c r="BB24" s="52" t="n">
        <v>5</v>
      </c>
      <c r="BC24" s="52" t="n">
        <v>5</v>
      </c>
      <c r="BD24" s="52" t="n">
        <v>5</v>
      </c>
      <c r="BE24" s="52" t="n"/>
      <c r="BF24" s="52" t="n">
        <v>5</v>
      </c>
      <c r="BG24" s="52" t="n">
        <v>5</v>
      </c>
      <c r="BH24" s="52" t="n">
        <v>5</v>
      </c>
      <c r="BI24" s="52" t="n">
        <v>6</v>
      </c>
      <c r="BJ24" s="52" t="n"/>
      <c r="BK24" s="52" t="n">
        <v>5</v>
      </c>
      <c r="BL24" s="52" t="n">
        <v>5</v>
      </c>
      <c r="BM24" s="52" t="n">
        <v>5</v>
      </c>
      <c r="BN24" s="52" t="n">
        <v>6</v>
      </c>
      <c r="BO24" s="52" t="n"/>
    </row>
    <row r="25">
      <c r="A25" s="66" t="n"/>
      <c r="B25" s="66" t="n"/>
      <c r="C25" s="66" t="n"/>
      <c r="D25" s="66" t="n"/>
      <c r="E25" s="66" t="n"/>
      <c r="F25" s="75" t="inlineStr">
        <is>
          <t>Actual</t>
        </is>
      </c>
      <c r="G25" s="56">
        <f>SUM(H25:BO25)</f>
        <v/>
      </c>
      <c r="H25" s="52" t="n">
        <v>3</v>
      </c>
      <c r="I25" s="52" t="n">
        <v>3</v>
      </c>
      <c r="J25" s="52" t="n">
        <v>3</v>
      </c>
      <c r="K25" s="52" t="n">
        <v>6</v>
      </c>
      <c r="L25" s="52" t="n"/>
      <c r="M25" s="52" t="n">
        <v>2</v>
      </c>
      <c r="N25" s="52" t="n">
        <v>2</v>
      </c>
      <c r="O25" s="52" t="n">
        <v>2</v>
      </c>
      <c r="P25" s="52" t="n">
        <v>4</v>
      </c>
      <c r="Q25" s="52" t="n"/>
      <c r="R25" s="52" t="n">
        <v>3</v>
      </c>
      <c r="S25" s="52" t="n">
        <v>4</v>
      </c>
      <c r="T25" s="52" t="n">
        <v>4</v>
      </c>
      <c r="U25" s="52" t="n">
        <v>5</v>
      </c>
      <c r="V25" s="52" t="n"/>
      <c r="W25" s="52" t="n">
        <v>4</v>
      </c>
      <c r="X25" s="52" t="n">
        <v>4</v>
      </c>
      <c r="Y25" s="52" t="n">
        <v>3</v>
      </c>
      <c r="Z25" s="52" t="n">
        <v>5</v>
      </c>
      <c r="AA25" s="52" t="n"/>
      <c r="AB25" s="52" t="n">
        <v>4</v>
      </c>
      <c r="AC25" s="52" t="n">
        <v>3</v>
      </c>
      <c r="AD25" s="52" t="n">
        <v>3</v>
      </c>
      <c r="AE25" s="52" t="n">
        <v>5</v>
      </c>
      <c r="AF25" s="52" t="n"/>
      <c r="AG25" s="52" t="n">
        <v>4</v>
      </c>
      <c r="AH25" s="52" t="n">
        <v>4</v>
      </c>
      <c r="AI25" s="52" t="n">
        <v>4</v>
      </c>
      <c r="AJ25" s="52" t="n">
        <v>7</v>
      </c>
      <c r="AK25" s="52" t="n"/>
      <c r="AL25" s="52" t="n">
        <v>4</v>
      </c>
      <c r="AM25" s="52" t="n">
        <v>4</v>
      </c>
      <c r="AN25" s="52" t="n">
        <v>3</v>
      </c>
      <c r="AO25" s="52" t="n">
        <v>5</v>
      </c>
      <c r="AP25" s="52" t="n"/>
      <c r="AQ25" s="52" t="n">
        <v>4</v>
      </c>
      <c r="AR25" s="52" t="n">
        <v>3</v>
      </c>
      <c r="AS25" s="52" t="n">
        <v>4</v>
      </c>
      <c r="AT25" s="52" t="n">
        <v>7</v>
      </c>
      <c r="AU25" s="52" t="n"/>
      <c r="AV25" s="52" t="n">
        <v>4</v>
      </c>
      <c r="AW25" s="52" t="n">
        <v>4</v>
      </c>
      <c r="AX25" s="52" t="n">
        <v>3</v>
      </c>
      <c r="AY25" s="52" t="n">
        <v>6</v>
      </c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</row>
    <row r="26">
      <c r="A26" s="66" t="n"/>
      <c r="B26" s="66" t="n"/>
      <c r="C26" s="67" t="n"/>
      <c r="D26" s="67" t="n"/>
      <c r="E26" s="67" t="n"/>
      <c r="F26" s="68" t="inlineStr">
        <is>
          <t>% Achieved</t>
        </is>
      </c>
      <c r="G26" s="69">
        <f>IFERROR(G25/G24,"")</f>
        <v/>
      </c>
      <c r="H26" s="70">
        <f>IFERROR(H25/H24,"")</f>
        <v/>
      </c>
      <c r="I26" s="70">
        <f>IFERROR(I25/I24,"")</f>
        <v/>
      </c>
      <c r="J26" s="70">
        <f>IFERROR(J25/J24,"")</f>
        <v/>
      </c>
      <c r="K26" s="70">
        <f>IFERROR(K25/K24,"")</f>
        <v/>
      </c>
      <c r="L26" s="70">
        <f>IFERROR(L25/L24,"")</f>
        <v/>
      </c>
      <c r="M26" s="70">
        <f>IFERROR(M25/M24,"")</f>
        <v/>
      </c>
      <c r="N26" s="70">
        <f>IFERROR(N25/N24,"")</f>
        <v/>
      </c>
      <c r="O26" s="70">
        <f>IFERROR(O25/O24,"")</f>
        <v/>
      </c>
      <c r="P26" s="70">
        <f>IFERROR(P25/P24,"")</f>
        <v/>
      </c>
      <c r="Q26" s="70">
        <f>IFERROR(Q25/Q24,"")</f>
        <v/>
      </c>
      <c r="R26" s="70">
        <f>IFERROR(R25/R24,"")</f>
        <v/>
      </c>
      <c r="S26" s="70">
        <f>IFERROR(S25/S24,"")</f>
        <v/>
      </c>
      <c r="T26" s="70">
        <f>IFERROR(T25/T24,"")</f>
        <v/>
      </c>
      <c r="U26" s="70">
        <f>IFERROR(U25/U24,"")</f>
        <v/>
      </c>
      <c r="V26" s="70">
        <f>IFERROR(V25/V24,"")</f>
        <v/>
      </c>
      <c r="W26" s="70">
        <f>IFERROR(W25/W24,"")</f>
        <v/>
      </c>
      <c r="X26" s="70">
        <f>IFERROR(X25/X24,"")</f>
        <v/>
      </c>
      <c r="Y26" s="70">
        <f>IFERROR(Y25/Y24,"")</f>
        <v/>
      </c>
      <c r="Z26" s="70">
        <f>IFERROR(Z25/Z24,"")</f>
        <v/>
      </c>
      <c r="AA26" s="70">
        <f>IFERROR(AA25/AA24,"")</f>
        <v/>
      </c>
      <c r="AB26" s="70">
        <f>IFERROR(AB25/AB24,"")</f>
        <v/>
      </c>
      <c r="AC26" s="70">
        <f>IFERROR(AC25/AC24,"")</f>
        <v/>
      </c>
      <c r="AD26" s="70">
        <f>IFERROR(AD25/AD24,"")</f>
        <v/>
      </c>
      <c r="AE26" s="70">
        <f>IFERROR(AE25/AE24,"")</f>
        <v/>
      </c>
      <c r="AF26" s="70">
        <f>IFERROR(AF25/AF24,"")</f>
        <v/>
      </c>
      <c r="AG26" s="70">
        <f>IFERROR(AG25/AG24,"")</f>
        <v/>
      </c>
      <c r="AH26" s="70">
        <f>IFERROR(AH25/AH24,"")</f>
        <v/>
      </c>
      <c r="AI26" s="70">
        <f>IFERROR(AI25/AI24,"")</f>
        <v/>
      </c>
      <c r="AJ26" s="70">
        <f>IFERROR(AJ25/AJ24,"")</f>
        <v/>
      </c>
      <c r="AK26" s="70">
        <f>IFERROR(AK25/AK24,"")</f>
        <v/>
      </c>
      <c r="AL26" s="70">
        <f>IFERROR(AL25/AL24,"")</f>
        <v/>
      </c>
      <c r="AM26" s="70">
        <f>IFERROR(AM25/AM24,"")</f>
        <v/>
      </c>
      <c r="AN26" s="70">
        <f>IFERROR(AN25/AN24,"")</f>
        <v/>
      </c>
      <c r="AO26" s="70">
        <f>IFERROR(AO25/AO24,"")</f>
        <v/>
      </c>
      <c r="AP26" s="70">
        <f>IFERROR(AP25/AP24,"")</f>
        <v/>
      </c>
      <c r="AQ26" s="70">
        <f>IFERROR(AQ25/AQ24,"")</f>
        <v/>
      </c>
      <c r="AR26" s="70">
        <f>IFERROR(AR25/AR24,"")</f>
        <v/>
      </c>
      <c r="AS26" s="70">
        <f>IFERROR(AS25/AS24,"")</f>
        <v/>
      </c>
      <c r="AT26" s="70">
        <f>IFERROR(AT25/AT24,"")</f>
        <v/>
      </c>
      <c r="AU26" s="70">
        <f>IFERROR(AU25/AU24,"")</f>
        <v/>
      </c>
      <c r="AV26" s="70">
        <f>IFERROR(AV25/AV24,"")</f>
        <v/>
      </c>
      <c r="AW26" s="70">
        <f>IFERROR(AW25/AW24,"")</f>
        <v/>
      </c>
      <c r="AX26" s="70">
        <f>IFERROR(AX25/AX24,"")</f>
        <v/>
      </c>
      <c r="AY26" s="70">
        <f>IFERROR(AY25/AY24,"")</f>
        <v/>
      </c>
      <c r="AZ26" s="70">
        <f>IFERROR(AZ25/AZ24,"")</f>
        <v/>
      </c>
      <c r="BA26" s="70">
        <f>IFERROR(BA25/BA24,"")</f>
        <v/>
      </c>
      <c r="BB26" s="70">
        <f>IFERROR(BB25/BB24,"")</f>
        <v/>
      </c>
      <c r="BC26" s="70">
        <f>IFERROR(BC25/BC24,"")</f>
        <v/>
      </c>
      <c r="BD26" s="70">
        <f>IFERROR(BD25/BD24,"")</f>
        <v/>
      </c>
      <c r="BE26" s="70">
        <f>IFERROR(BE25/BE24,"")</f>
        <v/>
      </c>
      <c r="BF26" s="70">
        <f>IFERROR(BF25/BF24,"")</f>
        <v/>
      </c>
      <c r="BG26" s="70">
        <f>IFERROR(BG25/BG24,"")</f>
        <v/>
      </c>
      <c r="BH26" s="70">
        <f>IFERROR(BH25/BH24,"")</f>
        <v/>
      </c>
      <c r="BI26" s="70">
        <f>IFERROR(BI25/BI24,"")</f>
        <v/>
      </c>
      <c r="BJ26" s="70">
        <f>IFERROR(BJ25/BJ24,"")</f>
        <v/>
      </c>
      <c r="BK26" s="70">
        <f>IFERROR(BK25/BK24,"")</f>
        <v/>
      </c>
      <c r="BL26" s="70">
        <f>IFERROR(BL25/BL24,"")</f>
        <v/>
      </c>
      <c r="BM26" s="70">
        <f>IFERROR(BM25/BM24,"")</f>
        <v/>
      </c>
      <c r="BN26" s="70">
        <f>IFERROR(BN25/BN24,"")</f>
        <v/>
      </c>
      <c r="BO26" s="70">
        <f>IFERROR(BO25/BO24,"")</f>
        <v/>
      </c>
    </row>
    <row r="27">
      <c r="A27" s="66" t="n"/>
      <c r="B27" s="66" t="n"/>
      <c r="C27" s="71" t="inlineStr">
        <is>
          <t>K3</t>
        </is>
      </c>
      <c r="D27" s="37" t="inlineStr">
        <is>
          <t>Spec-in Value</t>
        </is>
      </c>
      <c r="E27" s="72" t="inlineStr">
        <is>
          <t>MVND</t>
        </is>
      </c>
      <c r="F27" s="75" t="inlineStr">
        <is>
          <t>Phasing</t>
        </is>
      </c>
      <c r="G27" s="56">
        <f>SUM(H27:BO27)</f>
        <v/>
      </c>
      <c r="H27" s="52" t="n">
        <v>69</v>
      </c>
      <c r="I27" s="52" t="n">
        <v>69</v>
      </c>
      <c r="J27" s="52" t="n">
        <v>69</v>
      </c>
      <c r="K27" s="52" t="n">
        <v>69</v>
      </c>
      <c r="L27" s="52" t="n"/>
      <c r="M27" s="52" t="n">
        <v>50</v>
      </c>
      <c r="N27" s="52" t="n">
        <v>50</v>
      </c>
      <c r="O27" s="52" t="n">
        <v>50</v>
      </c>
      <c r="P27" s="52" t="n">
        <v>52</v>
      </c>
      <c r="Q27" s="52" t="n"/>
      <c r="R27" s="52" t="n">
        <v>77</v>
      </c>
      <c r="S27" s="52" t="n">
        <v>77</v>
      </c>
      <c r="T27" s="52" t="n">
        <v>77</v>
      </c>
      <c r="U27" s="52" t="n">
        <v>78</v>
      </c>
      <c r="V27" s="52" t="n"/>
      <c r="W27" s="52" t="n">
        <v>81</v>
      </c>
      <c r="X27" s="52" t="n">
        <v>81</v>
      </c>
      <c r="Y27" s="52" t="n">
        <v>81</v>
      </c>
      <c r="Z27" s="52" t="n">
        <v>82</v>
      </c>
      <c r="AA27" s="52" t="n"/>
      <c r="AB27" s="52" t="n">
        <v>83</v>
      </c>
      <c r="AC27" s="52" t="n">
        <v>83</v>
      </c>
      <c r="AD27" s="52" t="n">
        <v>83</v>
      </c>
      <c r="AE27" s="52" t="n">
        <v>83</v>
      </c>
      <c r="AF27" s="52" t="n"/>
      <c r="AG27" s="52" t="n">
        <v>85</v>
      </c>
      <c r="AH27" s="52" t="n">
        <v>85</v>
      </c>
      <c r="AI27" s="52" t="n">
        <v>85</v>
      </c>
      <c r="AJ27" s="52" t="n">
        <v>86</v>
      </c>
      <c r="AK27" s="52" t="n"/>
      <c r="AL27" s="52" t="n">
        <v>81</v>
      </c>
      <c r="AM27" s="52" t="n">
        <v>81</v>
      </c>
      <c r="AN27" s="52" t="n">
        <v>81</v>
      </c>
      <c r="AO27" s="52" t="n">
        <v>82</v>
      </c>
      <c r="AP27" s="52" t="n"/>
      <c r="AQ27" s="52" t="n">
        <v>83</v>
      </c>
      <c r="AR27" s="52" t="n">
        <v>83</v>
      </c>
      <c r="AS27" s="52" t="n">
        <v>83</v>
      </c>
      <c r="AT27" s="52" t="n">
        <v>86</v>
      </c>
      <c r="AU27" s="52" t="n"/>
      <c r="AV27" s="52" t="n">
        <v>87</v>
      </c>
      <c r="AW27" s="52" t="n">
        <v>87</v>
      </c>
      <c r="AX27" s="52" t="n">
        <v>87</v>
      </c>
      <c r="AY27" s="52" t="n">
        <v>90</v>
      </c>
      <c r="AZ27" s="52" t="n"/>
      <c r="BA27" s="52" t="n">
        <v>91</v>
      </c>
      <c r="BB27" s="52" t="n">
        <v>91</v>
      </c>
      <c r="BC27" s="52" t="n">
        <v>91</v>
      </c>
      <c r="BD27" s="52" t="n">
        <v>91</v>
      </c>
      <c r="BE27" s="52" t="n"/>
      <c r="BF27" s="52" t="n">
        <v>93</v>
      </c>
      <c r="BG27" s="52" t="n">
        <v>93</v>
      </c>
      <c r="BH27" s="52" t="n">
        <v>93</v>
      </c>
      <c r="BI27" s="52" t="n">
        <v>95</v>
      </c>
      <c r="BJ27" s="52" t="n"/>
      <c r="BK27" s="52" t="n">
        <v>91</v>
      </c>
      <c r="BL27" s="52" t="n">
        <v>91</v>
      </c>
      <c r="BM27" s="52" t="n">
        <v>91</v>
      </c>
      <c r="BN27" s="52" t="n">
        <v>93</v>
      </c>
      <c r="BO27" s="52" t="n"/>
    </row>
    <row r="28">
      <c r="A28" s="66" t="n"/>
      <c r="B28" s="66" t="n"/>
      <c r="C28" s="66" t="n"/>
      <c r="D28" s="66" t="n"/>
      <c r="E28" s="66" t="n"/>
      <c r="F28" s="75" t="inlineStr">
        <is>
          <t>Actual</t>
        </is>
      </c>
      <c r="G28" s="56">
        <f>SUM(H28:BO28)</f>
        <v/>
      </c>
      <c r="H28" s="52" t="n">
        <v>64</v>
      </c>
      <c r="I28" s="52" t="n">
        <v>54</v>
      </c>
      <c r="J28" s="52" t="n">
        <v>73</v>
      </c>
      <c r="K28" s="52" t="n">
        <v>59</v>
      </c>
      <c r="L28" s="52" t="n"/>
      <c r="M28" s="52" t="n">
        <v>41</v>
      </c>
      <c r="N28" s="52" t="n">
        <v>39</v>
      </c>
      <c r="O28" s="52" t="n">
        <v>49</v>
      </c>
      <c r="P28" s="52" t="n">
        <v>48</v>
      </c>
      <c r="Q28" s="52" t="n"/>
      <c r="R28" s="52" t="n">
        <v>76</v>
      </c>
      <c r="S28" s="52" t="n">
        <v>76</v>
      </c>
      <c r="T28" s="52" t="n">
        <v>80</v>
      </c>
      <c r="U28" s="52" t="n">
        <v>85</v>
      </c>
      <c r="V28" s="52" t="n"/>
      <c r="W28" s="52" t="n">
        <v>81</v>
      </c>
      <c r="X28" s="52" t="n">
        <v>68</v>
      </c>
      <c r="Y28" s="52" t="n">
        <v>75</v>
      </c>
      <c r="Z28" s="52" t="n">
        <v>68</v>
      </c>
      <c r="AA28" s="52" t="n"/>
      <c r="AB28" s="52" t="n">
        <v>64</v>
      </c>
      <c r="AC28" s="52" t="n">
        <v>77</v>
      </c>
      <c r="AD28" s="52" t="n">
        <v>84</v>
      </c>
      <c r="AE28" s="52" t="n">
        <v>69</v>
      </c>
      <c r="AF28" s="52" t="n"/>
      <c r="AG28" s="52" t="n">
        <v>73</v>
      </c>
      <c r="AH28" s="52" t="n">
        <v>75</v>
      </c>
      <c r="AI28" s="52" t="n">
        <v>86</v>
      </c>
      <c r="AJ28" s="52" t="n">
        <v>81</v>
      </c>
      <c r="AK28" s="52" t="n"/>
      <c r="AL28" s="52" t="n">
        <v>79</v>
      </c>
      <c r="AM28" s="52" t="n">
        <v>83</v>
      </c>
      <c r="AN28" s="52" t="n">
        <v>73</v>
      </c>
      <c r="AO28" s="52" t="n">
        <v>85</v>
      </c>
      <c r="AP28" s="52" t="n"/>
      <c r="AQ28" s="52" t="n">
        <v>89</v>
      </c>
      <c r="AR28" s="52" t="n">
        <v>66</v>
      </c>
      <c r="AS28" s="52" t="n">
        <v>90</v>
      </c>
      <c r="AT28" s="52" t="n">
        <v>87</v>
      </c>
      <c r="AU28" s="52" t="n"/>
      <c r="AV28" s="52" t="n">
        <v>71</v>
      </c>
      <c r="AW28" s="52" t="n">
        <v>80</v>
      </c>
      <c r="AX28" s="52" t="n">
        <v>85</v>
      </c>
      <c r="AY28" s="52" t="n">
        <v>97</v>
      </c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</row>
    <row r="29">
      <c r="A29" s="66" t="n"/>
      <c r="B29" s="66" t="n"/>
      <c r="C29" s="67" t="n"/>
      <c r="D29" s="67" t="n"/>
      <c r="E29" s="67" t="n"/>
      <c r="F29" s="68" t="inlineStr">
        <is>
          <t>% Achieved</t>
        </is>
      </c>
      <c r="G29" s="69">
        <f>IFERROR(G28/G27,"")</f>
        <v/>
      </c>
      <c r="H29" s="70">
        <f>IFERROR(H28/H27,"")</f>
        <v/>
      </c>
      <c r="I29" s="70">
        <f>IFERROR(I28/I27,"")</f>
        <v/>
      </c>
      <c r="J29" s="70">
        <f>IFERROR(J28/J27,"")</f>
        <v/>
      </c>
      <c r="K29" s="70">
        <f>IFERROR(K28/K27,"")</f>
        <v/>
      </c>
      <c r="L29" s="70">
        <f>IFERROR(L28/L27,"")</f>
        <v/>
      </c>
      <c r="M29" s="70">
        <f>IFERROR(M28/M27,"")</f>
        <v/>
      </c>
      <c r="N29" s="70">
        <f>IFERROR(N28/N27,"")</f>
        <v/>
      </c>
      <c r="O29" s="70">
        <f>IFERROR(O28/O27,"")</f>
        <v/>
      </c>
      <c r="P29" s="70">
        <f>IFERROR(P28/P27,"")</f>
        <v/>
      </c>
      <c r="Q29" s="70">
        <f>IFERROR(Q28/Q27,"")</f>
        <v/>
      </c>
      <c r="R29" s="70">
        <f>IFERROR(R28/R27,"")</f>
        <v/>
      </c>
      <c r="S29" s="70">
        <f>IFERROR(S28/S27,"")</f>
        <v/>
      </c>
      <c r="T29" s="70">
        <f>IFERROR(T28/T27,"")</f>
        <v/>
      </c>
      <c r="U29" s="70">
        <f>IFERROR(U28/U27,"")</f>
        <v/>
      </c>
      <c r="V29" s="70">
        <f>IFERROR(V28/V27,"")</f>
        <v/>
      </c>
      <c r="W29" s="70">
        <f>IFERROR(W28/W27,"")</f>
        <v/>
      </c>
      <c r="X29" s="70">
        <f>IFERROR(X28/X27,"")</f>
        <v/>
      </c>
      <c r="Y29" s="70">
        <f>IFERROR(Y28/Y27,"")</f>
        <v/>
      </c>
      <c r="Z29" s="70">
        <f>IFERROR(Z28/Z27,"")</f>
        <v/>
      </c>
      <c r="AA29" s="70">
        <f>IFERROR(AA28/AA27,"")</f>
        <v/>
      </c>
      <c r="AB29" s="70">
        <f>IFERROR(AB28/AB27,"")</f>
        <v/>
      </c>
      <c r="AC29" s="70">
        <f>IFERROR(AC28/AC27,"")</f>
        <v/>
      </c>
      <c r="AD29" s="70">
        <f>IFERROR(AD28/AD27,"")</f>
        <v/>
      </c>
      <c r="AE29" s="70">
        <f>IFERROR(AE28/AE27,"")</f>
        <v/>
      </c>
      <c r="AF29" s="70">
        <f>IFERROR(AF28/AF27,"")</f>
        <v/>
      </c>
      <c r="AG29" s="70">
        <f>IFERROR(AG28/AG27,"")</f>
        <v/>
      </c>
      <c r="AH29" s="70">
        <f>IFERROR(AH28/AH27,"")</f>
        <v/>
      </c>
      <c r="AI29" s="70">
        <f>IFERROR(AI28/AI27,"")</f>
        <v/>
      </c>
      <c r="AJ29" s="70">
        <f>IFERROR(AJ28/AJ27,"")</f>
        <v/>
      </c>
      <c r="AK29" s="70">
        <f>IFERROR(AK28/AK27,"")</f>
        <v/>
      </c>
      <c r="AL29" s="70">
        <f>IFERROR(AL28/AL27,"")</f>
        <v/>
      </c>
      <c r="AM29" s="70">
        <f>IFERROR(AM28/AM27,"")</f>
        <v/>
      </c>
      <c r="AN29" s="70">
        <f>IFERROR(AN28/AN27,"")</f>
        <v/>
      </c>
      <c r="AO29" s="70">
        <f>IFERROR(AO28/AO27,"")</f>
        <v/>
      </c>
      <c r="AP29" s="70">
        <f>IFERROR(AP28/AP27,"")</f>
        <v/>
      </c>
      <c r="AQ29" s="70">
        <f>IFERROR(AQ28/AQ27,"")</f>
        <v/>
      </c>
      <c r="AR29" s="70">
        <f>IFERROR(AR28/AR27,"")</f>
        <v/>
      </c>
      <c r="AS29" s="70">
        <f>IFERROR(AS28/AS27,"")</f>
        <v/>
      </c>
      <c r="AT29" s="70">
        <f>IFERROR(AT28/AT27,"")</f>
        <v/>
      </c>
      <c r="AU29" s="70">
        <f>IFERROR(AU28/AU27,"")</f>
        <v/>
      </c>
      <c r="AV29" s="70">
        <f>IFERROR(AV28/AV27,"")</f>
        <v/>
      </c>
      <c r="AW29" s="70">
        <f>IFERROR(AW28/AW27,"")</f>
        <v/>
      </c>
      <c r="AX29" s="70">
        <f>IFERROR(AX28/AX27,"")</f>
        <v/>
      </c>
      <c r="AY29" s="70">
        <f>IFERROR(AY28/AY27,"")</f>
        <v/>
      </c>
      <c r="AZ29" s="70">
        <f>IFERROR(AZ28/AZ27,"")</f>
        <v/>
      </c>
      <c r="BA29" s="70">
        <f>IFERROR(BA28/BA27,"")</f>
        <v/>
      </c>
      <c r="BB29" s="70">
        <f>IFERROR(BB28/BB27,"")</f>
        <v/>
      </c>
      <c r="BC29" s="70">
        <f>IFERROR(BC28/BC27,"")</f>
        <v/>
      </c>
      <c r="BD29" s="70">
        <f>IFERROR(BD28/BD27,"")</f>
        <v/>
      </c>
      <c r="BE29" s="70">
        <f>IFERROR(BE28/BE27,"")</f>
        <v/>
      </c>
      <c r="BF29" s="70">
        <f>IFERROR(BF28/BF27,"")</f>
        <v/>
      </c>
      <c r="BG29" s="70">
        <f>IFERROR(BG28/BG27,"")</f>
        <v/>
      </c>
      <c r="BH29" s="70">
        <f>IFERROR(BH28/BH27,"")</f>
        <v/>
      </c>
      <c r="BI29" s="70">
        <f>IFERROR(BI28/BI27,"")</f>
        <v/>
      </c>
      <c r="BJ29" s="70">
        <f>IFERROR(BJ28/BJ27,"")</f>
        <v/>
      </c>
      <c r="BK29" s="70">
        <f>IFERROR(BK28/BK27,"")</f>
        <v/>
      </c>
      <c r="BL29" s="70">
        <f>IFERROR(BL28/BL27,"")</f>
        <v/>
      </c>
      <c r="BM29" s="70">
        <f>IFERROR(BM28/BM27,"")</f>
        <v/>
      </c>
      <c r="BN29" s="70">
        <f>IFERROR(BN28/BN27,"")</f>
        <v/>
      </c>
      <c r="BO29" s="70">
        <f>IFERROR(BO28/BO27,"")</f>
        <v/>
      </c>
    </row>
    <row r="30">
      <c r="A30" s="66" t="n"/>
      <c r="B30" s="66" t="n"/>
      <c r="C30" s="71" t="inlineStr">
        <is>
          <t>K4</t>
        </is>
      </c>
      <c r="D30" s="37" t="inlineStr">
        <is>
          <t>Engaged Architect (Submit Design)</t>
        </is>
      </c>
      <c r="E30" s="72" t="inlineStr">
        <is>
          <t>D&amp;B</t>
        </is>
      </c>
      <c r="F30" s="75" t="inlineStr">
        <is>
          <t>Phasing</t>
        </is>
      </c>
      <c r="G30" s="56">
        <f>SUM(H30:BO30)</f>
        <v/>
      </c>
      <c r="H30" s="52" t="n">
        <v>1</v>
      </c>
      <c r="I30" s="52" t="n">
        <v>1</v>
      </c>
      <c r="J30" s="52" t="n">
        <v>1</v>
      </c>
      <c r="K30" s="52" t="n">
        <v>2</v>
      </c>
      <c r="L30" s="52" t="n"/>
      <c r="M30" s="52" t="n">
        <v>1</v>
      </c>
      <c r="N30" s="52" t="n">
        <v>1</v>
      </c>
      <c r="O30" s="52" t="n">
        <v>1</v>
      </c>
      <c r="P30" s="52" t="n">
        <v>1</v>
      </c>
      <c r="Q30" s="52" t="n"/>
      <c r="R30" s="52" t="n">
        <v>1</v>
      </c>
      <c r="S30" s="52" t="n">
        <v>1</v>
      </c>
      <c r="T30" s="52" t="n">
        <v>1</v>
      </c>
      <c r="U30" s="52" t="n">
        <v>3</v>
      </c>
      <c r="V30" s="52" t="n"/>
      <c r="W30" s="52" t="n">
        <v>1</v>
      </c>
      <c r="X30" s="52" t="n">
        <v>1</v>
      </c>
      <c r="Y30" s="52" t="n">
        <v>1</v>
      </c>
      <c r="Z30" s="52" t="n">
        <v>3</v>
      </c>
      <c r="AA30" s="52" t="n"/>
      <c r="AB30" s="52" t="n">
        <v>1</v>
      </c>
      <c r="AC30" s="52" t="n">
        <v>1</v>
      </c>
      <c r="AD30" s="52" t="n">
        <v>1</v>
      </c>
      <c r="AE30" s="52" t="n">
        <v>3</v>
      </c>
      <c r="AF30" s="52" t="n"/>
      <c r="AG30" s="52" t="n">
        <v>1</v>
      </c>
      <c r="AH30" s="52" t="n">
        <v>1</v>
      </c>
      <c r="AI30" s="52" t="n">
        <v>1</v>
      </c>
      <c r="AJ30" s="52" t="n">
        <v>4</v>
      </c>
      <c r="AK30" s="52" t="n"/>
      <c r="AL30" s="52" t="n">
        <v>1</v>
      </c>
      <c r="AM30" s="52" t="n">
        <v>1</v>
      </c>
      <c r="AN30" s="52" t="n">
        <v>1</v>
      </c>
      <c r="AO30" s="52" t="n">
        <v>3</v>
      </c>
      <c r="AP30" s="52" t="n"/>
      <c r="AQ30" s="52" t="n">
        <v>1</v>
      </c>
      <c r="AR30" s="52" t="n">
        <v>1</v>
      </c>
      <c r="AS30" s="52" t="n">
        <v>1</v>
      </c>
      <c r="AT30" s="52" t="n">
        <v>3</v>
      </c>
      <c r="AU30" s="52" t="n"/>
      <c r="AV30" s="52" t="n">
        <v>1</v>
      </c>
      <c r="AW30" s="52" t="n">
        <v>1</v>
      </c>
      <c r="AX30" s="52" t="n">
        <v>1</v>
      </c>
      <c r="AY30" s="52" t="n">
        <v>4</v>
      </c>
      <c r="AZ30" s="52" t="n"/>
      <c r="BA30" s="52" t="n">
        <v>1</v>
      </c>
      <c r="BB30" s="52" t="n">
        <v>1</v>
      </c>
      <c r="BC30" s="52" t="n">
        <v>1</v>
      </c>
      <c r="BD30" s="52" t="n">
        <v>4</v>
      </c>
      <c r="BE30" s="52" t="n"/>
      <c r="BF30" s="52" t="n">
        <v>1</v>
      </c>
      <c r="BG30" s="52" t="n">
        <v>1</v>
      </c>
      <c r="BH30" s="52" t="n">
        <v>1</v>
      </c>
      <c r="BI30" s="52" t="n">
        <v>4</v>
      </c>
      <c r="BJ30" s="52" t="n"/>
      <c r="BK30" s="52" t="n">
        <v>2</v>
      </c>
      <c r="BL30" s="52" t="n">
        <v>2</v>
      </c>
      <c r="BM30" s="52" t="n">
        <v>2</v>
      </c>
      <c r="BN30" s="52" t="n">
        <v>2</v>
      </c>
      <c r="BO30" s="52" t="n"/>
    </row>
    <row r="31">
      <c r="A31" s="66" t="n"/>
      <c r="B31" s="66" t="n"/>
      <c r="C31" s="66" t="n"/>
      <c r="D31" s="66" t="n"/>
      <c r="E31" s="66" t="n"/>
      <c r="F31" s="75" t="inlineStr">
        <is>
          <t>Actual</t>
        </is>
      </c>
      <c r="G31" s="56">
        <f>SUM(H31:BO31)</f>
        <v/>
      </c>
      <c r="H31" s="52" t="n">
        <v>1</v>
      </c>
      <c r="I31" s="52" t="n">
        <v>1</v>
      </c>
      <c r="J31" s="52" t="n">
        <v>1</v>
      </c>
      <c r="K31" s="52" t="n">
        <v>2</v>
      </c>
      <c r="L31" s="52" t="n"/>
      <c r="M31" s="52" t="n">
        <v>1</v>
      </c>
      <c r="N31" s="52" t="n">
        <v>1</v>
      </c>
      <c r="O31" s="52" t="n">
        <v>1</v>
      </c>
      <c r="P31" s="52" t="n">
        <v>1</v>
      </c>
      <c r="Q31" s="52" t="n"/>
      <c r="R31" s="52" t="n">
        <v>1</v>
      </c>
      <c r="S31" s="52" t="n">
        <v>1</v>
      </c>
      <c r="T31" s="52" t="n">
        <v>1</v>
      </c>
      <c r="U31" s="52" t="n">
        <v>3</v>
      </c>
      <c r="V31" s="52" t="n"/>
      <c r="W31" s="52" t="n">
        <v>1</v>
      </c>
      <c r="X31" s="52" t="n">
        <v>1</v>
      </c>
      <c r="Y31" s="52" t="n">
        <v>1</v>
      </c>
      <c r="Z31" s="52" t="n">
        <v>3</v>
      </c>
      <c r="AA31" s="52" t="n"/>
      <c r="AB31" s="52" t="n">
        <v>1</v>
      </c>
      <c r="AC31" s="52" t="n">
        <v>1</v>
      </c>
      <c r="AD31" s="52" t="n">
        <v>1</v>
      </c>
      <c r="AE31" s="52" t="n">
        <v>3</v>
      </c>
      <c r="AF31" s="52" t="n"/>
      <c r="AG31" s="52" t="n">
        <v>1</v>
      </c>
      <c r="AH31" s="52" t="n">
        <v>1</v>
      </c>
      <c r="AI31" s="52" t="n">
        <v>1</v>
      </c>
      <c r="AJ31" s="52" t="n">
        <v>4</v>
      </c>
      <c r="AK31" s="52" t="n"/>
      <c r="AL31" s="52" t="n">
        <v>1</v>
      </c>
      <c r="AM31" s="52" t="n">
        <v>1</v>
      </c>
      <c r="AN31" s="52" t="n">
        <v>1</v>
      </c>
      <c r="AO31" s="52" t="n">
        <v>2</v>
      </c>
      <c r="AP31" s="52" t="n"/>
      <c r="AQ31" s="52" t="n">
        <v>1</v>
      </c>
      <c r="AR31" s="52" t="n">
        <v>1</v>
      </c>
      <c r="AS31" s="52" t="n">
        <v>1</v>
      </c>
      <c r="AT31" s="52" t="n">
        <v>2</v>
      </c>
      <c r="AU31" s="52" t="n"/>
      <c r="AV31" s="52" t="n">
        <v>1</v>
      </c>
      <c r="AW31" s="52" t="n">
        <v>1</v>
      </c>
      <c r="AX31" s="52" t="n">
        <v>1</v>
      </c>
      <c r="AY31" s="52" t="n">
        <v>3</v>
      </c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</row>
    <row r="32">
      <c r="A32" s="66" t="n"/>
      <c r="B32" s="66" t="n"/>
      <c r="C32" s="67" t="n"/>
      <c r="D32" s="67" t="n"/>
      <c r="E32" s="67" t="n"/>
      <c r="F32" s="68" t="inlineStr">
        <is>
          <t>% Achieved</t>
        </is>
      </c>
      <c r="G32" s="69">
        <f>IFERROR(G31/G30,"")</f>
        <v/>
      </c>
      <c r="H32" s="70">
        <f>IFERROR(H31/H30,"")</f>
        <v/>
      </c>
      <c r="I32" s="70">
        <f>IFERROR(I31/I30,"")</f>
        <v/>
      </c>
      <c r="J32" s="70">
        <f>IFERROR(J31/J30,"")</f>
        <v/>
      </c>
      <c r="K32" s="70">
        <f>IFERROR(K31/K30,"")</f>
        <v/>
      </c>
      <c r="L32" s="70">
        <f>IFERROR(L31/L30,"")</f>
        <v/>
      </c>
      <c r="M32" s="70">
        <f>IFERROR(M31/M30,"")</f>
        <v/>
      </c>
      <c r="N32" s="70">
        <f>IFERROR(N31/N30,"")</f>
        <v/>
      </c>
      <c r="O32" s="70">
        <f>IFERROR(O31/O30,"")</f>
        <v/>
      </c>
      <c r="P32" s="70">
        <f>IFERROR(P31/P30,"")</f>
        <v/>
      </c>
      <c r="Q32" s="70">
        <f>IFERROR(Q31/Q30,"")</f>
        <v/>
      </c>
      <c r="R32" s="70">
        <f>IFERROR(R31/R30,"")</f>
        <v/>
      </c>
      <c r="S32" s="70">
        <f>IFERROR(S31/S30,"")</f>
        <v/>
      </c>
      <c r="T32" s="70">
        <f>IFERROR(T31/T30,"")</f>
        <v/>
      </c>
      <c r="U32" s="70">
        <f>IFERROR(U31/U30,"")</f>
        <v/>
      </c>
      <c r="V32" s="70">
        <f>IFERROR(V31/V30,"")</f>
        <v/>
      </c>
      <c r="W32" s="70">
        <f>IFERROR(W31/W30,"")</f>
        <v/>
      </c>
      <c r="X32" s="70">
        <f>IFERROR(X31/X30,"")</f>
        <v/>
      </c>
      <c r="Y32" s="70">
        <f>IFERROR(Y31/Y30,"")</f>
        <v/>
      </c>
      <c r="Z32" s="70">
        <f>IFERROR(Z31/Z30,"")</f>
        <v/>
      </c>
      <c r="AA32" s="70">
        <f>IFERROR(AA31/AA30,"")</f>
        <v/>
      </c>
      <c r="AB32" s="70">
        <f>IFERROR(AB31/AB30,"")</f>
        <v/>
      </c>
      <c r="AC32" s="70">
        <f>IFERROR(AC31/AC30,"")</f>
        <v/>
      </c>
      <c r="AD32" s="70">
        <f>IFERROR(AD31/AD30,"")</f>
        <v/>
      </c>
      <c r="AE32" s="70">
        <f>IFERROR(AE31/AE30,"")</f>
        <v/>
      </c>
      <c r="AF32" s="70">
        <f>IFERROR(AF31/AF30,"")</f>
        <v/>
      </c>
      <c r="AG32" s="70">
        <f>IFERROR(AG31/AG30,"")</f>
        <v/>
      </c>
      <c r="AH32" s="70">
        <f>IFERROR(AH31/AH30,"")</f>
        <v/>
      </c>
      <c r="AI32" s="70">
        <f>IFERROR(AI31/AI30,"")</f>
        <v/>
      </c>
      <c r="AJ32" s="70">
        <f>IFERROR(AJ31/AJ30,"")</f>
        <v/>
      </c>
      <c r="AK32" s="70">
        <f>IFERROR(AK31/AK30,"")</f>
        <v/>
      </c>
      <c r="AL32" s="70">
        <f>IFERROR(AL31/AL30,"")</f>
        <v/>
      </c>
      <c r="AM32" s="70">
        <f>IFERROR(AM31/AM30,"")</f>
        <v/>
      </c>
      <c r="AN32" s="70">
        <f>IFERROR(AN31/AN30,"")</f>
        <v/>
      </c>
      <c r="AO32" s="70">
        <f>IFERROR(AO31/AO30,"")</f>
        <v/>
      </c>
      <c r="AP32" s="70">
        <f>IFERROR(AP31/AP30,"")</f>
        <v/>
      </c>
      <c r="AQ32" s="70">
        <f>IFERROR(AQ31/AQ30,"")</f>
        <v/>
      </c>
      <c r="AR32" s="70">
        <f>IFERROR(AR31/AR30,"")</f>
        <v/>
      </c>
      <c r="AS32" s="70">
        <f>IFERROR(AS31/AS30,"")</f>
        <v/>
      </c>
      <c r="AT32" s="70">
        <f>IFERROR(AT31/AT30,"")</f>
        <v/>
      </c>
      <c r="AU32" s="70">
        <f>IFERROR(AU31/AU30,"")</f>
        <v/>
      </c>
      <c r="AV32" s="70">
        <f>IFERROR(AV31/AV30,"")</f>
        <v/>
      </c>
      <c r="AW32" s="70">
        <f>IFERROR(AW31/AW30,"")</f>
        <v/>
      </c>
      <c r="AX32" s="70">
        <f>IFERROR(AX31/AX30,"")</f>
        <v/>
      </c>
      <c r="AY32" s="70">
        <f>IFERROR(AY31/AY30,"")</f>
        <v/>
      </c>
      <c r="AZ32" s="70">
        <f>IFERROR(AZ31/AZ30,"")</f>
        <v/>
      </c>
      <c r="BA32" s="70">
        <f>IFERROR(BA31/BA30,"")</f>
        <v/>
      </c>
      <c r="BB32" s="70">
        <f>IFERROR(BB31/BB30,"")</f>
        <v/>
      </c>
      <c r="BC32" s="70">
        <f>IFERROR(BC31/BC30,"")</f>
        <v/>
      </c>
      <c r="BD32" s="70">
        <f>IFERROR(BD31/BD30,"")</f>
        <v/>
      </c>
      <c r="BE32" s="70">
        <f>IFERROR(BE31/BE30,"")</f>
        <v/>
      </c>
      <c r="BF32" s="70">
        <f>IFERROR(BF31/BF30,"")</f>
        <v/>
      </c>
      <c r="BG32" s="70">
        <f>IFERROR(BG31/BG30,"")</f>
        <v/>
      </c>
      <c r="BH32" s="70">
        <f>IFERROR(BH31/BH30,"")</f>
        <v/>
      </c>
      <c r="BI32" s="70">
        <f>IFERROR(BI31/BI30,"")</f>
        <v/>
      </c>
      <c r="BJ32" s="70">
        <f>IFERROR(BJ31/BJ30,"")</f>
        <v/>
      </c>
      <c r="BK32" s="70">
        <f>IFERROR(BK31/BK30,"")</f>
        <v/>
      </c>
      <c r="BL32" s="70">
        <f>IFERROR(BL31/BL30,"")</f>
        <v/>
      </c>
      <c r="BM32" s="70">
        <f>IFERROR(BM31/BM30,"")</f>
        <v/>
      </c>
      <c r="BN32" s="70">
        <f>IFERROR(BN31/BN30,"")</f>
        <v/>
      </c>
      <c r="BO32" s="70">
        <f>IFERROR(BO31/BO30,"")</f>
        <v/>
      </c>
    </row>
    <row r="33">
      <c r="A33" s="66" t="n"/>
      <c r="B33" s="66" t="n"/>
      <c r="C33" s="73" t="inlineStr">
        <is>
          <t>K5</t>
        </is>
      </c>
      <c r="D33" s="41" t="inlineStr">
        <is>
          <t>Spec-in Design (submitted design)</t>
        </is>
      </c>
      <c r="E33" s="74" t="inlineStr">
        <is>
          <t>Designs</t>
        </is>
      </c>
      <c r="F33" s="75" t="inlineStr">
        <is>
          <t>Phasing</t>
        </is>
      </c>
      <c r="G33" s="56">
        <f>SUM(H33:BO33)</f>
        <v/>
      </c>
      <c r="H33" s="52" t="n">
        <v>1</v>
      </c>
      <c r="I33" s="52" t="n">
        <v>1</v>
      </c>
      <c r="J33" s="52" t="n">
        <v>1</v>
      </c>
      <c r="K33" s="52" t="n">
        <v>3</v>
      </c>
      <c r="L33" s="52" t="n"/>
      <c r="M33" s="52" t="n">
        <v>1</v>
      </c>
      <c r="N33" s="52" t="n">
        <v>1</v>
      </c>
      <c r="O33" s="52" t="n">
        <v>1</v>
      </c>
      <c r="P33" s="52" t="n">
        <v>1</v>
      </c>
      <c r="Q33" s="52" t="n"/>
      <c r="R33" s="52" t="n">
        <v>1</v>
      </c>
      <c r="S33" s="52" t="n">
        <v>1</v>
      </c>
      <c r="T33" s="52" t="n">
        <v>1</v>
      </c>
      <c r="U33" s="52" t="n">
        <v>3</v>
      </c>
      <c r="V33" s="52" t="n"/>
      <c r="W33" s="52" t="n">
        <v>1</v>
      </c>
      <c r="X33" s="52" t="n">
        <v>1</v>
      </c>
      <c r="Y33" s="52" t="n">
        <v>1</v>
      </c>
      <c r="Z33" s="52" t="n">
        <v>3</v>
      </c>
      <c r="AA33" s="52" t="n"/>
      <c r="AB33" s="52" t="n">
        <v>1</v>
      </c>
      <c r="AC33" s="52" t="n">
        <v>1</v>
      </c>
      <c r="AD33" s="52" t="n">
        <v>1</v>
      </c>
      <c r="AE33" s="52" t="n">
        <v>4</v>
      </c>
      <c r="AF33" s="52" t="n"/>
      <c r="AG33" s="52" t="n">
        <v>1</v>
      </c>
      <c r="AH33" s="52" t="n">
        <v>1</v>
      </c>
      <c r="AI33" s="52" t="n">
        <v>1</v>
      </c>
      <c r="AJ33" s="52" t="n">
        <v>4</v>
      </c>
      <c r="AK33" s="52" t="n"/>
      <c r="AL33" s="52" t="n">
        <v>1</v>
      </c>
      <c r="AM33" s="52" t="n">
        <v>1</v>
      </c>
      <c r="AN33" s="52" t="n">
        <v>1</v>
      </c>
      <c r="AO33" s="52" t="n">
        <v>3</v>
      </c>
      <c r="AP33" s="52" t="n"/>
      <c r="AQ33" s="52" t="n">
        <v>1</v>
      </c>
      <c r="AR33" s="52" t="n">
        <v>1</v>
      </c>
      <c r="AS33" s="52" t="n">
        <v>1</v>
      </c>
      <c r="AT33" s="52" t="n">
        <v>4</v>
      </c>
      <c r="AU33" s="52" t="n"/>
      <c r="AV33" s="52" t="n">
        <v>1</v>
      </c>
      <c r="AW33" s="52" t="n">
        <v>1</v>
      </c>
      <c r="AX33" s="52" t="n">
        <v>1</v>
      </c>
      <c r="AY33" s="52" t="n">
        <v>4</v>
      </c>
      <c r="AZ33" s="52" t="n"/>
      <c r="BA33" s="52" t="n">
        <v>1</v>
      </c>
      <c r="BB33" s="52" t="n">
        <v>1</v>
      </c>
      <c r="BC33" s="52" t="n">
        <v>1</v>
      </c>
      <c r="BD33" s="52" t="n">
        <v>4</v>
      </c>
      <c r="BE33" s="52" t="n"/>
      <c r="BF33" s="52" t="n">
        <v>1</v>
      </c>
      <c r="BG33" s="52" t="n">
        <v>1</v>
      </c>
      <c r="BH33" s="52" t="n">
        <v>1</v>
      </c>
      <c r="BI33" s="52" t="n">
        <v>4</v>
      </c>
      <c r="BJ33" s="52" t="n"/>
      <c r="BK33" s="52" t="n">
        <v>2</v>
      </c>
      <c r="BL33" s="52" t="n">
        <v>2</v>
      </c>
      <c r="BM33" s="52" t="n">
        <v>2</v>
      </c>
      <c r="BN33" s="52" t="n">
        <v>2</v>
      </c>
      <c r="BO33" s="52" t="n"/>
    </row>
    <row r="34">
      <c r="A34" s="66" t="n"/>
      <c r="B34" s="66" t="n"/>
      <c r="C34" s="66" t="n"/>
      <c r="D34" s="66" t="n"/>
      <c r="E34" s="66" t="n"/>
      <c r="F34" s="75" t="inlineStr">
        <is>
          <t>Actual</t>
        </is>
      </c>
      <c r="G34" s="56">
        <f>SUM(H34:BO34)</f>
        <v/>
      </c>
      <c r="H34" s="52" t="n">
        <v>1</v>
      </c>
      <c r="I34" s="52" t="n">
        <v>1</v>
      </c>
      <c r="J34" s="52" t="n">
        <v>1</v>
      </c>
      <c r="K34" s="52" t="n">
        <v>3</v>
      </c>
      <c r="L34" s="52" t="n"/>
      <c r="M34" s="52" t="n">
        <v>1</v>
      </c>
      <c r="N34" s="52" t="n">
        <v>1</v>
      </c>
      <c r="O34" s="52" t="n">
        <v>1</v>
      </c>
      <c r="P34" s="52" t="n">
        <v>1</v>
      </c>
      <c r="Q34" s="52" t="n"/>
      <c r="R34" s="52" t="n">
        <v>1</v>
      </c>
      <c r="S34" s="52" t="n">
        <v>1</v>
      </c>
      <c r="T34" s="52" t="n">
        <v>1</v>
      </c>
      <c r="U34" s="52" t="n">
        <v>3</v>
      </c>
      <c r="V34" s="52" t="n"/>
      <c r="W34" s="52" t="n">
        <v>1</v>
      </c>
      <c r="X34" s="52" t="n">
        <v>1</v>
      </c>
      <c r="Y34" s="52" t="n">
        <v>1</v>
      </c>
      <c r="Z34" s="52" t="n">
        <v>3</v>
      </c>
      <c r="AA34" s="52" t="n"/>
      <c r="AB34" s="52" t="n">
        <v>1</v>
      </c>
      <c r="AC34" s="52" t="n">
        <v>1</v>
      </c>
      <c r="AD34" s="52" t="n">
        <v>1</v>
      </c>
      <c r="AE34" s="52" t="n">
        <v>4</v>
      </c>
      <c r="AF34" s="52" t="n"/>
      <c r="AG34" s="52" t="n">
        <v>1</v>
      </c>
      <c r="AH34" s="52" t="n">
        <v>1</v>
      </c>
      <c r="AI34" s="52" t="n">
        <v>1</v>
      </c>
      <c r="AJ34" s="52" t="n">
        <v>4</v>
      </c>
      <c r="AK34" s="52" t="n"/>
      <c r="AL34" s="52" t="n">
        <v>1</v>
      </c>
      <c r="AM34" s="52" t="n">
        <v>1</v>
      </c>
      <c r="AN34" s="52" t="n">
        <v>1</v>
      </c>
      <c r="AO34" s="52" t="n">
        <v>3</v>
      </c>
      <c r="AP34" s="52" t="n"/>
      <c r="AQ34" s="52" t="n">
        <v>1</v>
      </c>
      <c r="AR34" s="52" t="n">
        <v>1</v>
      </c>
      <c r="AS34" s="52" t="n">
        <v>1</v>
      </c>
      <c r="AT34" s="52" t="n">
        <v>4</v>
      </c>
      <c r="AU34" s="52" t="n"/>
      <c r="AV34" s="52" t="n">
        <v>1</v>
      </c>
      <c r="AW34" s="52" t="n">
        <v>1</v>
      </c>
      <c r="AX34" s="52" t="n">
        <v>1</v>
      </c>
      <c r="AY34" s="52" t="n">
        <v>4</v>
      </c>
      <c r="AZ34" s="52" t="n"/>
      <c r="BA34" s="52" t="n"/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2" t="n"/>
      <c r="BO34" s="52" t="n"/>
    </row>
    <row r="35">
      <c r="A35" s="67" t="n"/>
      <c r="B35" s="67" t="n"/>
      <c r="C35" s="67" t="n"/>
      <c r="D35" s="67" t="n"/>
      <c r="E35" s="67" t="n"/>
      <c r="F35" s="68" t="inlineStr">
        <is>
          <t>% Achieved</t>
        </is>
      </c>
      <c r="G35" s="69">
        <f>IFERROR(G34/G33,"")</f>
        <v/>
      </c>
      <c r="H35" s="70">
        <f>IFERROR(H34/H33,"")</f>
        <v/>
      </c>
      <c r="I35" s="70">
        <f>IFERROR(I34/I33,"")</f>
        <v/>
      </c>
      <c r="J35" s="70">
        <f>IFERROR(J34/J33,"")</f>
        <v/>
      </c>
      <c r="K35" s="70">
        <f>IFERROR(K34/K33,"")</f>
        <v/>
      </c>
      <c r="L35" s="70">
        <f>IFERROR(L34/L33,"")</f>
        <v/>
      </c>
      <c r="M35" s="70">
        <f>IFERROR(M34/M33,"")</f>
        <v/>
      </c>
      <c r="N35" s="70">
        <f>IFERROR(N34/N33,"")</f>
        <v/>
      </c>
      <c r="O35" s="70">
        <f>IFERROR(O34/O33,"")</f>
        <v/>
      </c>
      <c r="P35" s="70">
        <f>IFERROR(P34/P33,"")</f>
        <v/>
      </c>
      <c r="Q35" s="70">
        <f>IFERROR(Q34/Q33,"")</f>
        <v/>
      </c>
      <c r="R35" s="70">
        <f>IFERROR(R34/R33,"")</f>
        <v/>
      </c>
      <c r="S35" s="70">
        <f>IFERROR(S34/S33,"")</f>
        <v/>
      </c>
      <c r="T35" s="70">
        <f>IFERROR(T34/T33,"")</f>
        <v/>
      </c>
      <c r="U35" s="70">
        <f>IFERROR(U34/U33,"")</f>
        <v/>
      </c>
      <c r="V35" s="70">
        <f>IFERROR(V34/V33,"")</f>
        <v/>
      </c>
      <c r="W35" s="70">
        <f>IFERROR(W34/W33,"")</f>
        <v/>
      </c>
      <c r="X35" s="70">
        <f>IFERROR(X34/X33,"")</f>
        <v/>
      </c>
      <c r="Y35" s="70">
        <f>IFERROR(Y34/Y33,"")</f>
        <v/>
      </c>
      <c r="Z35" s="70">
        <f>IFERROR(Z34/Z33,"")</f>
        <v/>
      </c>
      <c r="AA35" s="70">
        <f>IFERROR(AA34/AA33,"")</f>
        <v/>
      </c>
      <c r="AB35" s="70">
        <f>IFERROR(AB34/AB33,"")</f>
        <v/>
      </c>
      <c r="AC35" s="70">
        <f>IFERROR(AC34/AC33,"")</f>
        <v/>
      </c>
      <c r="AD35" s="70">
        <f>IFERROR(AD34/AD33,"")</f>
        <v/>
      </c>
      <c r="AE35" s="70">
        <f>IFERROR(AE34/AE33,"")</f>
        <v/>
      </c>
      <c r="AF35" s="70">
        <f>IFERROR(AF34/AF33,"")</f>
        <v/>
      </c>
      <c r="AG35" s="70">
        <f>IFERROR(AG34/AG33,"")</f>
        <v/>
      </c>
      <c r="AH35" s="70">
        <f>IFERROR(AH34/AH33,"")</f>
        <v/>
      </c>
      <c r="AI35" s="70">
        <f>IFERROR(AI34/AI33,"")</f>
        <v/>
      </c>
      <c r="AJ35" s="70">
        <f>IFERROR(AJ34/AJ33,"")</f>
        <v/>
      </c>
      <c r="AK35" s="70">
        <f>IFERROR(AK34/AK33,"")</f>
        <v/>
      </c>
      <c r="AL35" s="70">
        <f>IFERROR(AL34/AL33,"")</f>
        <v/>
      </c>
      <c r="AM35" s="70">
        <f>IFERROR(AM34/AM33,"")</f>
        <v/>
      </c>
      <c r="AN35" s="70">
        <f>IFERROR(AN34/AN33,"")</f>
        <v/>
      </c>
      <c r="AO35" s="70">
        <f>IFERROR(AO34/AO33,"")</f>
        <v/>
      </c>
      <c r="AP35" s="70">
        <f>IFERROR(AP34/AP33,"")</f>
        <v/>
      </c>
      <c r="AQ35" s="70">
        <f>IFERROR(AQ34/AQ33,"")</f>
        <v/>
      </c>
      <c r="AR35" s="70">
        <f>IFERROR(AR34/AR33,"")</f>
        <v/>
      </c>
      <c r="AS35" s="70">
        <f>IFERROR(AS34/AS33,"")</f>
        <v/>
      </c>
      <c r="AT35" s="70">
        <f>IFERROR(AT34/AT33,"")</f>
        <v/>
      </c>
      <c r="AU35" s="70">
        <f>IFERROR(AU34/AU33,"")</f>
        <v/>
      </c>
      <c r="AV35" s="70">
        <f>IFERROR(AV34/AV33,"")</f>
        <v/>
      </c>
      <c r="AW35" s="70">
        <f>IFERROR(AW34/AW33,"")</f>
        <v/>
      </c>
      <c r="AX35" s="70">
        <f>IFERROR(AX34/AX33,"")</f>
        <v/>
      </c>
      <c r="AY35" s="70">
        <f>IFERROR(AY34/AY33,"")</f>
        <v/>
      </c>
      <c r="AZ35" s="70">
        <f>IFERROR(AZ34/AZ33,"")</f>
        <v/>
      </c>
      <c r="BA35" s="70">
        <f>IFERROR(BA34/BA33,"")</f>
        <v/>
      </c>
      <c r="BB35" s="70">
        <f>IFERROR(BB34/BB33,"")</f>
        <v/>
      </c>
      <c r="BC35" s="70">
        <f>IFERROR(BC34/BC33,"")</f>
        <v/>
      </c>
      <c r="BD35" s="70">
        <f>IFERROR(BD34/BD33,"")</f>
        <v/>
      </c>
      <c r="BE35" s="70">
        <f>IFERROR(BE34/BE33,"")</f>
        <v/>
      </c>
      <c r="BF35" s="70">
        <f>IFERROR(BF34/BF33,"")</f>
        <v/>
      </c>
      <c r="BG35" s="70">
        <f>IFERROR(BG34/BG33,"")</f>
        <v/>
      </c>
      <c r="BH35" s="70">
        <f>IFERROR(BH34/BH33,"")</f>
        <v/>
      </c>
      <c r="BI35" s="70">
        <f>IFERROR(BI34/BI33,"")</f>
        <v/>
      </c>
      <c r="BJ35" s="70">
        <f>IFERROR(BJ34/BJ33,"")</f>
        <v/>
      </c>
      <c r="BK35" s="70">
        <f>IFERROR(BK34/BK33,"")</f>
        <v/>
      </c>
      <c r="BL35" s="70">
        <f>IFERROR(BL34/BL33,"")</f>
        <v/>
      </c>
      <c r="BM35" s="70">
        <f>IFERROR(BM34/BM33,"")</f>
        <v/>
      </c>
      <c r="BN35" s="70">
        <f>IFERROR(BN34/BN33,"")</f>
        <v/>
      </c>
      <c r="BO35" s="70">
        <f>IFERROR(BO34/BO33,"")</f>
        <v/>
      </c>
    </row>
    <row r="36">
      <c r="A36" s="61">
        <f>IFERROR(INDEX(Team_Master!$C$6:$C$20,3),"")</f>
        <v/>
      </c>
      <c r="B36" s="62">
        <f>IFERROR(INDEX(Team_Master!$G$6:$G$20,3),"")</f>
        <v/>
      </c>
      <c r="C36" s="63" t="inlineStr">
        <is>
          <t>K1</t>
        </is>
      </c>
      <c r="D36" s="11" t="inlineStr">
        <is>
          <t>Invoiced Value</t>
        </is>
      </c>
      <c r="E36" s="64" t="inlineStr">
        <is>
          <t>MVND</t>
        </is>
      </c>
      <c r="F36" s="65" t="inlineStr">
        <is>
          <t>Phasing</t>
        </is>
      </c>
      <c r="G36" s="56">
        <f>SUM(H36:BO36)</f>
        <v/>
      </c>
      <c r="H36" s="52" t="n">
        <v>244</v>
      </c>
      <c r="I36" s="52" t="n">
        <v>244</v>
      </c>
      <c r="J36" s="52" t="n">
        <v>244</v>
      </c>
      <c r="K36" s="52" t="n">
        <v>246</v>
      </c>
      <c r="L36" s="52" t="n"/>
      <c r="M36" s="52" t="n">
        <v>178</v>
      </c>
      <c r="N36" s="52" t="n">
        <v>178</v>
      </c>
      <c r="O36" s="52" t="n">
        <v>178</v>
      </c>
      <c r="P36" s="52" t="n">
        <v>179</v>
      </c>
      <c r="Q36" s="52" t="n"/>
      <c r="R36" s="52" t="n">
        <v>273</v>
      </c>
      <c r="S36" s="52" t="n">
        <v>273</v>
      </c>
      <c r="T36" s="52" t="n">
        <v>273</v>
      </c>
      <c r="U36" s="52" t="n">
        <v>273</v>
      </c>
      <c r="V36" s="52" t="n"/>
      <c r="W36" s="52" t="n">
        <v>287</v>
      </c>
      <c r="X36" s="52" t="n">
        <v>287</v>
      </c>
      <c r="Y36" s="52" t="n">
        <v>287</v>
      </c>
      <c r="Z36" s="52" t="n">
        <v>289</v>
      </c>
      <c r="AA36" s="52" t="n"/>
      <c r="AB36" s="52" t="n">
        <v>293</v>
      </c>
      <c r="AC36" s="52" t="n">
        <v>293</v>
      </c>
      <c r="AD36" s="52" t="n">
        <v>293</v>
      </c>
      <c r="AE36" s="52" t="n">
        <v>294</v>
      </c>
      <c r="AF36" s="52" t="n"/>
      <c r="AG36" s="52" t="n">
        <v>302</v>
      </c>
      <c r="AH36" s="52" t="n">
        <v>302</v>
      </c>
      <c r="AI36" s="52" t="n">
        <v>302</v>
      </c>
      <c r="AJ36" s="52" t="n">
        <v>302</v>
      </c>
      <c r="AK36" s="52" t="n"/>
      <c r="AL36" s="52" t="n">
        <v>287</v>
      </c>
      <c r="AM36" s="52" t="n">
        <v>287</v>
      </c>
      <c r="AN36" s="52" t="n">
        <v>287</v>
      </c>
      <c r="AO36" s="52" t="n">
        <v>289</v>
      </c>
      <c r="AP36" s="52" t="n"/>
      <c r="AQ36" s="52" t="n">
        <v>296</v>
      </c>
      <c r="AR36" s="52" t="n">
        <v>296</v>
      </c>
      <c r="AS36" s="52" t="n">
        <v>296</v>
      </c>
      <c r="AT36" s="52" t="n">
        <v>296</v>
      </c>
      <c r="AU36" s="52" t="n"/>
      <c r="AV36" s="52" t="n">
        <v>310</v>
      </c>
      <c r="AW36" s="52" t="n">
        <v>310</v>
      </c>
      <c r="AX36" s="52" t="n">
        <v>310</v>
      </c>
      <c r="AY36" s="52" t="n">
        <v>312</v>
      </c>
      <c r="AZ36" s="52" t="n"/>
      <c r="BA36" s="52" t="n">
        <v>322</v>
      </c>
      <c r="BB36" s="52" t="n">
        <v>322</v>
      </c>
      <c r="BC36" s="52" t="n">
        <v>322</v>
      </c>
      <c r="BD36" s="52" t="n">
        <v>322</v>
      </c>
      <c r="BE36" s="52" t="n"/>
      <c r="BF36" s="52" t="n">
        <v>330</v>
      </c>
      <c r="BG36" s="52" t="n">
        <v>330</v>
      </c>
      <c r="BH36" s="52" t="n">
        <v>330</v>
      </c>
      <c r="BI36" s="52" t="n">
        <v>332</v>
      </c>
      <c r="BJ36" s="52" t="n"/>
      <c r="BK36" s="52" t="n">
        <v>325</v>
      </c>
      <c r="BL36" s="52" t="n">
        <v>325</v>
      </c>
      <c r="BM36" s="52" t="n">
        <v>325</v>
      </c>
      <c r="BN36" s="52" t="n">
        <v>325</v>
      </c>
      <c r="BO36" s="52" t="n"/>
    </row>
    <row r="37">
      <c r="A37" s="66" t="n"/>
      <c r="B37" s="66" t="n"/>
      <c r="C37" s="66" t="n"/>
      <c r="D37" s="66" t="n"/>
      <c r="E37" s="66" t="n"/>
      <c r="F37" s="65" t="inlineStr">
        <is>
          <t>Actual</t>
        </is>
      </c>
      <c r="G37" s="56">
        <f>SUM(H37:BO37)</f>
        <v/>
      </c>
      <c r="H37" s="52" t="n">
        <v>282</v>
      </c>
      <c r="I37" s="52" t="n">
        <v>222</v>
      </c>
      <c r="J37" s="52" t="n">
        <v>267</v>
      </c>
      <c r="K37" s="52" t="n">
        <v>257</v>
      </c>
      <c r="L37" s="52" t="n"/>
      <c r="M37" s="52" t="n">
        <v>224</v>
      </c>
      <c r="N37" s="52" t="n">
        <v>222</v>
      </c>
      <c r="O37" s="52" t="n">
        <v>176</v>
      </c>
      <c r="P37" s="52" t="n">
        <v>191</v>
      </c>
      <c r="Q37" s="52" t="n"/>
      <c r="R37" s="52" t="n">
        <v>255</v>
      </c>
      <c r="S37" s="52" t="n">
        <v>288</v>
      </c>
      <c r="T37" s="52" t="n">
        <v>328</v>
      </c>
      <c r="U37" s="52" t="n">
        <v>337</v>
      </c>
      <c r="V37" s="52" t="n"/>
      <c r="W37" s="52" t="n">
        <v>307</v>
      </c>
      <c r="X37" s="52" t="n">
        <v>290</v>
      </c>
      <c r="Y37" s="52" t="n">
        <v>276</v>
      </c>
      <c r="Z37" s="52" t="n">
        <v>325</v>
      </c>
      <c r="AA37" s="52" t="n"/>
      <c r="AB37" s="52" t="n">
        <v>365</v>
      </c>
      <c r="AC37" s="52" t="n">
        <v>274</v>
      </c>
      <c r="AD37" s="52" t="n">
        <v>348</v>
      </c>
      <c r="AE37" s="52" t="n">
        <v>263</v>
      </c>
      <c r="AF37" s="52" t="n"/>
      <c r="AG37" s="52" t="n">
        <v>290</v>
      </c>
      <c r="AH37" s="52" t="n">
        <v>294</v>
      </c>
      <c r="AI37" s="52" t="n">
        <v>348</v>
      </c>
      <c r="AJ37" s="52" t="n">
        <v>305</v>
      </c>
      <c r="AK37" s="52" t="n"/>
      <c r="AL37" s="52" t="n">
        <v>294</v>
      </c>
      <c r="AM37" s="52" t="n">
        <v>323</v>
      </c>
      <c r="AN37" s="52" t="n">
        <v>266</v>
      </c>
      <c r="AO37" s="52" t="n">
        <v>338</v>
      </c>
      <c r="AP37" s="52" t="n"/>
      <c r="AQ37" s="52" t="n">
        <v>276</v>
      </c>
      <c r="AR37" s="52" t="n">
        <v>321</v>
      </c>
      <c r="AS37" s="52" t="n">
        <v>291</v>
      </c>
      <c r="AT37" s="52" t="n">
        <v>285</v>
      </c>
      <c r="AU37" s="52" t="n"/>
      <c r="AV37" s="52" t="n">
        <v>338</v>
      </c>
      <c r="AW37" s="52" t="n">
        <v>327</v>
      </c>
      <c r="AX37" s="52" t="n">
        <v>320</v>
      </c>
      <c r="AY37" s="52" t="n">
        <v>326</v>
      </c>
      <c r="AZ37" s="52" t="n"/>
      <c r="BA37" s="52" t="n"/>
      <c r="BB37" s="52" t="n"/>
      <c r="BC37" s="52" t="n"/>
      <c r="BD37" s="52" t="n"/>
      <c r="BE37" s="52" t="n"/>
      <c r="BF37" s="52" t="n"/>
      <c r="BG37" s="52" t="n"/>
      <c r="BH37" s="52" t="n"/>
      <c r="BI37" s="52" t="n"/>
      <c r="BJ37" s="52" t="n"/>
      <c r="BK37" s="52" t="n"/>
      <c r="BL37" s="52" t="n"/>
      <c r="BM37" s="52" t="n"/>
      <c r="BN37" s="52" t="n"/>
      <c r="BO37" s="52" t="n"/>
    </row>
    <row r="38">
      <c r="A38" s="66" t="n"/>
      <c r="B38" s="66" t="n"/>
      <c r="C38" s="67" t="n"/>
      <c r="D38" s="67" t="n"/>
      <c r="E38" s="67" t="n"/>
      <c r="F38" s="68" t="inlineStr">
        <is>
          <t>% Achieved</t>
        </is>
      </c>
      <c r="G38" s="69">
        <f>IFERROR(G37/G36,"")</f>
        <v/>
      </c>
      <c r="H38" s="70">
        <f>IFERROR(H37/H36,"")</f>
        <v/>
      </c>
      <c r="I38" s="70">
        <f>IFERROR(I37/I36,"")</f>
        <v/>
      </c>
      <c r="J38" s="70">
        <f>IFERROR(J37/J36,"")</f>
        <v/>
      </c>
      <c r="K38" s="70">
        <f>IFERROR(K37/K36,"")</f>
        <v/>
      </c>
      <c r="L38" s="70">
        <f>IFERROR(L37/L36,"")</f>
        <v/>
      </c>
      <c r="M38" s="70">
        <f>IFERROR(M37/M36,"")</f>
        <v/>
      </c>
      <c r="N38" s="70">
        <f>IFERROR(N37/N36,"")</f>
        <v/>
      </c>
      <c r="O38" s="70">
        <f>IFERROR(O37/O36,"")</f>
        <v/>
      </c>
      <c r="P38" s="70">
        <f>IFERROR(P37/P36,"")</f>
        <v/>
      </c>
      <c r="Q38" s="70">
        <f>IFERROR(Q37/Q36,"")</f>
        <v/>
      </c>
      <c r="R38" s="70">
        <f>IFERROR(R37/R36,"")</f>
        <v/>
      </c>
      <c r="S38" s="70">
        <f>IFERROR(S37/S36,"")</f>
        <v/>
      </c>
      <c r="T38" s="70">
        <f>IFERROR(T37/T36,"")</f>
        <v/>
      </c>
      <c r="U38" s="70">
        <f>IFERROR(U37/U36,"")</f>
        <v/>
      </c>
      <c r="V38" s="70">
        <f>IFERROR(V37/V36,"")</f>
        <v/>
      </c>
      <c r="W38" s="70">
        <f>IFERROR(W37/W36,"")</f>
        <v/>
      </c>
      <c r="X38" s="70">
        <f>IFERROR(X37/X36,"")</f>
        <v/>
      </c>
      <c r="Y38" s="70">
        <f>IFERROR(Y37/Y36,"")</f>
        <v/>
      </c>
      <c r="Z38" s="70">
        <f>IFERROR(Z37/Z36,"")</f>
        <v/>
      </c>
      <c r="AA38" s="70">
        <f>IFERROR(AA37/AA36,"")</f>
        <v/>
      </c>
      <c r="AB38" s="70">
        <f>IFERROR(AB37/AB36,"")</f>
        <v/>
      </c>
      <c r="AC38" s="70">
        <f>IFERROR(AC37/AC36,"")</f>
        <v/>
      </c>
      <c r="AD38" s="70">
        <f>IFERROR(AD37/AD36,"")</f>
        <v/>
      </c>
      <c r="AE38" s="70">
        <f>IFERROR(AE37/AE36,"")</f>
        <v/>
      </c>
      <c r="AF38" s="70">
        <f>IFERROR(AF37/AF36,"")</f>
        <v/>
      </c>
      <c r="AG38" s="70">
        <f>IFERROR(AG37/AG36,"")</f>
        <v/>
      </c>
      <c r="AH38" s="70">
        <f>IFERROR(AH37/AH36,"")</f>
        <v/>
      </c>
      <c r="AI38" s="70">
        <f>IFERROR(AI37/AI36,"")</f>
        <v/>
      </c>
      <c r="AJ38" s="70">
        <f>IFERROR(AJ37/AJ36,"")</f>
        <v/>
      </c>
      <c r="AK38" s="70">
        <f>IFERROR(AK37/AK36,"")</f>
        <v/>
      </c>
      <c r="AL38" s="70">
        <f>IFERROR(AL37/AL36,"")</f>
        <v/>
      </c>
      <c r="AM38" s="70">
        <f>IFERROR(AM37/AM36,"")</f>
        <v/>
      </c>
      <c r="AN38" s="70">
        <f>IFERROR(AN37/AN36,"")</f>
        <v/>
      </c>
      <c r="AO38" s="70">
        <f>IFERROR(AO37/AO36,"")</f>
        <v/>
      </c>
      <c r="AP38" s="70">
        <f>IFERROR(AP37/AP36,"")</f>
        <v/>
      </c>
      <c r="AQ38" s="70">
        <f>IFERROR(AQ37/AQ36,"")</f>
        <v/>
      </c>
      <c r="AR38" s="70">
        <f>IFERROR(AR37/AR36,"")</f>
        <v/>
      </c>
      <c r="AS38" s="70">
        <f>IFERROR(AS37/AS36,"")</f>
        <v/>
      </c>
      <c r="AT38" s="70">
        <f>IFERROR(AT37/AT36,"")</f>
        <v/>
      </c>
      <c r="AU38" s="70">
        <f>IFERROR(AU37/AU36,"")</f>
        <v/>
      </c>
      <c r="AV38" s="70">
        <f>IFERROR(AV37/AV36,"")</f>
        <v/>
      </c>
      <c r="AW38" s="70">
        <f>IFERROR(AW37/AW36,"")</f>
        <v/>
      </c>
      <c r="AX38" s="70">
        <f>IFERROR(AX37/AX36,"")</f>
        <v/>
      </c>
      <c r="AY38" s="70">
        <f>IFERROR(AY37/AY36,"")</f>
        <v/>
      </c>
      <c r="AZ38" s="70">
        <f>IFERROR(AZ37/AZ36,"")</f>
        <v/>
      </c>
      <c r="BA38" s="70">
        <f>IFERROR(BA37/BA36,"")</f>
        <v/>
      </c>
      <c r="BB38" s="70">
        <f>IFERROR(BB37/BB36,"")</f>
        <v/>
      </c>
      <c r="BC38" s="70">
        <f>IFERROR(BC37/BC36,"")</f>
        <v/>
      </c>
      <c r="BD38" s="70">
        <f>IFERROR(BD37/BD36,"")</f>
        <v/>
      </c>
      <c r="BE38" s="70">
        <f>IFERROR(BE37/BE36,"")</f>
        <v/>
      </c>
      <c r="BF38" s="70">
        <f>IFERROR(BF37/BF36,"")</f>
        <v/>
      </c>
      <c r="BG38" s="70">
        <f>IFERROR(BG37/BG36,"")</f>
        <v/>
      </c>
      <c r="BH38" s="70">
        <f>IFERROR(BH37/BH36,"")</f>
        <v/>
      </c>
      <c r="BI38" s="70">
        <f>IFERROR(BI37/BI36,"")</f>
        <v/>
      </c>
      <c r="BJ38" s="70">
        <f>IFERROR(BJ37/BJ36,"")</f>
        <v/>
      </c>
      <c r="BK38" s="70">
        <f>IFERROR(BK37/BK36,"")</f>
        <v/>
      </c>
      <c r="BL38" s="70">
        <f>IFERROR(BL37/BL36,"")</f>
        <v/>
      </c>
      <c r="BM38" s="70">
        <f>IFERROR(BM37/BM36,"")</f>
        <v/>
      </c>
      <c r="BN38" s="70">
        <f>IFERROR(BN37/BN36,"")</f>
        <v/>
      </c>
      <c r="BO38" s="70">
        <f>IFERROR(BO37/BO36,"")</f>
        <v/>
      </c>
    </row>
    <row r="39">
      <c r="A39" s="66" t="n"/>
      <c r="B39" s="66" t="n"/>
      <c r="C39" s="63" t="inlineStr">
        <is>
          <t>K2</t>
        </is>
      </c>
      <c r="D39" s="11" t="inlineStr">
        <is>
          <t>Key account approach / Site check</t>
        </is>
      </c>
      <c r="E39" s="64" t="inlineStr">
        <is>
          <t>Roadshow</t>
        </is>
      </c>
      <c r="F39" s="65" t="inlineStr">
        <is>
          <t>Phasing</t>
        </is>
      </c>
      <c r="G39" s="56">
        <f>SUM(H39:BO39)</f>
        <v/>
      </c>
      <c r="H39" s="52" t="n">
        <v>4</v>
      </c>
      <c r="I39" s="52" t="n">
        <v>4</v>
      </c>
      <c r="J39" s="52" t="n">
        <v>4</v>
      </c>
      <c r="K39" s="52" t="n">
        <v>4</v>
      </c>
      <c r="L39" s="52" t="n"/>
      <c r="M39" s="52" t="n">
        <v>3</v>
      </c>
      <c r="N39" s="52" t="n">
        <v>3</v>
      </c>
      <c r="O39" s="52" t="n">
        <v>3</v>
      </c>
      <c r="P39" s="52" t="n">
        <v>3</v>
      </c>
      <c r="Q39" s="52" t="n"/>
      <c r="R39" s="52" t="n">
        <v>4</v>
      </c>
      <c r="S39" s="52" t="n">
        <v>4</v>
      </c>
      <c r="T39" s="52" t="n">
        <v>4</v>
      </c>
      <c r="U39" s="52" t="n">
        <v>6</v>
      </c>
      <c r="V39" s="52" t="n"/>
      <c r="W39" s="52" t="n">
        <v>4</v>
      </c>
      <c r="X39" s="52" t="n">
        <v>4</v>
      </c>
      <c r="Y39" s="52" t="n">
        <v>4</v>
      </c>
      <c r="Z39" s="52" t="n">
        <v>7</v>
      </c>
      <c r="AA39" s="52" t="n"/>
      <c r="AB39" s="52" t="n">
        <v>5</v>
      </c>
      <c r="AC39" s="52" t="n">
        <v>5</v>
      </c>
      <c r="AD39" s="52" t="n">
        <v>5</v>
      </c>
      <c r="AE39" s="52" t="n">
        <v>5</v>
      </c>
      <c r="AF39" s="52" t="n"/>
      <c r="AG39" s="52" t="n">
        <v>5</v>
      </c>
      <c r="AH39" s="52" t="n">
        <v>5</v>
      </c>
      <c r="AI39" s="52" t="n">
        <v>5</v>
      </c>
      <c r="AJ39" s="52" t="n">
        <v>5</v>
      </c>
      <c r="AK39" s="52" t="n"/>
      <c r="AL39" s="52" t="n">
        <v>4</v>
      </c>
      <c r="AM39" s="52" t="n">
        <v>4</v>
      </c>
      <c r="AN39" s="52" t="n">
        <v>4</v>
      </c>
      <c r="AO39" s="52" t="n">
        <v>7</v>
      </c>
      <c r="AP39" s="52" t="n"/>
      <c r="AQ39" s="52" t="n">
        <v>5</v>
      </c>
      <c r="AR39" s="52" t="n">
        <v>5</v>
      </c>
      <c r="AS39" s="52" t="n">
        <v>5</v>
      </c>
      <c r="AT39" s="52" t="n">
        <v>5</v>
      </c>
      <c r="AU39" s="52" t="n"/>
      <c r="AV39" s="52" t="n">
        <v>5</v>
      </c>
      <c r="AW39" s="52" t="n">
        <v>5</v>
      </c>
      <c r="AX39" s="52" t="n">
        <v>5</v>
      </c>
      <c r="AY39" s="52" t="n">
        <v>6</v>
      </c>
      <c r="AZ39" s="52" t="n"/>
      <c r="BA39" s="52" t="n">
        <v>5</v>
      </c>
      <c r="BB39" s="52" t="n">
        <v>5</v>
      </c>
      <c r="BC39" s="52" t="n">
        <v>5</v>
      </c>
      <c r="BD39" s="52" t="n">
        <v>6</v>
      </c>
      <c r="BE39" s="52" t="n"/>
      <c r="BF39" s="52" t="n">
        <v>5</v>
      </c>
      <c r="BG39" s="52" t="n">
        <v>5</v>
      </c>
      <c r="BH39" s="52" t="n">
        <v>5</v>
      </c>
      <c r="BI39" s="52" t="n">
        <v>7</v>
      </c>
      <c r="BJ39" s="52" t="n"/>
      <c r="BK39" s="52" t="n">
        <v>5</v>
      </c>
      <c r="BL39" s="52" t="n">
        <v>5</v>
      </c>
      <c r="BM39" s="52" t="n">
        <v>5</v>
      </c>
      <c r="BN39" s="52" t="n">
        <v>7</v>
      </c>
      <c r="BO39" s="52" t="n"/>
    </row>
    <row r="40">
      <c r="A40" s="66" t="n"/>
      <c r="B40" s="66" t="n"/>
      <c r="C40" s="66" t="n"/>
      <c r="D40" s="66" t="n"/>
      <c r="E40" s="66" t="n"/>
      <c r="F40" s="65" t="inlineStr">
        <is>
          <t>Actual</t>
        </is>
      </c>
      <c r="G40" s="56">
        <f>SUM(H40:BO40)</f>
        <v/>
      </c>
      <c r="H40" s="52" t="n">
        <v>4</v>
      </c>
      <c r="I40" s="52" t="n">
        <v>4</v>
      </c>
      <c r="J40" s="52" t="n">
        <v>4</v>
      </c>
      <c r="K40" s="52" t="n">
        <v>5</v>
      </c>
      <c r="L40" s="52" t="n"/>
      <c r="M40" s="52" t="n">
        <v>3</v>
      </c>
      <c r="N40" s="52" t="n">
        <v>3</v>
      </c>
      <c r="O40" s="52" t="n">
        <v>4</v>
      </c>
      <c r="P40" s="52" t="n">
        <v>3</v>
      </c>
      <c r="Q40" s="52" t="n"/>
      <c r="R40" s="52" t="n">
        <v>5</v>
      </c>
      <c r="S40" s="52" t="n">
        <v>4</v>
      </c>
      <c r="T40" s="52" t="n">
        <v>5</v>
      </c>
      <c r="U40" s="52" t="n">
        <v>7</v>
      </c>
      <c r="V40" s="52" t="n"/>
      <c r="W40" s="52" t="n">
        <v>5</v>
      </c>
      <c r="X40" s="52" t="n">
        <v>4</v>
      </c>
      <c r="Y40" s="52" t="n">
        <v>4</v>
      </c>
      <c r="Z40" s="52" t="n">
        <v>9</v>
      </c>
      <c r="AA40" s="52" t="n"/>
      <c r="AB40" s="52" t="n">
        <v>5</v>
      </c>
      <c r="AC40" s="52" t="n">
        <v>6</v>
      </c>
      <c r="AD40" s="52" t="n">
        <v>6</v>
      </c>
      <c r="AE40" s="52" t="n">
        <v>5</v>
      </c>
      <c r="AF40" s="52" t="n"/>
      <c r="AG40" s="52" t="n">
        <v>5</v>
      </c>
      <c r="AH40" s="52" t="n">
        <v>6</v>
      </c>
      <c r="AI40" s="52" t="n">
        <v>5</v>
      </c>
      <c r="AJ40" s="52" t="n">
        <v>5</v>
      </c>
      <c r="AK40" s="52" t="n"/>
      <c r="AL40" s="52" t="n">
        <v>5</v>
      </c>
      <c r="AM40" s="52" t="n">
        <v>4</v>
      </c>
      <c r="AN40" s="52" t="n">
        <v>5</v>
      </c>
      <c r="AO40" s="52" t="n">
        <v>7</v>
      </c>
      <c r="AP40" s="52" t="n"/>
      <c r="AQ40" s="52" t="n">
        <v>5</v>
      </c>
      <c r="AR40" s="52" t="n">
        <v>6</v>
      </c>
      <c r="AS40" s="52" t="n">
        <v>4</v>
      </c>
      <c r="AT40" s="52" t="n">
        <v>5</v>
      </c>
      <c r="AU40" s="52" t="n"/>
      <c r="AV40" s="52" t="n">
        <v>6</v>
      </c>
      <c r="AW40" s="52" t="n">
        <v>6</v>
      </c>
      <c r="AX40" s="52" t="n">
        <v>6</v>
      </c>
      <c r="AY40" s="52" t="n">
        <v>6</v>
      </c>
      <c r="AZ40" s="52" t="n"/>
      <c r="BA40" s="52" t="n"/>
      <c r="BB40" s="52" t="n"/>
      <c r="BC40" s="52" t="n"/>
      <c r="BD40" s="52" t="n"/>
      <c r="BE40" s="52" t="n"/>
      <c r="BF40" s="52" t="n"/>
      <c r="BG40" s="52" t="n"/>
      <c r="BH40" s="52" t="n"/>
      <c r="BI40" s="52" t="n"/>
      <c r="BJ40" s="52" t="n"/>
      <c r="BK40" s="52" t="n"/>
      <c r="BL40" s="52" t="n"/>
      <c r="BM40" s="52" t="n"/>
      <c r="BN40" s="52" t="n"/>
      <c r="BO40" s="52" t="n"/>
    </row>
    <row r="41">
      <c r="A41" s="66" t="n"/>
      <c r="B41" s="66" t="n"/>
      <c r="C41" s="67" t="n"/>
      <c r="D41" s="67" t="n"/>
      <c r="E41" s="67" t="n"/>
      <c r="F41" s="68" t="inlineStr">
        <is>
          <t>% Achieved</t>
        </is>
      </c>
      <c r="G41" s="69">
        <f>IFERROR(G40/G39,"")</f>
        <v/>
      </c>
      <c r="H41" s="70">
        <f>IFERROR(H40/H39,"")</f>
        <v/>
      </c>
      <c r="I41" s="70">
        <f>IFERROR(I40/I39,"")</f>
        <v/>
      </c>
      <c r="J41" s="70">
        <f>IFERROR(J40/J39,"")</f>
        <v/>
      </c>
      <c r="K41" s="70">
        <f>IFERROR(K40/K39,"")</f>
        <v/>
      </c>
      <c r="L41" s="70">
        <f>IFERROR(L40/L39,"")</f>
        <v/>
      </c>
      <c r="M41" s="70">
        <f>IFERROR(M40/M39,"")</f>
        <v/>
      </c>
      <c r="N41" s="70">
        <f>IFERROR(N40/N39,"")</f>
        <v/>
      </c>
      <c r="O41" s="70">
        <f>IFERROR(O40/O39,"")</f>
        <v/>
      </c>
      <c r="P41" s="70">
        <f>IFERROR(P40/P39,"")</f>
        <v/>
      </c>
      <c r="Q41" s="70">
        <f>IFERROR(Q40/Q39,"")</f>
        <v/>
      </c>
      <c r="R41" s="70">
        <f>IFERROR(R40/R39,"")</f>
        <v/>
      </c>
      <c r="S41" s="70">
        <f>IFERROR(S40/S39,"")</f>
        <v/>
      </c>
      <c r="T41" s="70">
        <f>IFERROR(T40/T39,"")</f>
        <v/>
      </c>
      <c r="U41" s="70">
        <f>IFERROR(U40/U39,"")</f>
        <v/>
      </c>
      <c r="V41" s="70">
        <f>IFERROR(V40/V39,"")</f>
        <v/>
      </c>
      <c r="W41" s="70">
        <f>IFERROR(W40/W39,"")</f>
        <v/>
      </c>
      <c r="X41" s="70">
        <f>IFERROR(X40/X39,"")</f>
        <v/>
      </c>
      <c r="Y41" s="70">
        <f>IFERROR(Y40/Y39,"")</f>
        <v/>
      </c>
      <c r="Z41" s="70">
        <f>IFERROR(Z40/Z39,"")</f>
        <v/>
      </c>
      <c r="AA41" s="70">
        <f>IFERROR(AA40/AA39,"")</f>
        <v/>
      </c>
      <c r="AB41" s="70">
        <f>IFERROR(AB40/AB39,"")</f>
        <v/>
      </c>
      <c r="AC41" s="70">
        <f>IFERROR(AC40/AC39,"")</f>
        <v/>
      </c>
      <c r="AD41" s="70">
        <f>IFERROR(AD40/AD39,"")</f>
        <v/>
      </c>
      <c r="AE41" s="70">
        <f>IFERROR(AE40/AE39,"")</f>
        <v/>
      </c>
      <c r="AF41" s="70">
        <f>IFERROR(AF40/AF39,"")</f>
        <v/>
      </c>
      <c r="AG41" s="70">
        <f>IFERROR(AG40/AG39,"")</f>
        <v/>
      </c>
      <c r="AH41" s="70">
        <f>IFERROR(AH40/AH39,"")</f>
        <v/>
      </c>
      <c r="AI41" s="70">
        <f>IFERROR(AI40/AI39,"")</f>
        <v/>
      </c>
      <c r="AJ41" s="70">
        <f>IFERROR(AJ40/AJ39,"")</f>
        <v/>
      </c>
      <c r="AK41" s="70">
        <f>IFERROR(AK40/AK39,"")</f>
        <v/>
      </c>
      <c r="AL41" s="70">
        <f>IFERROR(AL40/AL39,"")</f>
        <v/>
      </c>
      <c r="AM41" s="70">
        <f>IFERROR(AM40/AM39,"")</f>
        <v/>
      </c>
      <c r="AN41" s="70">
        <f>IFERROR(AN40/AN39,"")</f>
        <v/>
      </c>
      <c r="AO41" s="70">
        <f>IFERROR(AO40/AO39,"")</f>
        <v/>
      </c>
      <c r="AP41" s="70">
        <f>IFERROR(AP40/AP39,"")</f>
        <v/>
      </c>
      <c r="AQ41" s="70">
        <f>IFERROR(AQ40/AQ39,"")</f>
        <v/>
      </c>
      <c r="AR41" s="70">
        <f>IFERROR(AR40/AR39,"")</f>
        <v/>
      </c>
      <c r="AS41" s="70">
        <f>IFERROR(AS40/AS39,"")</f>
        <v/>
      </c>
      <c r="AT41" s="70">
        <f>IFERROR(AT40/AT39,"")</f>
        <v/>
      </c>
      <c r="AU41" s="70">
        <f>IFERROR(AU40/AU39,"")</f>
        <v/>
      </c>
      <c r="AV41" s="70">
        <f>IFERROR(AV40/AV39,"")</f>
        <v/>
      </c>
      <c r="AW41" s="70">
        <f>IFERROR(AW40/AW39,"")</f>
        <v/>
      </c>
      <c r="AX41" s="70">
        <f>IFERROR(AX40/AX39,"")</f>
        <v/>
      </c>
      <c r="AY41" s="70">
        <f>IFERROR(AY40/AY39,"")</f>
        <v/>
      </c>
      <c r="AZ41" s="70">
        <f>IFERROR(AZ40/AZ39,"")</f>
        <v/>
      </c>
      <c r="BA41" s="70">
        <f>IFERROR(BA40/BA39,"")</f>
        <v/>
      </c>
      <c r="BB41" s="70">
        <f>IFERROR(BB40/BB39,"")</f>
        <v/>
      </c>
      <c r="BC41" s="70">
        <f>IFERROR(BC40/BC39,"")</f>
        <v/>
      </c>
      <c r="BD41" s="70">
        <f>IFERROR(BD40/BD39,"")</f>
        <v/>
      </c>
      <c r="BE41" s="70">
        <f>IFERROR(BE40/BE39,"")</f>
        <v/>
      </c>
      <c r="BF41" s="70">
        <f>IFERROR(BF40/BF39,"")</f>
        <v/>
      </c>
      <c r="BG41" s="70">
        <f>IFERROR(BG40/BG39,"")</f>
        <v/>
      </c>
      <c r="BH41" s="70">
        <f>IFERROR(BH40/BH39,"")</f>
        <v/>
      </c>
      <c r="BI41" s="70">
        <f>IFERROR(BI40/BI39,"")</f>
        <v/>
      </c>
      <c r="BJ41" s="70">
        <f>IFERROR(BJ40/BJ39,"")</f>
        <v/>
      </c>
      <c r="BK41" s="70">
        <f>IFERROR(BK40/BK39,"")</f>
        <v/>
      </c>
      <c r="BL41" s="70">
        <f>IFERROR(BL40/BL39,"")</f>
        <v/>
      </c>
      <c r="BM41" s="70">
        <f>IFERROR(BM40/BM39,"")</f>
        <v/>
      </c>
      <c r="BN41" s="70">
        <f>IFERROR(BN40/BN39,"")</f>
        <v/>
      </c>
      <c r="BO41" s="70">
        <f>IFERROR(BO40/BO39,"")</f>
        <v/>
      </c>
    </row>
    <row r="42">
      <c r="A42" s="66" t="n"/>
      <c r="B42" s="66" t="n"/>
      <c r="C42" s="71" t="inlineStr">
        <is>
          <t>K3</t>
        </is>
      </c>
      <c r="D42" s="37" t="inlineStr">
        <is>
          <t>Spec-in Value</t>
        </is>
      </c>
      <c r="E42" s="72" t="inlineStr">
        <is>
          <t>MVND</t>
        </is>
      </c>
      <c r="F42" s="65" t="inlineStr">
        <is>
          <t>Phasing</t>
        </is>
      </c>
      <c r="G42" s="56">
        <f>SUM(H42:BO42)</f>
        <v/>
      </c>
      <c r="H42" s="52" t="n">
        <v>81</v>
      </c>
      <c r="I42" s="52" t="n">
        <v>81</v>
      </c>
      <c r="J42" s="52" t="n">
        <v>81</v>
      </c>
      <c r="K42" s="52" t="n">
        <v>83</v>
      </c>
      <c r="L42" s="52" t="n"/>
      <c r="M42" s="52" t="n">
        <v>59</v>
      </c>
      <c r="N42" s="52" t="n">
        <v>59</v>
      </c>
      <c r="O42" s="52" t="n">
        <v>59</v>
      </c>
      <c r="P42" s="52" t="n">
        <v>61</v>
      </c>
      <c r="Q42" s="52" t="n"/>
      <c r="R42" s="52" t="n">
        <v>91</v>
      </c>
      <c r="S42" s="52" t="n">
        <v>91</v>
      </c>
      <c r="T42" s="52" t="n">
        <v>91</v>
      </c>
      <c r="U42" s="52" t="n">
        <v>91</v>
      </c>
      <c r="V42" s="52" t="n"/>
      <c r="W42" s="52" t="n">
        <v>95</v>
      </c>
      <c r="X42" s="52" t="n">
        <v>95</v>
      </c>
      <c r="Y42" s="52" t="n">
        <v>95</v>
      </c>
      <c r="Z42" s="52" t="n">
        <v>98</v>
      </c>
      <c r="AA42" s="52" t="n"/>
      <c r="AB42" s="52" t="n">
        <v>97</v>
      </c>
      <c r="AC42" s="52" t="n">
        <v>97</v>
      </c>
      <c r="AD42" s="52" t="n">
        <v>97</v>
      </c>
      <c r="AE42" s="52" t="n">
        <v>100</v>
      </c>
      <c r="AF42" s="52" t="n"/>
      <c r="AG42" s="52" t="n">
        <v>100</v>
      </c>
      <c r="AH42" s="52" t="n">
        <v>100</v>
      </c>
      <c r="AI42" s="52" t="n">
        <v>100</v>
      </c>
      <c r="AJ42" s="52" t="n">
        <v>102</v>
      </c>
      <c r="AK42" s="52" t="n"/>
      <c r="AL42" s="52" t="n">
        <v>95</v>
      </c>
      <c r="AM42" s="52" t="n">
        <v>95</v>
      </c>
      <c r="AN42" s="52" t="n">
        <v>95</v>
      </c>
      <c r="AO42" s="52" t="n">
        <v>98</v>
      </c>
      <c r="AP42" s="52" t="n"/>
      <c r="AQ42" s="52" t="n">
        <v>98</v>
      </c>
      <c r="AR42" s="52" t="n">
        <v>98</v>
      </c>
      <c r="AS42" s="52" t="n">
        <v>98</v>
      </c>
      <c r="AT42" s="52" t="n">
        <v>101</v>
      </c>
      <c r="AU42" s="52" t="n"/>
      <c r="AV42" s="52" t="n">
        <v>103</v>
      </c>
      <c r="AW42" s="52" t="n">
        <v>103</v>
      </c>
      <c r="AX42" s="52" t="n">
        <v>103</v>
      </c>
      <c r="AY42" s="52" t="n">
        <v>105</v>
      </c>
      <c r="AZ42" s="52" t="n"/>
      <c r="BA42" s="52" t="n">
        <v>107</v>
      </c>
      <c r="BB42" s="52" t="n">
        <v>107</v>
      </c>
      <c r="BC42" s="52" t="n">
        <v>107</v>
      </c>
      <c r="BD42" s="52" t="n">
        <v>108</v>
      </c>
      <c r="BE42" s="52" t="n"/>
      <c r="BF42" s="52" t="n">
        <v>110</v>
      </c>
      <c r="BG42" s="52" t="n">
        <v>110</v>
      </c>
      <c r="BH42" s="52" t="n">
        <v>110</v>
      </c>
      <c r="BI42" s="52" t="n">
        <v>111</v>
      </c>
      <c r="BJ42" s="52" t="n"/>
      <c r="BK42" s="52" t="n">
        <v>108</v>
      </c>
      <c r="BL42" s="52" t="n">
        <v>108</v>
      </c>
      <c r="BM42" s="52" t="n">
        <v>108</v>
      </c>
      <c r="BN42" s="52" t="n">
        <v>110</v>
      </c>
      <c r="BO42" s="52" t="n"/>
    </row>
    <row r="43">
      <c r="A43" s="66" t="n"/>
      <c r="B43" s="66" t="n"/>
      <c r="C43" s="66" t="n"/>
      <c r="D43" s="66" t="n"/>
      <c r="E43" s="66" t="n"/>
      <c r="F43" s="65" t="inlineStr">
        <is>
          <t>Actual</t>
        </is>
      </c>
      <c r="G43" s="56">
        <f>SUM(H43:BO43)</f>
        <v/>
      </c>
      <c r="H43" s="52" t="n">
        <v>88</v>
      </c>
      <c r="I43" s="52" t="n">
        <v>96</v>
      </c>
      <c r="J43" s="52" t="n">
        <v>88</v>
      </c>
      <c r="K43" s="52" t="n">
        <v>96</v>
      </c>
      <c r="L43" s="52" t="n"/>
      <c r="M43" s="52" t="n">
        <v>57</v>
      </c>
      <c r="N43" s="52" t="n">
        <v>54</v>
      </c>
      <c r="O43" s="52" t="n">
        <v>55</v>
      </c>
      <c r="P43" s="52" t="n">
        <v>55</v>
      </c>
      <c r="Q43" s="52" t="n"/>
      <c r="R43" s="52" t="n">
        <v>100</v>
      </c>
      <c r="S43" s="52" t="n">
        <v>99</v>
      </c>
      <c r="T43" s="52" t="n">
        <v>101</v>
      </c>
      <c r="U43" s="52" t="n">
        <v>86</v>
      </c>
      <c r="V43" s="52" t="n"/>
      <c r="W43" s="52" t="n">
        <v>91</v>
      </c>
      <c r="X43" s="52" t="n">
        <v>92</v>
      </c>
      <c r="Y43" s="52" t="n">
        <v>115</v>
      </c>
      <c r="Z43" s="52" t="n">
        <v>125</v>
      </c>
      <c r="AA43" s="52" t="n"/>
      <c r="AB43" s="52" t="n">
        <v>121</v>
      </c>
      <c r="AC43" s="52" t="n">
        <v>89</v>
      </c>
      <c r="AD43" s="52" t="n">
        <v>88</v>
      </c>
      <c r="AE43" s="52" t="n">
        <v>126</v>
      </c>
      <c r="AF43" s="52" t="n"/>
      <c r="AG43" s="52" t="n">
        <v>107</v>
      </c>
      <c r="AH43" s="52" t="n">
        <v>118</v>
      </c>
      <c r="AI43" s="52" t="n">
        <v>101</v>
      </c>
      <c r="AJ43" s="52" t="n">
        <v>109</v>
      </c>
      <c r="AK43" s="52" t="n"/>
      <c r="AL43" s="52" t="n">
        <v>103</v>
      </c>
      <c r="AM43" s="52" t="n">
        <v>100</v>
      </c>
      <c r="AN43" s="52" t="n">
        <v>106</v>
      </c>
      <c r="AO43" s="52" t="n">
        <v>87</v>
      </c>
      <c r="AP43" s="52" t="n"/>
      <c r="AQ43" s="52" t="n">
        <v>113</v>
      </c>
      <c r="AR43" s="52" t="n">
        <v>119</v>
      </c>
      <c r="AS43" s="52" t="n">
        <v>94</v>
      </c>
      <c r="AT43" s="52" t="n">
        <v>107</v>
      </c>
      <c r="AU43" s="52" t="n"/>
      <c r="AV43" s="52" t="n">
        <v>121</v>
      </c>
      <c r="AW43" s="52" t="n">
        <v>107</v>
      </c>
      <c r="AX43" s="52" t="n">
        <v>99</v>
      </c>
      <c r="AY43" s="52" t="n">
        <v>100</v>
      </c>
      <c r="AZ43" s="52" t="n"/>
      <c r="BA43" s="52" t="n"/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2" t="n"/>
      <c r="BO43" s="52" t="n"/>
    </row>
    <row r="44">
      <c r="A44" s="66" t="n"/>
      <c r="B44" s="66" t="n"/>
      <c r="C44" s="67" t="n"/>
      <c r="D44" s="67" t="n"/>
      <c r="E44" s="67" t="n"/>
      <c r="F44" s="68" t="inlineStr">
        <is>
          <t>% Achieved</t>
        </is>
      </c>
      <c r="G44" s="69">
        <f>IFERROR(G43/G42,"")</f>
        <v/>
      </c>
      <c r="H44" s="70">
        <f>IFERROR(H43/H42,"")</f>
        <v/>
      </c>
      <c r="I44" s="70">
        <f>IFERROR(I43/I42,"")</f>
        <v/>
      </c>
      <c r="J44" s="70">
        <f>IFERROR(J43/J42,"")</f>
        <v/>
      </c>
      <c r="K44" s="70">
        <f>IFERROR(K43/K42,"")</f>
        <v/>
      </c>
      <c r="L44" s="70">
        <f>IFERROR(L43/L42,"")</f>
        <v/>
      </c>
      <c r="M44" s="70">
        <f>IFERROR(M43/M42,"")</f>
        <v/>
      </c>
      <c r="N44" s="70">
        <f>IFERROR(N43/N42,"")</f>
        <v/>
      </c>
      <c r="O44" s="70">
        <f>IFERROR(O43/O42,"")</f>
        <v/>
      </c>
      <c r="P44" s="70">
        <f>IFERROR(P43/P42,"")</f>
        <v/>
      </c>
      <c r="Q44" s="70">
        <f>IFERROR(Q43/Q42,"")</f>
        <v/>
      </c>
      <c r="R44" s="70">
        <f>IFERROR(R43/R42,"")</f>
        <v/>
      </c>
      <c r="S44" s="70">
        <f>IFERROR(S43/S42,"")</f>
        <v/>
      </c>
      <c r="T44" s="70">
        <f>IFERROR(T43/T42,"")</f>
        <v/>
      </c>
      <c r="U44" s="70">
        <f>IFERROR(U43/U42,"")</f>
        <v/>
      </c>
      <c r="V44" s="70">
        <f>IFERROR(V43/V42,"")</f>
        <v/>
      </c>
      <c r="W44" s="70">
        <f>IFERROR(W43/W42,"")</f>
        <v/>
      </c>
      <c r="X44" s="70">
        <f>IFERROR(X43/X42,"")</f>
        <v/>
      </c>
      <c r="Y44" s="70">
        <f>IFERROR(Y43/Y42,"")</f>
        <v/>
      </c>
      <c r="Z44" s="70">
        <f>IFERROR(Z43/Z42,"")</f>
        <v/>
      </c>
      <c r="AA44" s="70">
        <f>IFERROR(AA43/AA42,"")</f>
        <v/>
      </c>
      <c r="AB44" s="70">
        <f>IFERROR(AB43/AB42,"")</f>
        <v/>
      </c>
      <c r="AC44" s="70">
        <f>IFERROR(AC43/AC42,"")</f>
        <v/>
      </c>
      <c r="AD44" s="70">
        <f>IFERROR(AD43/AD42,"")</f>
        <v/>
      </c>
      <c r="AE44" s="70">
        <f>IFERROR(AE43/AE42,"")</f>
        <v/>
      </c>
      <c r="AF44" s="70">
        <f>IFERROR(AF43/AF42,"")</f>
        <v/>
      </c>
      <c r="AG44" s="70">
        <f>IFERROR(AG43/AG42,"")</f>
        <v/>
      </c>
      <c r="AH44" s="70">
        <f>IFERROR(AH43/AH42,"")</f>
        <v/>
      </c>
      <c r="AI44" s="70">
        <f>IFERROR(AI43/AI42,"")</f>
        <v/>
      </c>
      <c r="AJ44" s="70">
        <f>IFERROR(AJ43/AJ42,"")</f>
        <v/>
      </c>
      <c r="AK44" s="70">
        <f>IFERROR(AK43/AK42,"")</f>
        <v/>
      </c>
      <c r="AL44" s="70">
        <f>IFERROR(AL43/AL42,"")</f>
        <v/>
      </c>
      <c r="AM44" s="70">
        <f>IFERROR(AM43/AM42,"")</f>
        <v/>
      </c>
      <c r="AN44" s="70">
        <f>IFERROR(AN43/AN42,"")</f>
        <v/>
      </c>
      <c r="AO44" s="70">
        <f>IFERROR(AO43/AO42,"")</f>
        <v/>
      </c>
      <c r="AP44" s="70">
        <f>IFERROR(AP43/AP42,"")</f>
        <v/>
      </c>
      <c r="AQ44" s="70">
        <f>IFERROR(AQ43/AQ42,"")</f>
        <v/>
      </c>
      <c r="AR44" s="70">
        <f>IFERROR(AR43/AR42,"")</f>
        <v/>
      </c>
      <c r="AS44" s="70">
        <f>IFERROR(AS43/AS42,"")</f>
        <v/>
      </c>
      <c r="AT44" s="70">
        <f>IFERROR(AT43/AT42,"")</f>
        <v/>
      </c>
      <c r="AU44" s="70">
        <f>IFERROR(AU43/AU42,"")</f>
        <v/>
      </c>
      <c r="AV44" s="70">
        <f>IFERROR(AV43/AV42,"")</f>
        <v/>
      </c>
      <c r="AW44" s="70">
        <f>IFERROR(AW43/AW42,"")</f>
        <v/>
      </c>
      <c r="AX44" s="70">
        <f>IFERROR(AX43/AX42,"")</f>
        <v/>
      </c>
      <c r="AY44" s="70">
        <f>IFERROR(AY43/AY42,"")</f>
        <v/>
      </c>
      <c r="AZ44" s="70">
        <f>IFERROR(AZ43/AZ42,"")</f>
        <v/>
      </c>
      <c r="BA44" s="70">
        <f>IFERROR(BA43/BA42,"")</f>
        <v/>
      </c>
      <c r="BB44" s="70">
        <f>IFERROR(BB43/BB42,"")</f>
        <v/>
      </c>
      <c r="BC44" s="70">
        <f>IFERROR(BC43/BC42,"")</f>
        <v/>
      </c>
      <c r="BD44" s="70">
        <f>IFERROR(BD43/BD42,"")</f>
        <v/>
      </c>
      <c r="BE44" s="70">
        <f>IFERROR(BE43/BE42,"")</f>
        <v/>
      </c>
      <c r="BF44" s="70">
        <f>IFERROR(BF43/BF42,"")</f>
        <v/>
      </c>
      <c r="BG44" s="70">
        <f>IFERROR(BG43/BG42,"")</f>
        <v/>
      </c>
      <c r="BH44" s="70">
        <f>IFERROR(BH43/BH42,"")</f>
        <v/>
      </c>
      <c r="BI44" s="70">
        <f>IFERROR(BI43/BI42,"")</f>
        <v/>
      </c>
      <c r="BJ44" s="70">
        <f>IFERROR(BJ43/BJ42,"")</f>
        <v/>
      </c>
      <c r="BK44" s="70">
        <f>IFERROR(BK43/BK42,"")</f>
        <v/>
      </c>
      <c r="BL44" s="70">
        <f>IFERROR(BL43/BL42,"")</f>
        <v/>
      </c>
      <c r="BM44" s="70">
        <f>IFERROR(BM43/BM42,"")</f>
        <v/>
      </c>
      <c r="BN44" s="70">
        <f>IFERROR(BN43/BN42,"")</f>
        <v/>
      </c>
      <c r="BO44" s="70">
        <f>IFERROR(BO43/BO42,"")</f>
        <v/>
      </c>
    </row>
    <row r="45">
      <c r="A45" s="66" t="n"/>
      <c r="B45" s="66" t="n"/>
      <c r="C45" s="71" t="inlineStr">
        <is>
          <t>K4</t>
        </is>
      </c>
      <c r="D45" s="37" t="inlineStr">
        <is>
          <t>Engaged Architect (Submit Design)</t>
        </is>
      </c>
      <c r="E45" s="72" t="inlineStr">
        <is>
          <t>D&amp;B</t>
        </is>
      </c>
      <c r="F45" s="65" t="inlineStr">
        <is>
          <t>Phasing</t>
        </is>
      </c>
      <c r="G45" s="56">
        <f>SUM(H45:BO45)</f>
        <v/>
      </c>
      <c r="H45" s="52" t="n">
        <v>1</v>
      </c>
      <c r="I45" s="52" t="n">
        <v>1</v>
      </c>
      <c r="J45" s="52" t="n">
        <v>1</v>
      </c>
      <c r="K45" s="52" t="n">
        <v>3</v>
      </c>
      <c r="L45" s="52" t="n"/>
      <c r="M45" s="52" t="n">
        <v>1</v>
      </c>
      <c r="N45" s="52" t="n">
        <v>1</v>
      </c>
      <c r="O45" s="52" t="n">
        <v>1</v>
      </c>
      <c r="P45" s="52" t="n">
        <v>2</v>
      </c>
      <c r="Q45" s="52" t="n"/>
      <c r="R45" s="52" t="n">
        <v>1</v>
      </c>
      <c r="S45" s="52" t="n">
        <v>1</v>
      </c>
      <c r="T45" s="52" t="n">
        <v>1</v>
      </c>
      <c r="U45" s="52" t="n">
        <v>4</v>
      </c>
      <c r="V45" s="52" t="n"/>
      <c r="W45" s="52" t="n">
        <v>1</v>
      </c>
      <c r="X45" s="52" t="n">
        <v>1</v>
      </c>
      <c r="Y45" s="52" t="n">
        <v>1</v>
      </c>
      <c r="Z45" s="52" t="n">
        <v>4</v>
      </c>
      <c r="AA45" s="52" t="n"/>
      <c r="AB45" s="52" t="n">
        <v>1</v>
      </c>
      <c r="AC45" s="52" t="n">
        <v>1</v>
      </c>
      <c r="AD45" s="52" t="n">
        <v>1</v>
      </c>
      <c r="AE45" s="52" t="n">
        <v>4</v>
      </c>
      <c r="AF45" s="52" t="n"/>
      <c r="AG45" s="52" t="n">
        <v>2</v>
      </c>
      <c r="AH45" s="52" t="n">
        <v>2</v>
      </c>
      <c r="AI45" s="52" t="n">
        <v>2</v>
      </c>
      <c r="AJ45" s="52" t="n">
        <v>2</v>
      </c>
      <c r="AK45" s="52" t="n"/>
      <c r="AL45" s="52" t="n">
        <v>1</v>
      </c>
      <c r="AM45" s="52" t="n">
        <v>1</v>
      </c>
      <c r="AN45" s="52" t="n">
        <v>1</v>
      </c>
      <c r="AO45" s="52" t="n">
        <v>4</v>
      </c>
      <c r="AP45" s="52" t="n"/>
      <c r="AQ45" s="52" t="n">
        <v>2</v>
      </c>
      <c r="AR45" s="52" t="n">
        <v>2</v>
      </c>
      <c r="AS45" s="52" t="n">
        <v>2</v>
      </c>
      <c r="AT45" s="52" t="n">
        <v>2</v>
      </c>
      <c r="AU45" s="52" t="n"/>
      <c r="AV45" s="52" t="n">
        <v>2</v>
      </c>
      <c r="AW45" s="52" t="n">
        <v>2</v>
      </c>
      <c r="AX45" s="52" t="n">
        <v>2</v>
      </c>
      <c r="AY45" s="52" t="n">
        <v>2</v>
      </c>
      <c r="AZ45" s="52" t="n"/>
      <c r="BA45" s="52" t="n">
        <v>2</v>
      </c>
      <c r="BB45" s="52" t="n">
        <v>2</v>
      </c>
      <c r="BC45" s="52" t="n">
        <v>2</v>
      </c>
      <c r="BD45" s="52" t="n">
        <v>2</v>
      </c>
      <c r="BE45" s="52" t="n"/>
      <c r="BF45" s="52" t="n">
        <v>2</v>
      </c>
      <c r="BG45" s="52" t="n">
        <v>2</v>
      </c>
      <c r="BH45" s="52" t="n">
        <v>2</v>
      </c>
      <c r="BI45" s="52" t="n">
        <v>2</v>
      </c>
      <c r="BJ45" s="52" t="n"/>
      <c r="BK45" s="52" t="n">
        <v>2</v>
      </c>
      <c r="BL45" s="52" t="n">
        <v>2</v>
      </c>
      <c r="BM45" s="52" t="n">
        <v>2</v>
      </c>
      <c r="BN45" s="52" t="n">
        <v>3</v>
      </c>
      <c r="BO45" s="52" t="n"/>
    </row>
    <row r="46">
      <c r="A46" s="66" t="n"/>
      <c r="B46" s="66" t="n"/>
      <c r="C46" s="66" t="n"/>
      <c r="D46" s="66" t="n"/>
      <c r="E46" s="66" t="n"/>
      <c r="F46" s="65" t="inlineStr">
        <is>
          <t>Actual</t>
        </is>
      </c>
      <c r="G46" s="56">
        <f>SUM(H46:BO46)</f>
        <v/>
      </c>
      <c r="H46" s="52" t="n">
        <v>1</v>
      </c>
      <c r="I46" s="52" t="n">
        <v>1</v>
      </c>
      <c r="J46" s="52" t="n">
        <v>1</v>
      </c>
      <c r="K46" s="52" t="n">
        <v>4</v>
      </c>
      <c r="L46" s="52" t="n"/>
      <c r="M46" s="52" t="n">
        <v>1</v>
      </c>
      <c r="N46" s="52" t="n">
        <v>1</v>
      </c>
      <c r="O46" s="52" t="n">
        <v>1</v>
      </c>
      <c r="P46" s="52" t="n">
        <v>2</v>
      </c>
      <c r="Q46" s="52" t="n"/>
      <c r="R46" s="52" t="n">
        <v>1</v>
      </c>
      <c r="S46" s="52" t="n">
        <v>1</v>
      </c>
      <c r="T46" s="52" t="n">
        <v>1</v>
      </c>
      <c r="U46" s="52" t="n">
        <v>5</v>
      </c>
      <c r="V46" s="52" t="n"/>
      <c r="W46" s="52" t="n">
        <v>1</v>
      </c>
      <c r="X46" s="52" t="n">
        <v>1</v>
      </c>
      <c r="Y46" s="52" t="n">
        <v>1</v>
      </c>
      <c r="Z46" s="52" t="n">
        <v>5</v>
      </c>
      <c r="AA46" s="52" t="n"/>
      <c r="AB46" s="52" t="n">
        <v>1</v>
      </c>
      <c r="AC46" s="52" t="n">
        <v>1</v>
      </c>
      <c r="AD46" s="52" t="n">
        <v>1</v>
      </c>
      <c r="AE46" s="52" t="n">
        <v>5</v>
      </c>
      <c r="AF46" s="52" t="n"/>
      <c r="AG46" s="52" t="n">
        <v>2</v>
      </c>
      <c r="AH46" s="52" t="n">
        <v>2</v>
      </c>
      <c r="AI46" s="52" t="n">
        <v>2</v>
      </c>
      <c r="AJ46" s="52" t="n">
        <v>2</v>
      </c>
      <c r="AK46" s="52" t="n"/>
      <c r="AL46" s="52" t="n">
        <v>1</v>
      </c>
      <c r="AM46" s="52" t="n">
        <v>1</v>
      </c>
      <c r="AN46" s="52" t="n">
        <v>1</v>
      </c>
      <c r="AO46" s="52" t="n">
        <v>4</v>
      </c>
      <c r="AP46" s="52" t="n"/>
      <c r="AQ46" s="52" t="n">
        <v>2</v>
      </c>
      <c r="AR46" s="52" t="n">
        <v>2</v>
      </c>
      <c r="AS46" s="52" t="n">
        <v>2</v>
      </c>
      <c r="AT46" s="52" t="n">
        <v>2</v>
      </c>
      <c r="AU46" s="52" t="n"/>
      <c r="AV46" s="52" t="n">
        <v>2</v>
      </c>
      <c r="AW46" s="52" t="n">
        <v>3</v>
      </c>
      <c r="AX46" s="52" t="n">
        <v>2</v>
      </c>
      <c r="AY46" s="52" t="n">
        <v>2</v>
      </c>
      <c r="AZ46" s="52" t="n"/>
      <c r="BA46" s="52" t="n"/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2" t="n"/>
      <c r="BO46" s="52" t="n"/>
    </row>
    <row r="47">
      <c r="A47" s="66" t="n"/>
      <c r="B47" s="66" t="n"/>
      <c r="C47" s="67" t="n"/>
      <c r="D47" s="67" t="n"/>
      <c r="E47" s="67" t="n"/>
      <c r="F47" s="68" t="inlineStr">
        <is>
          <t>% Achieved</t>
        </is>
      </c>
      <c r="G47" s="69">
        <f>IFERROR(G46/G45,"")</f>
        <v/>
      </c>
      <c r="H47" s="70">
        <f>IFERROR(H46/H45,"")</f>
        <v/>
      </c>
      <c r="I47" s="70">
        <f>IFERROR(I46/I45,"")</f>
        <v/>
      </c>
      <c r="J47" s="70">
        <f>IFERROR(J46/J45,"")</f>
        <v/>
      </c>
      <c r="K47" s="70">
        <f>IFERROR(K46/K45,"")</f>
        <v/>
      </c>
      <c r="L47" s="70">
        <f>IFERROR(L46/L45,"")</f>
        <v/>
      </c>
      <c r="M47" s="70">
        <f>IFERROR(M46/M45,"")</f>
        <v/>
      </c>
      <c r="N47" s="70">
        <f>IFERROR(N46/N45,"")</f>
        <v/>
      </c>
      <c r="O47" s="70">
        <f>IFERROR(O46/O45,"")</f>
        <v/>
      </c>
      <c r="P47" s="70">
        <f>IFERROR(P46/P45,"")</f>
        <v/>
      </c>
      <c r="Q47" s="70">
        <f>IFERROR(Q46/Q45,"")</f>
        <v/>
      </c>
      <c r="R47" s="70">
        <f>IFERROR(R46/R45,"")</f>
        <v/>
      </c>
      <c r="S47" s="70">
        <f>IFERROR(S46/S45,"")</f>
        <v/>
      </c>
      <c r="T47" s="70">
        <f>IFERROR(T46/T45,"")</f>
        <v/>
      </c>
      <c r="U47" s="70">
        <f>IFERROR(U46/U45,"")</f>
        <v/>
      </c>
      <c r="V47" s="70">
        <f>IFERROR(V46/V45,"")</f>
        <v/>
      </c>
      <c r="W47" s="70">
        <f>IFERROR(W46/W45,"")</f>
        <v/>
      </c>
      <c r="X47" s="70">
        <f>IFERROR(X46/X45,"")</f>
        <v/>
      </c>
      <c r="Y47" s="70">
        <f>IFERROR(Y46/Y45,"")</f>
        <v/>
      </c>
      <c r="Z47" s="70">
        <f>IFERROR(Z46/Z45,"")</f>
        <v/>
      </c>
      <c r="AA47" s="70">
        <f>IFERROR(AA46/AA45,"")</f>
        <v/>
      </c>
      <c r="AB47" s="70">
        <f>IFERROR(AB46/AB45,"")</f>
        <v/>
      </c>
      <c r="AC47" s="70">
        <f>IFERROR(AC46/AC45,"")</f>
        <v/>
      </c>
      <c r="AD47" s="70">
        <f>IFERROR(AD46/AD45,"")</f>
        <v/>
      </c>
      <c r="AE47" s="70">
        <f>IFERROR(AE46/AE45,"")</f>
        <v/>
      </c>
      <c r="AF47" s="70">
        <f>IFERROR(AF46/AF45,"")</f>
        <v/>
      </c>
      <c r="AG47" s="70">
        <f>IFERROR(AG46/AG45,"")</f>
        <v/>
      </c>
      <c r="AH47" s="70">
        <f>IFERROR(AH46/AH45,"")</f>
        <v/>
      </c>
      <c r="AI47" s="70">
        <f>IFERROR(AI46/AI45,"")</f>
        <v/>
      </c>
      <c r="AJ47" s="70">
        <f>IFERROR(AJ46/AJ45,"")</f>
        <v/>
      </c>
      <c r="AK47" s="70">
        <f>IFERROR(AK46/AK45,"")</f>
        <v/>
      </c>
      <c r="AL47" s="70">
        <f>IFERROR(AL46/AL45,"")</f>
        <v/>
      </c>
      <c r="AM47" s="70">
        <f>IFERROR(AM46/AM45,"")</f>
        <v/>
      </c>
      <c r="AN47" s="70">
        <f>IFERROR(AN46/AN45,"")</f>
        <v/>
      </c>
      <c r="AO47" s="70">
        <f>IFERROR(AO46/AO45,"")</f>
        <v/>
      </c>
      <c r="AP47" s="70">
        <f>IFERROR(AP46/AP45,"")</f>
        <v/>
      </c>
      <c r="AQ47" s="70">
        <f>IFERROR(AQ46/AQ45,"")</f>
        <v/>
      </c>
      <c r="AR47" s="70">
        <f>IFERROR(AR46/AR45,"")</f>
        <v/>
      </c>
      <c r="AS47" s="70">
        <f>IFERROR(AS46/AS45,"")</f>
        <v/>
      </c>
      <c r="AT47" s="70">
        <f>IFERROR(AT46/AT45,"")</f>
        <v/>
      </c>
      <c r="AU47" s="70">
        <f>IFERROR(AU46/AU45,"")</f>
        <v/>
      </c>
      <c r="AV47" s="70">
        <f>IFERROR(AV46/AV45,"")</f>
        <v/>
      </c>
      <c r="AW47" s="70">
        <f>IFERROR(AW46/AW45,"")</f>
        <v/>
      </c>
      <c r="AX47" s="70">
        <f>IFERROR(AX46/AX45,"")</f>
        <v/>
      </c>
      <c r="AY47" s="70">
        <f>IFERROR(AY46/AY45,"")</f>
        <v/>
      </c>
      <c r="AZ47" s="70">
        <f>IFERROR(AZ46/AZ45,"")</f>
        <v/>
      </c>
      <c r="BA47" s="70">
        <f>IFERROR(BA46/BA45,"")</f>
        <v/>
      </c>
      <c r="BB47" s="70">
        <f>IFERROR(BB46/BB45,"")</f>
        <v/>
      </c>
      <c r="BC47" s="70">
        <f>IFERROR(BC46/BC45,"")</f>
        <v/>
      </c>
      <c r="BD47" s="70">
        <f>IFERROR(BD46/BD45,"")</f>
        <v/>
      </c>
      <c r="BE47" s="70">
        <f>IFERROR(BE46/BE45,"")</f>
        <v/>
      </c>
      <c r="BF47" s="70">
        <f>IFERROR(BF46/BF45,"")</f>
        <v/>
      </c>
      <c r="BG47" s="70">
        <f>IFERROR(BG46/BG45,"")</f>
        <v/>
      </c>
      <c r="BH47" s="70">
        <f>IFERROR(BH46/BH45,"")</f>
        <v/>
      </c>
      <c r="BI47" s="70">
        <f>IFERROR(BI46/BI45,"")</f>
        <v/>
      </c>
      <c r="BJ47" s="70">
        <f>IFERROR(BJ46/BJ45,"")</f>
        <v/>
      </c>
      <c r="BK47" s="70">
        <f>IFERROR(BK46/BK45,"")</f>
        <v/>
      </c>
      <c r="BL47" s="70">
        <f>IFERROR(BL46/BL45,"")</f>
        <v/>
      </c>
      <c r="BM47" s="70">
        <f>IFERROR(BM46/BM45,"")</f>
        <v/>
      </c>
      <c r="BN47" s="70">
        <f>IFERROR(BN46/BN45,"")</f>
        <v/>
      </c>
      <c r="BO47" s="70">
        <f>IFERROR(BO46/BO45,"")</f>
        <v/>
      </c>
    </row>
    <row r="48">
      <c r="A48" s="66" t="n"/>
      <c r="B48" s="66" t="n"/>
      <c r="C48" s="73" t="inlineStr">
        <is>
          <t>K5</t>
        </is>
      </c>
      <c r="D48" s="41" t="inlineStr">
        <is>
          <t>Spec-in Design (submitted design)</t>
        </is>
      </c>
      <c r="E48" s="74" t="inlineStr">
        <is>
          <t>Designs</t>
        </is>
      </c>
      <c r="F48" s="65" t="inlineStr">
        <is>
          <t>Phasing</t>
        </is>
      </c>
      <c r="G48" s="56">
        <f>SUM(H48:BO48)</f>
        <v/>
      </c>
      <c r="H48" s="52" t="n">
        <v>1</v>
      </c>
      <c r="I48" s="52" t="n">
        <v>1</v>
      </c>
      <c r="J48" s="52" t="n">
        <v>1</v>
      </c>
      <c r="K48" s="52" t="n">
        <v>4</v>
      </c>
      <c r="L48" s="52" t="n"/>
      <c r="M48" s="52" t="n">
        <v>1</v>
      </c>
      <c r="N48" s="52" t="n">
        <v>1</v>
      </c>
      <c r="O48" s="52" t="n">
        <v>1</v>
      </c>
      <c r="P48" s="52" t="n">
        <v>2</v>
      </c>
      <c r="Q48" s="52" t="n"/>
      <c r="R48" s="52" t="n">
        <v>1</v>
      </c>
      <c r="S48" s="52" t="n">
        <v>1</v>
      </c>
      <c r="T48" s="52" t="n">
        <v>1</v>
      </c>
      <c r="U48" s="52" t="n">
        <v>4</v>
      </c>
      <c r="V48" s="52" t="n"/>
      <c r="W48" s="52" t="n">
        <v>2</v>
      </c>
      <c r="X48" s="52" t="n">
        <v>2</v>
      </c>
      <c r="Y48" s="52" t="n">
        <v>2</v>
      </c>
      <c r="Z48" s="52" t="n">
        <v>2</v>
      </c>
      <c r="AA48" s="52" t="n"/>
      <c r="AB48" s="52" t="n">
        <v>2</v>
      </c>
      <c r="AC48" s="52" t="n">
        <v>2</v>
      </c>
      <c r="AD48" s="52" t="n">
        <v>2</v>
      </c>
      <c r="AE48" s="52" t="n">
        <v>2</v>
      </c>
      <c r="AF48" s="52" t="n"/>
      <c r="AG48" s="52" t="n">
        <v>2</v>
      </c>
      <c r="AH48" s="52" t="n">
        <v>2</v>
      </c>
      <c r="AI48" s="52" t="n">
        <v>2</v>
      </c>
      <c r="AJ48" s="52" t="n">
        <v>2</v>
      </c>
      <c r="AK48" s="52" t="n"/>
      <c r="AL48" s="52" t="n">
        <v>2</v>
      </c>
      <c r="AM48" s="52" t="n">
        <v>2</v>
      </c>
      <c r="AN48" s="52" t="n">
        <v>2</v>
      </c>
      <c r="AO48" s="52" t="n">
        <v>2</v>
      </c>
      <c r="AP48" s="52" t="n"/>
      <c r="AQ48" s="52" t="n">
        <v>2</v>
      </c>
      <c r="AR48" s="52" t="n">
        <v>2</v>
      </c>
      <c r="AS48" s="52" t="n">
        <v>2</v>
      </c>
      <c r="AT48" s="52" t="n">
        <v>2</v>
      </c>
      <c r="AU48" s="52" t="n"/>
      <c r="AV48" s="52" t="n">
        <v>2</v>
      </c>
      <c r="AW48" s="52" t="n">
        <v>2</v>
      </c>
      <c r="AX48" s="52" t="n">
        <v>2</v>
      </c>
      <c r="AY48" s="52" t="n">
        <v>2</v>
      </c>
      <c r="AZ48" s="52" t="n"/>
      <c r="BA48" s="52" t="n">
        <v>2</v>
      </c>
      <c r="BB48" s="52" t="n">
        <v>2</v>
      </c>
      <c r="BC48" s="52" t="n">
        <v>2</v>
      </c>
      <c r="BD48" s="52" t="n">
        <v>3</v>
      </c>
      <c r="BE48" s="52" t="n"/>
      <c r="BF48" s="52" t="n">
        <v>2</v>
      </c>
      <c r="BG48" s="52" t="n">
        <v>2</v>
      </c>
      <c r="BH48" s="52" t="n">
        <v>2</v>
      </c>
      <c r="BI48" s="52" t="n">
        <v>3</v>
      </c>
      <c r="BJ48" s="52" t="n"/>
      <c r="BK48" s="52" t="n">
        <v>1</v>
      </c>
      <c r="BL48" s="52" t="n">
        <v>1</v>
      </c>
      <c r="BM48" s="52" t="n">
        <v>1</v>
      </c>
      <c r="BN48" s="52" t="n">
        <v>4</v>
      </c>
      <c r="BO48" s="52" t="n"/>
    </row>
    <row r="49">
      <c r="A49" s="66" t="n"/>
      <c r="B49" s="66" t="n"/>
      <c r="C49" s="66" t="n"/>
      <c r="D49" s="66" t="n"/>
      <c r="E49" s="66" t="n"/>
      <c r="F49" s="65" t="inlineStr">
        <is>
          <t>Actual</t>
        </is>
      </c>
      <c r="G49" s="56">
        <f>SUM(H49:BO49)</f>
        <v/>
      </c>
      <c r="H49" s="52" t="n">
        <v>1</v>
      </c>
      <c r="I49" s="52" t="n">
        <v>1</v>
      </c>
      <c r="J49" s="52" t="n">
        <v>1</v>
      </c>
      <c r="K49" s="52" t="n">
        <v>4</v>
      </c>
      <c r="L49" s="52" t="n"/>
      <c r="M49" s="52" t="n">
        <v>1</v>
      </c>
      <c r="N49" s="52" t="n">
        <v>1</v>
      </c>
      <c r="O49" s="52" t="n">
        <v>1</v>
      </c>
      <c r="P49" s="52" t="n">
        <v>2</v>
      </c>
      <c r="Q49" s="52" t="n"/>
      <c r="R49" s="52" t="n">
        <v>1</v>
      </c>
      <c r="S49" s="52" t="n">
        <v>1</v>
      </c>
      <c r="T49" s="52" t="n">
        <v>1</v>
      </c>
      <c r="U49" s="52" t="n">
        <v>5</v>
      </c>
      <c r="V49" s="52" t="n"/>
      <c r="W49" s="52" t="n">
        <v>2</v>
      </c>
      <c r="X49" s="52" t="n">
        <v>2</v>
      </c>
      <c r="Y49" s="52" t="n">
        <v>2</v>
      </c>
      <c r="Z49" s="52" t="n">
        <v>2</v>
      </c>
      <c r="AA49" s="52" t="n"/>
      <c r="AB49" s="52" t="n">
        <v>2</v>
      </c>
      <c r="AC49" s="52" t="n">
        <v>2</v>
      </c>
      <c r="AD49" s="52" t="n">
        <v>2</v>
      </c>
      <c r="AE49" s="52" t="n">
        <v>2</v>
      </c>
      <c r="AF49" s="52" t="n"/>
      <c r="AG49" s="52" t="n">
        <v>2</v>
      </c>
      <c r="AH49" s="52" t="n">
        <v>2</v>
      </c>
      <c r="AI49" s="52" t="n">
        <v>3</v>
      </c>
      <c r="AJ49" s="52" t="n">
        <v>2</v>
      </c>
      <c r="AK49" s="52" t="n"/>
      <c r="AL49" s="52" t="n">
        <v>3</v>
      </c>
      <c r="AM49" s="52" t="n">
        <v>2</v>
      </c>
      <c r="AN49" s="52" t="n">
        <v>2</v>
      </c>
      <c r="AO49" s="52" t="n">
        <v>2</v>
      </c>
      <c r="AP49" s="52" t="n"/>
      <c r="AQ49" s="52" t="n">
        <v>2</v>
      </c>
      <c r="AR49" s="52" t="n">
        <v>2</v>
      </c>
      <c r="AS49" s="52" t="n">
        <v>2</v>
      </c>
      <c r="AT49" s="52" t="n">
        <v>2</v>
      </c>
      <c r="AU49" s="52" t="n"/>
      <c r="AV49" s="52" t="n">
        <v>2</v>
      </c>
      <c r="AW49" s="52" t="n">
        <v>2</v>
      </c>
      <c r="AX49" s="52" t="n">
        <v>2</v>
      </c>
      <c r="AY49" s="52" t="n">
        <v>2</v>
      </c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</row>
    <row r="50">
      <c r="A50" s="67" t="n"/>
      <c r="B50" s="67" t="n"/>
      <c r="C50" s="67" t="n"/>
      <c r="D50" s="67" t="n"/>
      <c r="E50" s="67" t="n"/>
      <c r="F50" s="68" t="inlineStr">
        <is>
          <t>% Achieved</t>
        </is>
      </c>
      <c r="G50" s="69">
        <f>IFERROR(G49/G48,"")</f>
        <v/>
      </c>
      <c r="H50" s="70">
        <f>IFERROR(H49/H48,"")</f>
        <v/>
      </c>
      <c r="I50" s="70">
        <f>IFERROR(I49/I48,"")</f>
        <v/>
      </c>
      <c r="J50" s="70">
        <f>IFERROR(J49/J48,"")</f>
        <v/>
      </c>
      <c r="K50" s="70">
        <f>IFERROR(K49/K48,"")</f>
        <v/>
      </c>
      <c r="L50" s="70">
        <f>IFERROR(L49/L48,"")</f>
        <v/>
      </c>
      <c r="M50" s="70">
        <f>IFERROR(M49/M48,"")</f>
        <v/>
      </c>
      <c r="N50" s="70">
        <f>IFERROR(N49/N48,"")</f>
        <v/>
      </c>
      <c r="O50" s="70">
        <f>IFERROR(O49/O48,"")</f>
        <v/>
      </c>
      <c r="P50" s="70">
        <f>IFERROR(P49/P48,"")</f>
        <v/>
      </c>
      <c r="Q50" s="70">
        <f>IFERROR(Q49/Q48,"")</f>
        <v/>
      </c>
      <c r="R50" s="70">
        <f>IFERROR(R49/R48,"")</f>
        <v/>
      </c>
      <c r="S50" s="70">
        <f>IFERROR(S49/S48,"")</f>
        <v/>
      </c>
      <c r="T50" s="70">
        <f>IFERROR(T49/T48,"")</f>
        <v/>
      </c>
      <c r="U50" s="70">
        <f>IFERROR(U49/U48,"")</f>
        <v/>
      </c>
      <c r="V50" s="70">
        <f>IFERROR(V49/V48,"")</f>
        <v/>
      </c>
      <c r="W50" s="70">
        <f>IFERROR(W49/W48,"")</f>
        <v/>
      </c>
      <c r="X50" s="70">
        <f>IFERROR(X49/X48,"")</f>
        <v/>
      </c>
      <c r="Y50" s="70">
        <f>IFERROR(Y49/Y48,"")</f>
        <v/>
      </c>
      <c r="Z50" s="70">
        <f>IFERROR(Z49/Z48,"")</f>
        <v/>
      </c>
      <c r="AA50" s="70">
        <f>IFERROR(AA49/AA48,"")</f>
        <v/>
      </c>
      <c r="AB50" s="70">
        <f>IFERROR(AB49/AB48,"")</f>
        <v/>
      </c>
      <c r="AC50" s="70">
        <f>IFERROR(AC49/AC48,"")</f>
        <v/>
      </c>
      <c r="AD50" s="70">
        <f>IFERROR(AD49/AD48,"")</f>
        <v/>
      </c>
      <c r="AE50" s="70">
        <f>IFERROR(AE49/AE48,"")</f>
        <v/>
      </c>
      <c r="AF50" s="70">
        <f>IFERROR(AF49/AF48,"")</f>
        <v/>
      </c>
      <c r="AG50" s="70">
        <f>IFERROR(AG49/AG48,"")</f>
        <v/>
      </c>
      <c r="AH50" s="70">
        <f>IFERROR(AH49/AH48,"")</f>
        <v/>
      </c>
      <c r="AI50" s="70">
        <f>IFERROR(AI49/AI48,"")</f>
        <v/>
      </c>
      <c r="AJ50" s="70">
        <f>IFERROR(AJ49/AJ48,"")</f>
        <v/>
      </c>
      <c r="AK50" s="70">
        <f>IFERROR(AK49/AK48,"")</f>
        <v/>
      </c>
      <c r="AL50" s="70">
        <f>IFERROR(AL49/AL48,"")</f>
        <v/>
      </c>
      <c r="AM50" s="70">
        <f>IFERROR(AM49/AM48,"")</f>
        <v/>
      </c>
      <c r="AN50" s="70">
        <f>IFERROR(AN49/AN48,"")</f>
        <v/>
      </c>
      <c r="AO50" s="70">
        <f>IFERROR(AO49/AO48,"")</f>
        <v/>
      </c>
      <c r="AP50" s="70">
        <f>IFERROR(AP49/AP48,"")</f>
        <v/>
      </c>
      <c r="AQ50" s="70">
        <f>IFERROR(AQ49/AQ48,"")</f>
        <v/>
      </c>
      <c r="AR50" s="70">
        <f>IFERROR(AR49/AR48,"")</f>
        <v/>
      </c>
      <c r="AS50" s="70">
        <f>IFERROR(AS49/AS48,"")</f>
        <v/>
      </c>
      <c r="AT50" s="70">
        <f>IFERROR(AT49/AT48,"")</f>
        <v/>
      </c>
      <c r="AU50" s="70">
        <f>IFERROR(AU49/AU48,"")</f>
        <v/>
      </c>
      <c r="AV50" s="70">
        <f>IFERROR(AV49/AV48,"")</f>
        <v/>
      </c>
      <c r="AW50" s="70">
        <f>IFERROR(AW49/AW48,"")</f>
        <v/>
      </c>
      <c r="AX50" s="70">
        <f>IFERROR(AX49/AX48,"")</f>
        <v/>
      </c>
      <c r="AY50" s="70">
        <f>IFERROR(AY49/AY48,"")</f>
        <v/>
      </c>
      <c r="AZ50" s="70">
        <f>IFERROR(AZ49/AZ48,"")</f>
        <v/>
      </c>
      <c r="BA50" s="70">
        <f>IFERROR(BA49/BA48,"")</f>
        <v/>
      </c>
      <c r="BB50" s="70">
        <f>IFERROR(BB49/BB48,"")</f>
        <v/>
      </c>
      <c r="BC50" s="70">
        <f>IFERROR(BC49/BC48,"")</f>
        <v/>
      </c>
      <c r="BD50" s="70">
        <f>IFERROR(BD49/BD48,"")</f>
        <v/>
      </c>
      <c r="BE50" s="70">
        <f>IFERROR(BE49/BE48,"")</f>
        <v/>
      </c>
      <c r="BF50" s="70">
        <f>IFERROR(BF49/BF48,"")</f>
        <v/>
      </c>
      <c r="BG50" s="70">
        <f>IFERROR(BG49/BG48,"")</f>
        <v/>
      </c>
      <c r="BH50" s="70">
        <f>IFERROR(BH49/BH48,"")</f>
        <v/>
      </c>
      <c r="BI50" s="70">
        <f>IFERROR(BI49/BI48,"")</f>
        <v/>
      </c>
      <c r="BJ50" s="70">
        <f>IFERROR(BJ49/BJ48,"")</f>
        <v/>
      </c>
      <c r="BK50" s="70">
        <f>IFERROR(BK49/BK48,"")</f>
        <v/>
      </c>
      <c r="BL50" s="70">
        <f>IFERROR(BL49/BL48,"")</f>
        <v/>
      </c>
      <c r="BM50" s="70">
        <f>IFERROR(BM49/BM48,"")</f>
        <v/>
      </c>
      <c r="BN50" s="70">
        <f>IFERROR(BN49/BN48,"")</f>
        <v/>
      </c>
      <c r="BO50" s="70">
        <f>IFERROR(BO49/BO48,"")</f>
        <v/>
      </c>
    </row>
    <row r="51">
      <c r="A51" s="61">
        <f>IFERROR(INDEX(Team_Master!$C$6:$C$20,4),"")</f>
        <v/>
      </c>
      <c r="B51" s="62">
        <f>IFERROR(INDEX(Team_Master!$G$6:$G$20,4),"")</f>
        <v/>
      </c>
      <c r="C51" s="63" t="inlineStr">
        <is>
          <t>K1</t>
        </is>
      </c>
      <c r="D51" s="11" t="inlineStr">
        <is>
          <t>Invoiced Value</t>
        </is>
      </c>
      <c r="E51" s="64" t="inlineStr">
        <is>
          <t>MVND</t>
        </is>
      </c>
      <c r="F51" s="75" t="inlineStr">
        <is>
          <t>Phasing</t>
        </is>
      </c>
      <c r="G51" s="56">
        <f>SUM(H51:BO51)</f>
        <v/>
      </c>
      <c r="H51" s="52" t="n">
        <v>198</v>
      </c>
      <c r="I51" s="52" t="n">
        <v>198</v>
      </c>
      <c r="J51" s="52" t="n">
        <v>198</v>
      </c>
      <c r="K51" s="52" t="n">
        <v>199</v>
      </c>
      <c r="L51" s="52" t="n"/>
      <c r="M51" s="52" t="n">
        <v>144</v>
      </c>
      <c r="N51" s="52" t="n">
        <v>144</v>
      </c>
      <c r="O51" s="52" t="n">
        <v>144</v>
      </c>
      <c r="P51" s="52" t="n">
        <v>147</v>
      </c>
      <c r="Q51" s="52" t="n"/>
      <c r="R51" s="52" t="n">
        <v>221</v>
      </c>
      <c r="S51" s="52" t="n">
        <v>221</v>
      </c>
      <c r="T51" s="52" t="n">
        <v>221</v>
      </c>
      <c r="U51" s="52" t="n">
        <v>224</v>
      </c>
      <c r="V51" s="52" t="n"/>
      <c r="W51" s="52" t="n">
        <v>233</v>
      </c>
      <c r="X51" s="52" t="n">
        <v>233</v>
      </c>
      <c r="Y51" s="52" t="n">
        <v>233</v>
      </c>
      <c r="Z51" s="52" t="n">
        <v>234</v>
      </c>
      <c r="AA51" s="52" t="n"/>
      <c r="AB51" s="52" t="n">
        <v>238</v>
      </c>
      <c r="AC51" s="52" t="n">
        <v>238</v>
      </c>
      <c r="AD51" s="52" t="n">
        <v>238</v>
      </c>
      <c r="AE51" s="52" t="n">
        <v>238</v>
      </c>
      <c r="AF51" s="52" t="n"/>
      <c r="AG51" s="52" t="n">
        <v>245</v>
      </c>
      <c r="AH51" s="52" t="n">
        <v>245</v>
      </c>
      <c r="AI51" s="52" t="n">
        <v>245</v>
      </c>
      <c r="AJ51" s="52" t="n">
        <v>245</v>
      </c>
      <c r="AK51" s="52" t="n"/>
      <c r="AL51" s="52" t="n">
        <v>233</v>
      </c>
      <c r="AM51" s="52" t="n">
        <v>233</v>
      </c>
      <c r="AN51" s="52" t="n">
        <v>233</v>
      </c>
      <c r="AO51" s="52" t="n">
        <v>234</v>
      </c>
      <c r="AP51" s="52" t="n"/>
      <c r="AQ51" s="52" t="n">
        <v>240</v>
      </c>
      <c r="AR51" s="52" t="n">
        <v>240</v>
      </c>
      <c r="AS51" s="52" t="n">
        <v>240</v>
      </c>
      <c r="AT51" s="52" t="n">
        <v>241</v>
      </c>
      <c r="AU51" s="52" t="n"/>
      <c r="AV51" s="52" t="n">
        <v>252</v>
      </c>
      <c r="AW51" s="52" t="n">
        <v>252</v>
      </c>
      <c r="AX51" s="52" t="n">
        <v>252</v>
      </c>
      <c r="AY51" s="52" t="n">
        <v>252</v>
      </c>
      <c r="AZ51" s="52" t="n"/>
      <c r="BA51" s="52" t="n">
        <v>261</v>
      </c>
      <c r="BB51" s="52" t="n">
        <v>261</v>
      </c>
      <c r="BC51" s="52" t="n">
        <v>261</v>
      </c>
      <c r="BD51" s="52" t="n">
        <v>262</v>
      </c>
      <c r="BE51" s="52" t="n"/>
      <c r="BF51" s="52" t="n">
        <v>268</v>
      </c>
      <c r="BG51" s="52" t="n">
        <v>268</v>
      </c>
      <c r="BH51" s="52" t="n">
        <v>268</v>
      </c>
      <c r="BI51" s="52" t="n">
        <v>269</v>
      </c>
      <c r="BJ51" s="52" t="n"/>
      <c r="BK51" s="52" t="n">
        <v>264</v>
      </c>
      <c r="BL51" s="52" t="n">
        <v>264</v>
      </c>
      <c r="BM51" s="52" t="n">
        <v>264</v>
      </c>
      <c r="BN51" s="52" t="n">
        <v>264</v>
      </c>
      <c r="BO51" s="52" t="n"/>
    </row>
    <row r="52">
      <c r="A52" s="66" t="n"/>
      <c r="B52" s="66" t="n"/>
      <c r="C52" s="66" t="n"/>
      <c r="D52" s="66" t="n"/>
      <c r="E52" s="66" t="n"/>
      <c r="F52" s="75" t="inlineStr">
        <is>
          <t>Actual</t>
        </is>
      </c>
      <c r="G52" s="56">
        <f>SUM(H52:BO52)</f>
        <v/>
      </c>
      <c r="H52" s="52" t="n">
        <v>181</v>
      </c>
      <c r="I52" s="52" t="n">
        <v>147</v>
      </c>
      <c r="J52" s="52" t="n">
        <v>202</v>
      </c>
      <c r="K52" s="52" t="n">
        <v>170</v>
      </c>
      <c r="L52" s="52" t="n"/>
      <c r="M52" s="52" t="n">
        <v>128</v>
      </c>
      <c r="N52" s="52" t="n">
        <v>131</v>
      </c>
      <c r="O52" s="52" t="n">
        <v>121</v>
      </c>
      <c r="P52" s="52" t="n">
        <v>119</v>
      </c>
      <c r="Q52" s="52" t="n"/>
      <c r="R52" s="52" t="n">
        <v>205</v>
      </c>
      <c r="S52" s="52" t="n">
        <v>199</v>
      </c>
      <c r="T52" s="52" t="n">
        <v>179</v>
      </c>
      <c r="U52" s="52" t="n">
        <v>212</v>
      </c>
      <c r="V52" s="52" t="n"/>
      <c r="W52" s="52" t="n">
        <v>190</v>
      </c>
      <c r="X52" s="52" t="n">
        <v>169</v>
      </c>
      <c r="Y52" s="52" t="n">
        <v>186</v>
      </c>
      <c r="Z52" s="52" t="n">
        <v>172</v>
      </c>
      <c r="AA52" s="52" t="n"/>
      <c r="AB52" s="52" t="n">
        <v>184</v>
      </c>
      <c r="AC52" s="52" t="n">
        <v>229</v>
      </c>
      <c r="AD52" s="52" t="n">
        <v>201</v>
      </c>
      <c r="AE52" s="52" t="n">
        <v>239</v>
      </c>
      <c r="AF52" s="52" t="n"/>
      <c r="AG52" s="52" t="n">
        <v>235</v>
      </c>
      <c r="AH52" s="52" t="n">
        <v>181</v>
      </c>
      <c r="AI52" s="52" t="n">
        <v>254</v>
      </c>
      <c r="AJ52" s="52" t="n">
        <v>250</v>
      </c>
      <c r="AK52" s="52" t="n"/>
      <c r="AL52" s="52" t="n">
        <v>174</v>
      </c>
      <c r="AM52" s="52" t="n">
        <v>235</v>
      </c>
      <c r="AN52" s="52" t="n">
        <v>200</v>
      </c>
      <c r="AO52" s="52" t="n">
        <v>204</v>
      </c>
      <c r="AP52" s="52" t="n"/>
      <c r="AQ52" s="52" t="n">
        <v>247</v>
      </c>
      <c r="AR52" s="52" t="n">
        <v>192</v>
      </c>
      <c r="AS52" s="52" t="n">
        <v>213</v>
      </c>
      <c r="AT52" s="52" t="n">
        <v>245</v>
      </c>
      <c r="AU52" s="52" t="n"/>
      <c r="AV52" s="52" t="n">
        <v>240</v>
      </c>
      <c r="AW52" s="52" t="n">
        <v>219</v>
      </c>
      <c r="AX52" s="52" t="n">
        <v>260</v>
      </c>
      <c r="AY52" s="52" t="n">
        <v>247</v>
      </c>
      <c r="AZ52" s="52" t="n"/>
      <c r="BA52" s="52" t="n"/>
      <c r="BB52" s="52" t="n"/>
      <c r="BC52" s="52" t="n"/>
      <c r="BD52" s="52" t="n"/>
      <c r="BE52" s="52" t="n"/>
      <c r="BF52" s="52" t="n"/>
      <c r="BG52" s="52" t="n"/>
      <c r="BH52" s="52" t="n"/>
      <c r="BI52" s="52" t="n"/>
      <c r="BJ52" s="52" t="n"/>
      <c r="BK52" s="52" t="n"/>
      <c r="BL52" s="52" t="n"/>
      <c r="BM52" s="52" t="n"/>
      <c r="BN52" s="52" t="n"/>
      <c r="BO52" s="52" t="n"/>
    </row>
    <row r="53">
      <c r="A53" s="66" t="n"/>
      <c r="B53" s="66" t="n"/>
      <c r="C53" s="67" t="n"/>
      <c r="D53" s="67" t="n"/>
      <c r="E53" s="67" t="n"/>
      <c r="F53" s="68" t="inlineStr">
        <is>
          <t>% Achieved</t>
        </is>
      </c>
      <c r="G53" s="69">
        <f>IFERROR(G52/G51,"")</f>
        <v/>
      </c>
      <c r="H53" s="70">
        <f>IFERROR(H52/H51,"")</f>
        <v/>
      </c>
      <c r="I53" s="70">
        <f>IFERROR(I52/I51,"")</f>
        <v/>
      </c>
      <c r="J53" s="70">
        <f>IFERROR(J52/J51,"")</f>
        <v/>
      </c>
      <c r="K53" s="70">
        <f>IFERROR(K52/K51,"")</f>
        <v/>
      </c>
      <c r="L53" s="70">
        <f>IFERROR(L52/L51,"")</f>
        <v/>
      </c>
      <c r="M53" s="70">
        <f>IFERROR(M52/M51,"")</f>
        <v/>
      </c>
      <c r="N53" s="70">
        <f>IFERROR(N52/N51,"")</f>
        <v/>
      </c>
      <c r="O53" s="70">
        <f>IFERROR(O52/O51,"")</f>
        <v/>
      </c>
      <c r="P53" s="70">
        <f>IFERROR(P52/P51,"")</f>
        <v/>
      </c>
      <c r="Q53" s="70">
        <f>IFERROR(Q52/Q51,"")</f>
        <v/>
      </c>
      <c r="R53" s="70">
        <f>IFERROR(R52/R51,"")</f>
        <v/>
      </c>
      <c r="S53" s="70">
        <f>IFERROR(S52/S51,"")</f>
        <v/>
      </c>
      <c r="T53" s="70">
        <f>IFERROR(T52/T51,"")</f>
        <v/>
      </c>
      <c r="U53" s="70">
        <f>IFERROR(U52/U51,"")</f>
        <v/>
      </c>
      <c r="V53" s="70">
        <f>IFERROR(V52/V51,"")</f>
        <v/>
      </c>
      <c r="W53" s="70">
        <f>IFERROR(W52/W51,"")</f>
        <v/>
      </c>
      <c r="X53" s="70">
        <f>IFERROR(X52/X51,"")</f>
        <v/>
      </c>
      <c r="Y53" s="70">
        <f>IFERROR(Y52/Y51,"")</f>
        <v/>
      </c>
      <c r="Z53" s="70">
        <f>IFERROR(Z52/Z51,"")</f>
        <v/>
      </c>
      <c r="AA53" s="70">
        <f>IFERROR(AA52/AA51,"")</f>
        <v/>
      </c>
      <c r="AB53" s="70">
        <f>IFERROR(AB52/AB51,"")</f>
        <v/>
      </c>
      <c r="AC53" s="70">
        <f>IFERROR(AC52/AC51,"")</f>
        <v/>
      </c>
      <c r="AD53" s="70">
        <f>IFERROR(AD52/AD51,"")</f>
        <v/>
      </c>
      <c r="AE53" s="70">
        <f>IFERROR(AE52/AE51,"")</f>
        <v/>
      </c>
      <c r="AF53" s="70">
        <f>IFERROR(AF52/AF51,"")</f>
        <v/>
      </c>
      <c r="AG53" s="70">
        <f>IFERROR(AG52/AG51,"")</f>
        <v/>
      </c>
      <c r="AH53" s="70">
        <f>IFERROR(AH52/AH51,"")</f>
        <v/>
      </c>
      <c r="AI53" s="70">
        <f>IFERROR(AI52/AI51,"")</f>
        <v/>
      </c>
      <c r="AJ53" s="70">
        <f>IFERROR(AJ52/AJ51,"")</f>
        <v/>
      </c>
      <c r="AK53" s="70">
        <f>IFERROR(AK52/AK51,"")</f>
        <v/>
      </c>
      <c r="AL53" s="70">
        <f>IFERROR(AL52/AL51,"")</f>
        <v/>
      </c>
      <c r="AM53" s="70">
        <f>IFERROR(AM52/AM51,"")</f>
        <v/>
      </c>
      <c r="AN53" s="70">
        <f>IFERROR(AN52/AN51,"")</f>
        <v/>
      </c>
      <c r="AO53" s="70">
        <f>IFERROR(AO52/AO51,"")</f>
        <v/>
      </c>
      <c r="AP53" s="70">
        <f>IFERROR(AP52/AP51,"")</f>
        <v/>
      </c>
      <c r="AQ53" s="70">
        <f>IFERROR(AQ52/AQ51,"")</f>
        <v/>
      </c>
      <c r="AR53" s="70">
        <f>IFERROR(AR52/AR51,"")</f>
        <v/>
      </c>
      <c r="AS53" s="70">
        <f>IFERROR(AS52/AS51,"")</f>
        <v/>
      </c>
      <c r="AT53" s="70">
        <f>IFERROR(AT52/AT51,"")</f>
        <v/>
      </c>
      <c r="AU53" s="70">
        <f>IFERROR(AU52/AU51,"")</f>
        <v/>
      </c>
      <c r="AV53" s="70">
        <f>IFERROR(AV52/AV51,"")</f>
        <v/>
      </c>
      <c r="AW53" s="70">
        <f>IFERROR(AW52/AW51,"")</f>
        <v/>
      </c>
      <c r="AX53" s="70">
        <f>IFERROR(AX52/AX51,"")</f>
        <v/>
      </c>
      <c r="AY53" s="70">
        <f>IFERROR(AY52/AY51,"")</f>
        <v/>
      </c>
      <c r="AZ53" s="70">
        <f>IFERROR(AZ52/AZ51,"")</f>
        <v/>
      </c>
      <c r="BA53" s="70">
        <f>IFERROR(BA52/BA51,"")</f>
        <v/>
      </c>
      <c r="BB53" s="70">
        <f>IFERROR(BB52/BB51,"")</f>
        <v/>
      </c>
      <c r="BC53" s="70">
        <f>IFERROR(BC52/BC51,"")</f>
        <v/>
      </c>
      <c r="BD53" s="70">
        <f>IFERROR(BD52/BD51,"")</f>
        <v/>
      </c>
      <c r="BE53" s="70">
        <f>IFERROR(BE52/BE51,"")</f>
        <v/>
      </c>
      <c r="BF53" s="70">
        <f>IFERROR(BF52/BF51,"")</f>
        <v/>
      </c>
      <c r="BG53" s="70">
        <f>IFERROR(BG52/BG51,"")</f>
        <v/>
      </c>
      <c r="BH53" s="70">
        <f>IFERROR(BH52/BH51,"")</f>
        <v/>
      </c>
      <c r="BI53" s="70">
        <f>IFERROR(BI52/BI51,"")</f>
        <v/>
      </c>
      <c r="BJ53" s="70">
        <f>IFERROR(BJ52/BJ51,"")</f>
        <v/>
      </c>
      <c r="BK53" s="70">
        <f>IFERROR(BK52/BK51,"")</f>
        <v/>
      </c>
      <c r="BL53" s="70">
        <f>IFERROR(BL52/BL51,"")</f>
        <v/>
      </c>
      <c r="BM53" s="70">
        <f>IFERROR(BM52/BM51,"")</f>
        <v/>
      </c>
      <c r="BN53" s="70">
        <f>IFERROR(BN52/BN51,"")</f>
        <v/>
      </c>
      <c r="BO53" s="70">
        <f>IFERROR(BO52/BO51,"")</f>
        <v/>
      </c>
    </row>
    <row r="54">
      <c r="A54" s="66" t="n"/>
      <c r="B54" s="66" t="n"/>
      <c r="C54" s="63" t="inlineStr">
        <is>
          <t>K2</t>
        </is>
      </c>
      <c r="D54" s="11" t="inlineStr">
        <is>
          <t>Key account approach / Site check</t>
        </is>
      </c>
      <c r="E54" s="64" t="inlineStr">
        <is>
          <t>Roadshow</t>
        </is>
      </c>
      <c r="F54" s="75" t="inlineStr">
        <is>
          <t>Phasing</t>
        </is>
      </c>
      <c r="G54" s="56">
        <f>SUM(H54:BO54)</f>
        <v/>
      </c>
      <c r="H54" s="52" t="n">
        <v>3</v>
      </c>
      <c r="I54" s="52" t="n">
        <v>3</v>
      </c>
      <c r="J54" s="52" t="n">
        <v>3</v>
      </c>
      <c r="K54" s="52" t="n">
        <v>6</v>
      </c>
      <c r="L54" s="52" t="n"/>
      <c r="M54" s="52" t="n">
        <v>2</v>
      </c>
      <c r="N54" s="52" t="n">
        <v>2</v>
      </c>
      <c r="O54" s="52" t="n">
        <v>2</v>
      </c>
      <c r="P54" s="52" t="n">
        <v>5</v>
      </c>
      <c r="Q54" s="52" t="n"/>
      <c r="R54" s="52" t="n">
        <v>4</v>
      </c>
      <c r="S54" s="52" t="n">
        <v>4</v>
      </c>
      <c r="T54" s="52" t="n">
        <v>4</v>
      </c>
      <c r="U54" s="52" t="n">
        <v>4</v>
      </c>
      <c r="V54" s="52" t="n"/>
      <c r="W54" s="52" t="n">
        <v>4</v>
      </c>
      <c r="X54" s="52" t="n">
        <v>4</v>
      </c>
      <c r="Y54" s="52" t="n">
        <v>4</v>
      </c>
      <c r="Z54" s="52" t="n">
        <v>5</v>
      </c>
      <c r="AA54" s="52" t="n"/>
      <c r="AB54" s="52" t="n">
        <v>4</v>
      </c>
      <c r="AC54" s="52" t="n">
        <v>4</v>
      </c>
      <c r="AD54" s="52" t="n">
        <v>4</v>
      </c>
      <c r="AE54" s="52" t="n">
        <v>5</v>
      </c>
      <c r="AF54" s="52" t="n"/>
      <c r="AG54" s="52" t="n">
        <v>4</v>
      </c>
      <c r="AH54" s="52" t="n">
        <v>4</v>
      </c>
      <c r="AI54" s="52" t="n">
        <v>4</v>
      </c>
      <c r="AJ54" s="52" t="n">
        <v>6</v>
      </c>
      <c r="AK54" s="52" t="n"/>
      <c r="AL54" s="52" t="n">
        <v>4</v>
      </c>
      <c r="AM54" s="52" t="n">
        <v>4</v>
      </c>
      <c r="AN54" s="52" t="n">
        <v>4</v>
      </c>
      <c r="AO54" s="52" t="n">
        <v>5</v>
      </c>
      <c r="AP54" s="52" t="n"/>
      <c r="AQ54" s="52" t="n">
        <v>4</v>
      </c>
      <c r="AR54" s="52" t="n">
        <v>4</v>
      </c>
      <c r="AS54" s="52" t="n">
        <v>4</v>
      </c>
      <c r="AT54" s="52" t="n">
        <v>6</v>
      </c>
      <c r="AU54" s="52" t="n"/>
      <c r="AV54" s="52" t="n">
        <v>4</v>
      </c>
      <c r="AW54" s="52" t="n">
        <v>4</v>
      </c>
      <c r="AX54" s="52" t="n">
        <v>4</v>
      </c>
      <c r="AY54" s="52" t="n">
        <v>6</v>
      </c>
      <c r="AZ54" s="52" t="n"/>
      <c r="BA54" s="52" t="n">
        <v>4</v>
      </c>
      <c r="BB54" s="52" t="n">
        <v>4</v>
      </c>
      <c r="BC54" s="52" t="n">
        <v>4</v>
      </c>
      <c r="BD54" s="52" t="n">
        <v>7</v>
      </c>
      <c r="BE54" s="52" t="n"/>
      <c r="BF54" s="52" t="n">
        <v>5</v>
      </c>
      <c r="BG54" s="52" t="n">
        <v>5</v>
      </c>
      <c r="BH54" s="52" t="n">
        <v>5</v>
      </c>
      <c r="BI54" s="52" t="n">
        <v>5</v>
      </c>
      <c r="BJ54" s="52" t="n"/>
      <c r="BK54" s="52" t="n">
        <v>4</v>
      </c>
      <c r="BL54" s="52" t="n">
        <v>4</v>
      </c>
      <c r="BM54" s="52" t="n">
        <v>4</v>
      </c>
      <c r="BN54" s="52" t="n">
        <v>7</v>
      </c>
      <c r="BO54" s="52" t="n"/>
    </row>
    <row r="55">
      <c r="A55" s="66" t="n"/>
      <c r="B55" s="66" t="n"/>
      <c r="C55" s="66" t="n"/>
      <c r="D55" s="66" t="n"/>
      <c r="E55" s="66" t="n"/>
      <c r="F55" s="75" t="inlineStr">
        <is>
          <t>Actual</t>
        </is>
      </c>
      <c r="G55" s="56">
        <f>SUM(H55:BO55)</f>
        <v/>
      </c>
      <c r="H55" s="52" t="n">
        <v>3</v>
      </c>
      <c r="I55" s="52" t="n">
        <v>2</v>
      </c>
      <c r="J55" s="52" t="n">
        <v>3</v>
      </c>
      <c r="K55" s="52" t="n">
        <v>5</v>
      </c>
      <c r="L55" s="52" t="n"/>
      <c r="M55" s="52" t="n">
        <v>2</v>
      </c>
      <c r="N55" s="52" t="n">
        <v>1</v>
      </c>
      <c r="O55" s="52" t="n">
        <v>2</v>
      </c>
      <c r="P55" s="52" t="n">
        <v>4</v>
      </c>
      <c r="Q55" s="52" t="n"/>
      <c r="R55" s="52" t="n">
        <v>3</v>
      </c>
      <c r="S55" s="52" t="n">
        <v>4</v>
      </c>
      <c r="T55" s="52" t="n">
        <v>3</v>
      </c>
      <c r="U55" s="52" t="n">
        <v>3</v>
      </c>
      <c r="V55" s="52" t="n"/>
      <c r="W55" s="52" t="n">
        <v>4</v>
      </c>
      <c r="X55" s="52" t="n">
        <v>3</v>
      </c>
      <c r="Y55" s="52" t="n">
        <v>4</v>
      </c>
      <c r="Z55" s="52" t="n">
        <v>4</v>
      </c>
      <c r="AA55" s="52" t="n"/>
      <c r="AB55" s="52" t="n">
        <v>4</v>
      </c>
      <c r="AC55" s="52" t="n">
        <v>4</v>
      </c>
      <c r="AD55" s="52" t="n">
        <v>4</v>
      </c>
      <c r="AE55" s="52" t="n">
        <v>4</v>
      </c>
      <c r="AF55" s="52" t="n"/>
      <c r="AG55" s="52" t="n">
        <v>3</v>
      </c>
      <c r="AH55" s="52" t="n">
        <v>4</v>
      </c>
      <c r="AI55" s="52" t="n">
        <v>4</v>
      </c>
      <c r="AJ55" s="52" t="n">
        <v>6</v>
      </c>
      <c r="AK55" s="52" t="n"/>
      <c r="AL55" s="52" t="n">
        <v>3</v>
      </c>
      <c r="AM55" s="52" t="n">
        <v>3</v>
      </c>
      <c r="AN55" s="52" t="n">
        <v>4</v>
      </c>
      <c r="AO55" s="52" t="n">
        <v>5</v>
      </c>
      <c r="AP55" s="52" t="n"/>
      <c r="AQ55" s="52" t="n">
        <v>4</v>
      </c>
      <c r="AR55" s="52" t="n">
        <v>4</v>
      </c>
      <c r="AS55" s="52" t="n">
        <v>4</v>
      </c>
      <c r="AT55" s="52" t="n">
        <v>5</v>
      </c>
      <c r="AU55" s="52" t="n"/>
      <c r="AV55" s="52" t="n">
        <v>3</v>
      </c>
      <c r="AW55" s="52" t="n">
        <v>4</v>
      </c>
      <c r="AX55" s="52" t="n">
        <v>4</v>
      </c>
      <c r="AY55" s="52" t="n">
        <v>6</v>
      </c>
      <c r="AZ55" s="52" t="n"/>
      <c r="BA55" s="52" t="n"/>
      <c r="BB55" s="52" t="n"/>
      <c r="BC55" s="52" t="n"/>
      <c r="BD55" s="52" t="n"/>
      <c r="BE55" s="52" t="n"/>
      <c r="BF55" s="52" t="n"/>
      <c r="BG55" s="52" t="n"/>
      <c r="BH55" s="52" t="n"/>
      <c r="BI55" s="52" t="n"/>
      <c r="BJ55" s="52" t="n"/>
      <c r="BK55" s="52" t="n"/>
      <c r="BL55" s="52" t="n"/>
      <c r="BM55" s="52" t="n"/>
      <c r="BN55" s="52" t="n"/>
      <c r="BO55" s="52" t="n"/>
    </row>
    <row r="56">
      <c r="A56" s="66" t="n"/>
      <c r="B56" s="66" t="n"/>
      <c r="C56" s="67" t="n"/>
      <c r="D56" s="67" t="n"/>
      <c r="E56" s="67" t="n"/>
      <c r="F56" s="68" t="inlineStr">
        <is>
          <t>% Achieved</t>
        </is>
      </c>
      <c r="G56" s="69">
        <f>IFERROR(G55/G54,"")</f>
        <v/>
      </c>
      <c r="H56" s="70">
        <f>IFERROR(H55/H54,"")</f>
        <v/>
      </c>
      <c r="I56" s="70">
        <f>IFERROR(I55/I54,"")</f>
        <v/>
      </c>
      <c r="J56" s="70">
        <f>IFERROR(J55/J54,"")</f>
        <v/>
      </c>
      <c r="K56" s="70">
        <f>IFERROR(K55/K54,"")</f>
        <v/>
      </c>
      <c r="L56" s="70">
        <f>IFERROR(L55/L54,"")</f>
        <v/>
      </c>
      <c r="M56" s="70">
        <f>IFERROR(M55/M54,"")</f>
        <v/>
      </c>
      <c r="N56" s="70">
        <f>IFERROR(N55/N54,"")</f>
        <v/>
      </c>
      <c r="O56" s="70">
        <f>IFERROR(O55/O54,"")</f>
        <v/>
      </c>
      <c r="P56" s="70">
        <f>IFERROR(P55/P54,"")</f>
        <v/>
      </c>
      <c r="Q56" s="70">
        <f>IFERROR(Q55/Q54,"")</f>
        <v/>
      </c>
      <c r="R56" s="70">
        <f>IFERROR(R55/R54,"")</f>
        <v/>
      </c>
      <c r="S56" s="70">
        <f>IFERROR(S55/S54,"")</f>
        <v/>
      </c>
      <c r="T56" s="70">
        <f>IFERROR(T55/T54,"")</f>
        <v/>
      </c>
      <c r="U56" s="70">
        <f>IFERROR(U55/U54,"")</f>
        <v/>
      </c>
      <c r="V56" s="70">
        <f>IFERROR(V55/V54,"")</f>
        <v/>
      </c>
      <c r="W56" s="70">
        <f>IFERROR(W55/W54,"")</f>
        <v/>
      </c>
      <c r="X56" s="70">
        <f>IFERROR(X55/X54,"")</f>
        <v/>
      </c>
      <c r="Y56" s="70">
        <f>IFERROR(Y55/Y54,"")</f>
        <v/>
      </c>
      <c r="Z56" s="70">
        <f>IFERROR(Z55/Z54,"")</f>
        <v/>
      </c>
      <c r="AA56" s="70">
        <f>IFERROR(AA55/AA54,"")</f>
        <v/>
      </c>
      <c r="AB56" s="70">
        <f>IFERROR(AB55/AB54,"")</f>
        <v/>
      </c>
      <c r="AC56" s="70">
        <f>IFERROR(AC55/AC54,"")</f>
        <v/>
      </c>
      <c r="AD56" s="70">
        <f>IFERROR(AD55/AD54,"")</f>
        <v/>
      </c>
      <c r="AE56" s="70">
        <f>IFERROR(AE55/AE54,"")</f>
        <v/>
      </c>
      <c r="AF56" s="70">
        <f>IFERROR(AF55/AF54,"")</f>
        <v/>
      </c>
      <c r="AG56" s="70">
        <f>IFERROR(AG55/AG54,"")</f>
        <v/>
      </c>
      <c r="AH56" s="70">
        <f>IFERROR(AH55/AH54,"")</f>
        <v/>
      </c>
      <c r="AI56" s="70">
        <f>IFERROR(AI55/AI54,"")</f>
        <v/>
      </c>
      <c r="AJ56" s="70">
        <f>IFERROR(AJ55/AJ54,"")</f>
        <v/>
      </c>
      <c r="AK56" s="70">
        <f>IFERROR(AK55/AK54,"")</f>
        <v/>
      </c>
      <c r="AL56" s="70">
        <f>IFERROR(AL55/AL54,"")</f>
        <v/>
      </c>
      <c r="AM56" s="70">
        <f>IFERROR(AM55/AM54,"")</f>
        <v/>
      </c>
      <c r="AN56" s="70">
        <f>IFERROR(AN55/AN54,"")</f>
        <v/>
      </c>
      <c r="AO56" s="70">
        <f>IFERROR(AO55/AO54,"")</f>
        <v/>
      </c>
      <c r="AP56" s="70">
        <f>IFERROR(AP55/AP54,"")</f>
        <v/>
      </c>
      <c r="AQ56" s="70">
        <f>IFERROR(AQ55/AQ54,"")</f>
        <v/>
      </c>
      <c r="AR56" s="70">
        <f>IFERROR(AR55/AR54,"")</f>
        <v/>
      </c>
      <c r="AS56" s="70">
        <f>IFERROR(AS55/AS54,"")</f>
        <v/>
      </c>
      <c r="AT56" s="70">
        <f>IFERROR(AT55/AT54,"")</f>
        <v/>
      </c>
      <c r="AU56" s="70">
        <f>IFERROR(AU55/AU54,"")</f>
        <v/>
      </c>
      <c r="AV56" s="70">
        <f>IFERROR(AV55/AV54,"")</f>
        <v/>
      </c>
      <c r="AW56" s="70">
        <f>IFERROR(AW55/AW54,"")</f>
        <v/>
      </c>
      <c r="AX56" s="70">
        <f>IFERROR(AX55/AX54,"")</f>
        <v/>
      </c>
      <c r="AY56" s="70">
        <f>IFERROR(AY55/AY54,"")</f>
        <v/>
      </c>
      <c r="AZ56" s="70">
        <f>IFERROR(AZ55/AZ54,"")</f>
        <v/>
      </c>
      <c r="BA56" s="70">
        <f>IFERROR(BA55/BA54,"")</f>
        <v/>
      </c>
      <c r="BB56" s="70">
        <f>IFERROR(BB55/BB54,"")</f>
        <v/>
      </c>
      <c r="BC56" s="70">
        <f>IFERROR(BC55/BC54,"")</f>
        <v/>
      </c>
      <c r="BD56" s="70">
        <f>IFERROR(BD55/BD54,"")</f>
        <v/>
      </c>
      <c r="BE56" s="70">
        <f>IFERROR(BE55/BE54,"")</f>
        <v/>
      </c>
      <c r="BF56" s="70">
        <f>IFERROR(BF55/BF54,"")</f>
        <v/>
      </c>
      <c r="BG56" s="70">
        <f>IFERROR(BG55/BG54,"")</f>
        <v/>
      </c>
      <c r="BH56" s="70">
        <f>IFERROR(BH55/BH54,"")</f>
        <v/>
      </c>
      <c r="BI56" s="70">
        <f>IFERROR(BI55/BI54,"")</f>
        <v/>
      </c>
      <c r="BJ56" s="70">
        <f>IFERROR(BJ55/BJ54,"")</f>
        <v/>
      </c>
      <c r="BK56" s="70">
        <f>IFERROR(BK55/BK54,"")</f>
        <v/>
      </c>
      <c r="BL56" s="70">
        <f>IFERROR(BL55/BL54,"")</f>
        <v/>
      </c>
      <c r="BM56" s="70">
        <f>IFERROR(BM55/BM54,"")</f>
        <v/>
      </c>
      <c r="BN56" s="70">
        <f>IFERROR(BN55/BN54,"")</f>
        <v/>
      </c>
      <c r="BO56" s="70">
        <f>IFERROR(BO55/BO54,"")</f>
        <v/>
      </c>
    </row>
    <row r="57">
      <c r="A57" s="66" t="n"/>
      <c r="B57" s="66" t="n"/>
      <c r="C57" s="71" t="inlineStr">
        <is>
          <t>K3</t>
        </is>
      </c>
      <c r="D57" s="37" t="inlineStr">
        <is>
          <t>Spec-in Value</t>
        </is>
      </c>
      <c r="E57" s="72" t="inlineStr">
        <is>
          <t>MVND</t>
        </is>
      </c>
      <c r="F57" s="75" t="inlineStr">
        <is>
          <t>Phasing</t>
        </is>
      </c>
      <c r="G57" s="56">
        <f>SUM(H57:BO57)</f>
        <v/>
      </c>
      <c r="H57" s="52" t="n">
        <v>72</v>
      </c>
      <c r="I57" s="52" t="n">
        <v>72</v>
      </c>
      <c r="J57" s="52" t="n">
        <v>72</v>
      </c>
      <c r="K57" s="52" t="n">
        <v>74</v>
      </c>
      <c r="L57" s="52" t="n"/>
      <c r="M57" s="52" t="n">
        <v>53</v>
      </c>
      <c r="N57" s="52" t="n">
        <v>53</v>
      </c>
      <c r="O57" s="52" t="n">
        <v>53</v>
      </c>
      <c r="P57" s="52" t="n">
        <v>53</v>
      </c>
      <c r="Q57" s="52" t="n"/>
      <c r="R57" s="52" t="n">
        <v>81</v>
      </c>
      <c r="S57" s="52" t="n">
        <v>81</v>
      </c>
      <c r="T57" s="52" t="n">
        <v>81</v>
      </c>
      <c r="U57" s="52" t="n">
        <v>82</v>
      </c>
      <c r="V57" s="52" t="n"/>
      <c r="W57" s="52" t="n">
        <v>85</v>
      </c>
      <c r="X57" s="52" t="n">
        <v>85</v>
      </c>
      <c r="Y57" s="52" t="n">
        <v>85</v>
      </c>
      <c r="Z57" s="52" t="n">
        <v>87</v>
      </c>
      <c r="AA57" s="52" t="n"/>
      <c r="AB57" s="52" t="n">
        <v>87</v>
      </c>
      <c r="AC57" s="52" t="n">
        <v>87</v>
      </c>
      <c r="AD57" s="52" t="n">
        <v>87</v>
      </c>
      <c r="AE57" s="52" t="n">
        <v>87</v>
      </c>
      <c r="AF57" s="52" t="n"/>
      <c r="AG57" s="52" t="n">
        <v>89</v>
      </c>
      <c r="AH57" s="52" t="n">
        <v>89</v>
      </c>
      <c r="AI57" s="52" t="n">
        <v>89</v>
      </c>
      <c r="AJ57" s="52" t="n">
        <v>92</v>
      </c>
      <c r="AK57" s="52" t="n"/>
      <c r="AL57" s="52" t="n">
        <v>85</v>
      </c>
      <c r="AM57" s="52" t="n">
        <v>85</v>
      </c>
      <c r="AN57" s="52" t="n">
        <v>85</v>
      </c>
      <c r="AO57" s="52" t="n">
        <v>87</v>
      </c>
      <c r="AP57" s="52" t="n"/>
      <c r="AQ57" s="52" t="n">
        <v>88</v>
      </c>
      <c r="AR57" s="52" t="n">
        <v>88</v>
      </c>
      <c r="AS57" s="52" t="n">
        <v>88</v>
      </c>
      <c r="AT57" s="52" t="n">
        <v>88</v>
      </c>
      <c r="AU57" s="52" t="n"/>
      <c r="AV57" s="52" t="n">
        <v>92</v>
      </c>
      <c r="AW57" s="52" t="n">
        <v>92</v>
      </c>
      <c r="AX57" s="52" t="n">
        <v>92</v>
      </c>
      <c r="AY57" s="52" t="n">
        <v>93</v>
      </c>
      <c r="AZ57" s="52" t="n"/>
      <c r="BA57" s="52" t="n">
        <v>95</v>
      </c>
      <c r="BB57" s="52" t="n">
        <v>95</v>
      </c>
      <c r="BC57" s="52" t="n">
        <v>95</v>
      </c>
      <c r="BD57" s="52" t="n">
        <v>98</v>
      </c>
      <c r="BE57" s="52" t="n"/>
      <c r="BF57" s="52" t="n">
        <v>98</v>
      </c>
      <c r="BG57" s="52" t="n">
        <v>98</v>
      </c>
      <c r="BH57" s="52" t="n">
        <v>98</v>
      </c>
      <c r="BI57" s="52" t="n">
        <v>99</v>
      </c>
      <c r="BJ57" s="52" t="n"/>
      <c r="BK57" s="52" t="n">
        <v>96</v>
      </c>
      <c r="BL57" s="52" t="n">
        <v>96</v>
      </c>
      <c r="BM57" s="52" t="n">
        <v>96</v>
      </c>
      <c r="BN57" s="52" t="n">
        <v>97</v>
      </c>
      <c r="BO57" s="52" t="n"/>
    </row>
    <row r="58">
      <c r="A58" s="66" t="n"/>
      <c r="B58" s="66" t="n"/>
      <c r="C58" s="66" t="n"/>
      <c r="D58" s="66" t="n"/>
      <c r="E58" s="66" t="n"/>
      <c r="F58" s="75" t="inlineStr">
        <is>
          <t>Actual</t>
        </is>
      </c>
      <c r="G58" s="56">
        <f>SUM(H58:BO58)</f>
        <v/>
      </c>
      <c r="H58" s="52" t="n">
        <v>53</v>
      </c>
      <c r="I58" s="52" t="n">
        <v>53</v>
      </c>
      <c r="J58" s="52" t="n">
        <v>58</v>
      </c>
      <c r="K58" s="52" t="n">
        <v>63</v>
      </c>
      <c r="L58" s="52" t="n"/>
      <c r="M58" s="52" t="n">
        <v>49</v>
      </c>
      <c r="N58" s="52" t="n">
        <v>40</v>
      </c>
      <c r="O58" s="52" t="n">
        <v>47</v>
      </c>
      <c r="P58" s="52" t="n">
        <v>39</v>
      </c>
      <c r="Q58" s="52" t="n"/>
      <c r="R58" s="52" t="n">
        <v>61</v>
      </c>
      <c r="S58" s="52" t="n">
        <v>76</v>
      </c>
      <c r="T58" s="52" t="n">
        <v>73</v>
      </c>
      <c r="U58" s="52" t="n">
        <v>76</v>
      </c>
      <c r="V58" s="52" t="n"/>
      <c r="W58" s="52" t="n">
        <v>71</v>
      </c>
      <c r="X58" s="52" t="n">
        <v>74</v>
      </c>
      <c r="Y58" s="52" t="n">
        <v>67</v>
      </c>
      <c r="Z58" s="52" t="n">
        <v>72</v>
      </c>
      <c r="AA58" s="52" t="n"/>
      <c r="AB58" s="52" t="n">
        <v>83</v>
      </c>
      <c r="AC58" s="52" t="n">
        <v>86</v>
      </c>
      <c r="AD58" s="52" t="n">
        <v>65</v>
      </c>
      <c r="AE58" s="52" t="n">
        <v>66</v>
      </c>
      <c r="AF58" s="52" t="n"/>
      <c r="AG58" s="52" t="n">
        <v>87</v>
      </c>
      <c r="AH58" s="52" t="n">
        <v>82</v>
      </c>
      <c r="AI58" s="52" t="n">
        <v>86</v>
      </c>
      <c r="AJ58" s="52" t="n">
        <v>73</v>
      </c>
      <c r="AK58" s="52" t="n"/>
      <c r="AL58" s="52" t="n">
        <v>73</v>
      </c>
      <c r="AM58" s="52" t="n">
        <v>68</v>
      </c>
      <c r="AN58" s="52" t="n">
        <v>83</v>
      </c>
      <c r="AO58" s="52" t="n">
        <v>73</v>
      </c>
      <c r="AP58" s="52" t="n"/>
      <c r="AQ58" s="52" t="n">
        <v>82</v>
      </c>
      <c r="AR58" s="52" t="n">
        <v>91</v>
      </c>
      <c r="AS58" s="52" t="n">
        <v>73</v>
      </c>
      <c r="AT58" s="52" t="n">
        <v>79</v>
      </c>
      <c r="AU58" s="52" t="n"/>
      <c r="AV58" s="52" t="n">
        <v>88</v>
      </c>
      <c r="AW58" s="52" t="n">
        <v>93</v>
      </c>
      <c r="AX58" s="52" t="n">
        <v>79</v>
      </c>
      <c r="AY58" s="52" t="n">
        <v>78</v>
      </c>
      <c r="AZ58" s="52" t="n"/>
      <c r="BA58" s="52" t="n"/>
      <c r="BB58" s="52" t="n"/>
      <c r="BC58" s="52" t="n"/>
      <c r="BD58" s="52" t="n"/>
      <c r="BE58" s="52" t="n"/>
      <c r="BF58" s="52" t="n"/>
      <c r="BG58" s="52" t="n"/>
      <c r="BH58" s="52" t="n"/>
      <c r="BI58" s="52" t="n"/>
      <c r="BJ58" s="52" t="n"/>
      <c r="BK58" s="52" t="n"/>
      <c r="BL58" s="52" t="n"/>
      <c r="BM58" s="52" t="n"/>
      <c r="BN58" s="52" t="n"/>
      <c r="BO58" s="52" t="n"/>
    </row>
    <row r="59">
      <c r="A59" s="66" t="n"/>
      <c r="B59" s="66" t="n"/>
      <c r="C59" s="67" t="n"/>
      <c r="D59" s="67" t="n"/>
      <c r="E59" s="67" t="n"/>
      <c r="F59" s="68" t="inlineStr">
        <is>
          <t>% Achieved</t>
        </is>
      </c>
      <c r="G59" s="69">
        <f>IFERROR(G58/G57,"")</f>
        <v/>
      </c>
      <c r="H59" s="70">
        <f>IFERROR(H58/H57,"")</f>
        <v/>
      </c>
      <c r="I59" s="70">
        <f>IFERROR(I58/I57,"")</f>
        <v/>
      </c>
      <c r="J59" s="70">
        <f>IFERROR(J58/J57,"")</f>
        <v/>
      </c>
      <c r="K59" s="70">
        <f>IFERROR(K58/K57,"")</f>
        <v/>
      </c>
      <c r="L59" s="70">
        <f>IFERROR(L58/L57,"")</f>
        <v/>
      </c>
      <c r="M59" s="70">
        <f>IFERROR(M58/M57,"")</f>
        <v/>
      </c>
      <c r="N59" s="70">
        <f>IFERROR(N58/N57,"")</f>
        <v/>
      </c>
      <c r="O59" s="70">
        <f>IFERROR(O58/O57,"")</f>
        <v/>
      </c>
      <c r="P59" s="70">
        <f>IFERROR(P58/P57,"")</f>
        <v/>
      </c>
      <c r="Q59" s="70">
        <f>IFERROR(Q58/Q57,"")</f>
        <v/>
      </c>
      <c r="R59" s="70">
        <f>IFERROR(R58/R57,"")</f>
        <v/>
      </c>
      <c r="S59" s="70">
        <f>IFERROR(S58/S57,"")</f>
        <v/>
      </c>
      <c r="T59" s="70">
        <f>IFERROR(T58/T57,"")</f>
        <v/>
      </c>
      <c r="U59" s="70">
        <f>IFERROR(U58/U57,"")</f>
        <v/>
      </c>
      <c r="V59" s="70">
        <f>IFERROR(V58/V57,"")</f>
        <v/>
      </c>
      <c r="W59" s="70">
        <f>IFERROR(W58/W57,"")</f>
        <v/>
      </c>
      <c r="X59" s="70">
        <f>IFERROR(X58/X57,"")</f>
        <v/>
      </c>
      <c r="Y59" s="70">
        <f>IFERROR(Y58/Y57,"")</f>
        <v/>
      </c>
      <c r="Z59" s="70">
        <f>IFERROR(Z58/Z57,"")</f>
        <v/>
      </c>
      <c r="AA59" s="70">
        <f>IFERROR(AA58/AA57,"")</f>
        <v/>
      </c>
      <c r="AB59" s="70">
        <f>IFERROR(AB58/AB57,"")</f>
        <v/>
      </c>
      <c r="AC59" s="70">
        <f>IFERROR(AC58/AC57,"")</f>
        <v/>
      </c>
      <c r="AD59" s="70">
        <f>IFERROR(AD58/AD57,"")</f>
        <v/>
      </c>
      <c r="AE59" s="70">
        <f>IFERROR(AE58/AE57,"")</f>
        <v/>
      </c>
      <c r="AF59" s="70">
        <f>IFERROR(AF58/AF57,"")</f>
        <v/>
      </c>
      <c r="AG59" s="70">
        <f>IFERROR(AG58/AG57,"")</f>
        <v/>
      </c>
      <c r="AH59" s="70">
        <f>IFERROR(AH58/AH57,"")</f>
        <v/>
      </c>
      <c r="AI59" s="70">
        <f>IFERROR(AI58/AI57,"")</f>
        <v/>
      </c>
      <c r="AJ59" s="70">
        <f>IFERROR(AJ58/AJ57,"")</f>
        <v/>
      </c>
      <c r="AK59" s="70">
        <f>IFERROR(AK58/AK57,"")</f>
        <v/>
      </c>
      <c r="AL59" s="70">
        <f>IFERROR(AL58/AL57,"")</f>
        <v/>
      </c>
      <c r="AM59" s="70">
        <f>IFERROR(AM58/AM57,"")</f>
        <v/>
      </c>
      <c r="AN59" s="70">
        <f>IFERROR(AN58/AN57,"")</f>
        <v/>
      </c>
      <c r="AO59" s="70">
        <f>IFERROR(AO58/AO57,"")</f>
        <v/>
      </c>
      <c r="AP59" s="70">
        <f>IFERROR(AP58/AP57,"")</f>
        <v/>
      </c>
      <c r="AQ59" s="70">
        <f>IFERROR(AQ58/AQ57,"")</f>
        <v/>
      </c>
      <c r="AR59" s="70">
        <f>IFERROR(AR58/AR57,"")</f>
        <v/>
      </c>
      <c r="AS59" s="70">
        <f>IFERROR(AS58/AS57,"")</f>
        <v/>
      </c>
      <c r="AT59" s="70">
        <f>IFERROR(AT58/AT57,"")</f>
        <v/>
      </c>
      <c r="AU59" s="70">
        <f>IFERROR(AU58/AU57,"")</f>
        <v/>
      </c>
      <c r="AV59" s="70">
        <f>IFERROR(AV58/AV57,"")</f>
        <v/>
      </c>
      <c r="AW59" s="70">
        <f>IFERROR(AW58/AW57,"")</f>
        <v/>
      </c>
      <c r="AX59" s="70">
        <f>IFERROR(AX58/AX57,"")</f>
        <v/>
      </c>
      <c r="AY59" s="70">
        <f>IFERROR(AY58/AY57,"")</f>
        <v/>
      </c>
      <c r="AZ59" s="70">
        <f>IFERROR(AZ58/AZ57,"")</f>
        <v/>
      </c>
      <c r="BA59" s="70">
        <f>IFERROR(BA58/BA57,"")</f>
        <v/>
      </c>
      <c r="BB59" s="70">
        <f>IFERROR(BB58/BB57,"")</f>
        <v/>
      </c>
      <c r="BC59" s="70">
        <f>IFERROR(BC58/BC57,"")</f>
        <v/>
      </c>
      <c r="BD59" s="70">
        <f>IFERROR(BD58/BD57,"")</f>
        <v/>
      </c>
      <c r="BE59" s="70">
        <f>IFERROR(BE58/BE57,"")</f>
        <v/>
      </c>
      <c r="BF59" s="70">
        <f>IFERROR(BF58/BF57,"")</f>
        <v/>
      </c>
      <c r="BG59" s="70">
        <f>IFERROR(BG58/BG57,"")</f>
        <v/>
      </c>
      <c r="BH59" s="70">
        <f>IFERROR(BH58/BH57,"")</f>
        <v/>
      </c>
      <c r="BI59" s="70">
        <f>IFERROR(BI58/BI57,"")</f>
        <v/>
      </c>
      <c r="BJ59" s="70">
        <f>IFERROR(BJ58/BJ57,"")</f>
        <v/>
      </c>
      <c r="BK59" s="70">
        <f>IFERROR(BK58/BK57,"")</f>
        <v/>
      </c>
      <c r="BL59" s="70">
        <f>IFERROR(BL58/BL57,"")</f>
        <v/>
      </c>
      <c r="BM59" s="70">
        <f>IFERROR(BM58/BM57,"")</f>
        <v/>
      </c>
      <c r="BN59" s="70">
        <f>IFERROR(BN58/BN57,"")</f>
        <v/>
      </c>
      <c r="BO59" s="70">
        <f>IFERROR(BO58/BO57,"")</f>
        <v/>
      </c>
    </row>
    <row r="60">
      <c r="A60" s="66" t="n"/>
      <c r="B60" s="66" t="n"/>
      <c r="C60" s="71" t="inlineStr">
        <is>
          <t>K4</t>
        </is>
      </c>
      <c r="D60" s="37" t="inlineStr">
        <is>
          <t>Engaged Architect (Submit Design)</t>
        </is>
      </c>
      <c r="E60" s="72" t="inlineStr">
        <is>
          <t>D&amp;B</t>
        </is>
      </c>
      <c r="F60" s="75" t="inlineStr">
        <is>
          <t>Phasing</t>
        </is>
      </c>
      <c r="G60" s="56">
        <f>SUM(H60:BO60)</f>
        <v/>
      </c>
      <c r="H60" s="52" t="n">
        <v>1</v>
      </c>
      <c r="I60" s="52" t="n">
        <v>1</v>
      </c>
      <c r="J60" s="52" t="n">
        <v>1</v>
      </c>
      <c r="K60" s="52" t="n">
        <v>3</v>
      </c>
      <c r="L60" s="52" t="n"/>
      <c r="M60" s="52" t="n">
        <v>1</v>
      </c>
      <c r="N60" s="52" t="n">
        <v>1</v>
      </c>
      <c r="O60" s="52" t="n">
        <v>1</v>
      </c>
      <c r="P60" s="52" t="n">
        <v>1</v>
      </c>
      <c r="Q60" s="52" t="n"/>
      <c r="R60" s="52" t="n">
        <v>1</v>
      </c>
      <c r="S60" s="52" t="n">
        <v>1</v>
      </c>
      <c r="T60" s="52" t="n">
        <v>1</v>
      </c>
      <c r="U60" s="52" t="n">
        <v>3</v>
      </c>
      <c r="V60" s="52" t="n"/>
      <c r="W60" s="52" t="n">
        <v>1</v>
      </c>
      <c r="X60" s="52" t="n">
        <v>1</v>
      </c>
      <c r="Y60" s="52" t="n">
        <v>1</v>
      </c>
      <c r="Z60" s="52" t="n">
        <v>3</v>
      </c>
      <c r="AA60" s="52" t="n"/>
      <c r="AB60" s="52" t="n">
        <v>1</v>
      </c>
      <c r="AC60" s="52" t="n">
        <v>1</v>
      </c>
      <c r="AD60" s="52" t="n">
        <v>1</v>
      </c>
      <c r="AE60" s="52" t="n">
        <v>4</v>
      </c>
      <c r="AF60" s="52" t="n"/>
      <c r="AG60" s="52" t="n">
        <v>1</v>
      </c>
      <c r="AH60" s="52" t="n">
        <v>1</v>
      </c>
      <c r="AI60" s="52" t="n">
        <v>1</v>
      </c>
      <c r="AJ60" s="52" t="n">
        <v>4</v>
      </c>
      <c r="AK60" s="52" t="n"/>
      <c r="AL60" s="52" t="n">
        <v>1</v>
      </c>
      <c r="AM60" s="52" t="n">
        <v>1</v>
      </c>
      <c r="AN60" s="52" t="n">
        <v>1</v>
      </c>
      <c r="AO60" s="52" t="n">
        <v>3</v>
      </c>
      <c r="AP60" s="52" t="n"/>
      <c r="AQ60" s="52" t="n">
        <v>1</v>
      </c>
      <c r="AR60" s="52" t="n">
        <v>1</v>
      </c>
      <c r="AS60" s="52" t="n">
        <v>1</v>
      </c>
      <c r="AT60" s="52" t="n">
        <v>4</v>
      </c>
      <c r="AU60" s="52" t="n"/>
      <c r="AV60" s="52" t="n">
        <v>1</v>
      </c>
      <c r="AW60" s="52" t="n">
        <v>1</v>
      </c>
      <c r="AX60" s="52" t="n">
        <v>1</v>
      </c>
      <c r="AY60" s="52" t="n">
        <v>4</v>
      </c>
      <c r="AZ60" s="52" t="n"/>
      <c r="BA60" s="52" t="n">
        <v>1</v>
      </c>
      <c r="BB60" s="52" t="n">
        <v>1</v>
      </c>
      <c r="BC60" s="52" t="n">
        <v>1</v>
      </c>
      <c r="BD60" s="52" t="n">
        <v>4</v>
      </c>
      <c r="BE60" s="52" t="n"/>
      <c r="BF60" s="52" t="n">
        <v>1</v>
      </c>
      <c r="BG60" s="52" t="n">
        <v>1</v>
      </c>
      <c r="BH60" s="52" t="n">
        <v>1</v>
      </c>
      <c r="BI60" s="52" t="n">
        <v>4</v>
      </c>
      <c r="BJ60" s="52" t="n"/>
      <c r="BK60" s="52" t="n">
        <v>2</v>
      </c>
      <c r="BL60" s="52" t="n">
        <v>2</v>
      </c>
      <c r="BM60" s="52" t="n">
        <v>2</v>
      </c>
      <c r="BN60" s="52" t="n">
        <v>2</v>
      </c>
      <c r="BO60" s="52" t="n"/>
    </row>
    <row r="61">
      <c r="A61" s="66" t="n"/>
      <c r="B61" s="66" t="n"/>
      <c r="C61" s="66" t="n"/>
      <c r="D61" s="66" t="n"/>
      <c r="E61" s="66" t="n"/>
      <c r="F61" s="75" t="inlineStr">
        <is>
          <t>Actual</t>
        </is>
      </c>
      <c r="G61" s="56">
        <f>SUM(H61:BO61)</f>
        <v/>
      </c>
      <c r="H61" s="52" t="n">
        <v>1</v>
      </c>
      <c r="I61" s="52" t="n">
        <v>1</v>
      </c>
      <c r="J61" s="52" t="n">
        <v>1</v>
      </c>
      <c r="K61" s="52" t="n">
        <v>2</v>
      </c>
      <c r="L61" s="52" t="n"/>
      <c r="M61" s="52" t="n">
        <v>1</v>
      </c>
      <c r="N61" s="52" t="n">
        <v>1</v>
      </c>
      <c r="O61" s="52" t="n">
        <v>1</v>
      </c>
      <c r="P61" s="52" t="n">
        <v>1</v>
      </c>
      <c r="Q61" s="52" t="n"/>
      <c r="R61" s="52" t="n">
        <v>1</v>
      </c>
      <c r="S61" s="52" t="n">
        <v>1</v>
      </c>
      <c r="T61" s="52" t="n">
        <v>1</v>
      </c>
      <c r="U61" s="52" t="n">
        <v>3</v>
      </c>
      <c r="V61" s="52" t="n"/>
      <c r="W61" s="52" t="n">
        <v>1</v>
      </c>
      <c r="X61" s="52" t="n">
        <v>1</v>
      </c>
      <c r="Y61" s="52" t="n">
        <v>1</v>
      </c>
      <c r="Z61" s="52" t="n">
        <v>3</v>
      </c>
      <c r="AA61" s="52" t="n"/>
      <c r="AB61" s="52" t="n">
        <v>1</v>
      </c>
      <c r="AC61" s="52" t="n">
        <v>1</v>
      </c>
      <c r="AD61" s="52" t="n">
        <v>1</v>
      </c>
      <c r="AE61" s="52" t="n">
        <v>4</v>
      </c>
      <c r="AF61" s="52" t="n"/>
      <c r="AG61" s="52" t="n">
        <v>1</v>
      </c>
      <c r="AH61" s="52" t="n">
        <v>1</v>
      </c>
      <c r="AI61" s="52" t="n">
        <v>1</v>
      </c>
      <c r="AJ61" s="52" t="n">
        <v>4</v>
      </c>
      <c r="AK61" s="52" t="n"/>
      <c r="AL61" s="52" t="n">
        <v>1</v>
      </c>
      <c r="AM61" s="52" t="n">
        <v>1</v>
      </c>
      <c r="AN61" s="52" t="n">
        <v>1</v>
      </c>
      <c r="AO61" s="52" t="n">
        <v>3</v>
      </c>
      <c r="AP61" s="52" t="n"/>
      <c r="AQ61" s="52" t="n">
        <v>1</v>
      </c>
      <c r="AR61" s="52" t="n">
        <v>1</v>
      </c>
      <c r="AS61" s="52" t="n">
        <v>1</v>
      </c>
      <c r="AT61" s="52" t="n">
        <v>3</v>
      </c>
      <c r="AU61" s="52" t="n"/>
      <c r="AV61" s="52" t="n">
        <v>1</v>
      </c>
      <c r="AW61" s="52" t="n">
        <v>1</v>
      </c>
      <c r="AX61" s="52" t="n">
        <v>1</v>
      </c>
      <c r="AY61" s="52" t="n">
        <v>3</v>
      </c>
      <c r="AZ61" s="52" t="n"/>
      <c r="BA61" s="52" t="n"/>
      <c r="BB61" s="52" t="n"/>
      <c r="BC61" s="52" t="n"/>
      <c r="BD61" s="52" t="n"/>
      <c r="BE61" s="52" t="n"/>
      <c r="BF61" s="52" t="n"/>
      <c r="BG61" s="52" t="n"/>
      <c r="BH61" s="52" t="n"/>
      <c r="BI61" s="52" t="n"/>
      <c r="BJ61" s="52" t="n"/>
      <c r="BK61" s="52" t="n"/>
      <c r="BL61" s="52" t="n"/>
      <c r="BM61" s="52" t="n"/>
      <c r="BN61" s="52" t="n"/>
      <c r="BO61" s="52" t="n"/>
    </row>
    <row r="62">
      <c r="A62" s="66" t="n"/>
      <c r="B62" s="66" t="n"/>
      <c r="C62" s="67" t="n"/>
      <c r="D62" s="67" t="n"/>
      <c r="E62" s="67" t="n"/>
      <c r="F62" s="68" t="inlineStr">
        <is>
          <t>% Achieved</t>
        </is>
      </c>
      <c r="G62" s="69">
        <f>IFERROR(G61/G60,"")</f>
        <v/>
      </c>
      <c r="H62" s="70">
        <f>IFERROR(H61/H60,"")</f>
        <v/>
      </c>
      <c r="I62" s="70">
        <f>IFERROR(I61/I60,"")</f>
        <v/>
      </c>
      <c r="J62" s="70">
        <f>IFERROR(J61/J60,"")</f>
        <v/>
      </c>
      <c r="K62" s="70">
        <f>IFERROR(K61/K60,"")</f>
        <v/>
      </c>
      <c r="L62" s="70">
        <f>IFERROR(L61/L60,"")</f>
        <v/>
      </c>
      <c r="M62" s="70">
        <f>IFERROR(M61/M60,"")</f>
        <v/>
      </c>
      <c r="N62" s="70">
        <f>IFERROR(N61/N60,"")</f>
        <v/>
      </c>
      <c r="O62" s="70">
        <f>IFERROR(O61/O60,"")</f>
        <v/>
      </c>
      <c r="P62" s="70">
        <f>IFERROR(P61/P60,"")</f>
        <v/>
      </c>
      <c r="Q62" s="70">
        <f>IFERROR(Q61/Q60,"")</f>
        <v/>
      </c>
      <c r="R62" s="70">
        <f>IFERROR(R61/R60,"")</f>
        <v/>
      </c>
      <c r="S62" s="70">
        <f>IFERROR(S61/S60,"")</f>
        <v/>
      </c>
      <c r="T62" s="70">
        <f>IFERROR(T61/T60,"")</f>
        <v/>
      </c>
      <c r="U62" s="70">
        <f>IFERROR(U61/U60,"")</f>
        <v/>
      </c>
      <c r="V62" s="70">
        <f>IFERROR(V61/V60,"")</f>
        <v/>
      </c>
      <c r="W62" s="70">
        <f>IFERROR(W61/W60,"")</f>
        <v/>
      </c>
      <c r="X62" s="70">
        <f>IFERROR(X61/X60,"")</f>
        <v/>
      </c>
      <c r="Y62" s="70">
        <f>IFERROR(Y61/Y60,"")</f>
        <v/>
      </c>
      <c r="Z62" s="70">
        <f>IFERROR(Z61/Z60,"")</f>
        <v/>
      </c>
      <c r="AA62" s="70">
        <f>IFERROR(AA61/AA60,"")</f>
        <v/>
      </c>
      <c r="AB62" s="70">
        <f>IFERROR(AB61/AB60,"")</f>
        <v/>
      </c>
      <c r="AC62" s="70">
        <f>IFERROR(AC61/AC60,"")</f>
        <v/>
      </c>
      <c r="AD62" s="70">
        <f>IFERROR(AD61/AD60,"")</f>
        <v/>
      </c>
      <c r="AE62" s="70">
        <f>IFERROR(AE61/AE60,"")</f>
        <v/>
      </c>
      <c r="AF62" s="70">
        <f>IFERROR(AF61/AF60,"")</f>
        <v/>
      </c>
      <c r="AG62" s="70">
        <f>IFERROR(AG61/AG60,"")</f>
        <v/>
      </c>
      <c r="AH62" s="70">
        <f>IFERROR(AH61/AH60,"")</f>
        <v/>
      </c>
      <c r="AI62" s="70">
        <f>IFERROR(AI61/AI60,"")</f>
        <v/>
      </c>
      <c r="AJ62" s="70">
        <f>IFERROR(AJ61/AJ60,"")</f>
        <v/>
      </c>
      <c r="AK62" s="70">
        <f>IFERROR(AK61/AK60,"")</f>
        <v/>
      </c>
      <c r="AL62" s="70">
        <f>IFERROR(AL61/AL60,"")</f>
        <v/>
      </c>
      <c r="AM62" s="70">
        <f>IFERROR(AM61/AM60,"")</f>
        <v/>
      </c>
      <c r="AN62" s="70">
        <f>IFERROR(AN61/AN60,"")</f>
        <v/>
      </c>
      <c r="AO62" s="70">
        <f>IFERROR(AO61/AO60,"")</f>
        <v/>
      </c>
      <c r="AP62" s="70">
        <f>IFERROR(AP61/AP60,"")</f>
        <v/>
      </c>
      <c r="AQ62" s="70">
        <f>IFERROR(AQ61/AQ60,"")</f>
        <v/>
      </c>
      <c r="AR62" s="70">
        <f>IFERROR(AR61/AR60,"")</f>
        <v/>
      </c>
      <c r="AS62" s="70">
        <f>IFERROR(AS61/AS60,"")</f>
        <v/>
      </c>
      <c r="AT62" s="70">
        <f>IFERROR(AT61/AT60,"")</f>
        <v/>
      </c>
      <c r="AU62" s="70">
        <f>IFERROR(AU61/AU60,"")</f>
        <v/>
      </c>
      <c r="AV62" s="70">
        <f>IFERROR(AV61/AV60,"")</f>
        <v/>
      </c>
      <c r="AW62" s="70">
        <f>IFERROR(AW61/AW60,"")</f>
        <v/>
      </c>
      <c r="AX62" s="70">
        <f>IFERROR(AX61/AX60,"")</f>
        <v/>
      </c>
      <c r="AY62" s="70">
        <f>IFERROR(AY61/AY60,"")</f>
        <v/>
      </c>
      <c r="AZ62" s="70">
        <f>IFERROR(AZ61/AZ60,"")</f>
        <v/>
      </c>
      <c r="BA62" s="70">
        <f>IFERROR(BA61/BA60,"")</f>
        <v/>
      </c>
      <c r="BB62" s="70">
        <f>IFERROR(BB61/BB60,"")</f>
        <v/>
      </c>
      <c r="BC62" s="70">
        <f>IFERROR(BC61/BC60,"")</f>
        <v/>
      </c>
      <c r="BD62" s="70">
        <f>IFERROR(BD61/BD60,"")</f>
        <v/>
      </c>
      <c r="BE62" s="70">
        <f>IFERROR(BE61/BE60,"")</f>
        <v/>
      </c>
      <c r="BF62" s="70">
        <f>IFERROR(BF61/BF60,"")</f>
        <v/>
      </c>
      <c r="BG62" s="70">
        <f>IFERROR(BG61/BG60,"")</f>
        <v/>
      </c>
      <c r="BH62" s="70">
        <f>IFERROR(BH61/BH60,"")</f>
        <v/>
      </c>
      <c r="BI62" s="70">
        <f>IFERROR(BI61/BI60,"")</f>
        <v/>
      </c>
      <c r="BJ62" s="70">
        <f>IFERROR(BJ61/BJ60,"")</f>
        <v/>
      </c>
      <c r="BK62" s="70">
        <f>IFERROR(BK61/BK60,"")</f>
        <v/>
      </c>
      <c r="BL62" s="70">
        <f>IFERROR(BL61/BL60,"")</f>
        <v/>
      </c>
      <c r="BM62" s="70">
        <f>IFERROR(BM61/BM60,"")</f>
        <v/>
      </c>
      <c r="BN62" s="70">
        <f>IFERROR(BN61/BN60,"")</f>
        <v/>
      </c>
      <c r="BO62" s="70">
        <f>IFERROR(BO61/BO60,"")</f>
        <v/>
      </c>
    </row>
    <row r="63">
      <c r="A63" s="66" t="n"/>
      <c r="B63" s="66" t="n"/>
      <c r="C63" s="73" t="inlineStr">
        <is>
          <t>K5</t>
        </is>
      </c>
      <c r="D63" s="41" t="inlineStr">
        <is>
          <t>Spec-in Design (submitted design)</t>
        </is>
      </c>
      <c r="E63" s="74" t="inlineStr">
        <is>
          <t>Designs</t>
        </is>
      </c>
      <c r="F63" s="75" t="inlineStr">
        <is>
          <t>Phasing</t>
        </is>
      </c>
      <c r="G63" s="56">
        <f>SUM(H63:BO63)</f>
        <v/>
      </c>
      <c r="H63" s="52" t="n">
        <v>1</v>
      </c>
      <c r="I63" s="52" t="n">
        <v>1</v>
      </c>
      <c r="J63" s="52" t="n">
        <v>1</v>
      </c>
      <c r="K63" s="52" t="n">
        <v>3</v>
      </c>
      <c r="L63" s="52" t="n"/>
      <c r="M63" s="52" t="n">
        <v>1</v>
      </c>
      <c r="N63" s="52" t="n">
        <v>1</v>
      </c>
      <c r="O63" s="52" t="n">
        <v>1</v>
      </c>
      <c r="P63" s="52" t="n">
        <v>1</v>
      </c>
      <c r="Q63" s="52" t="n"/>
      <c r="R63" s="52" t="n">
        <v>1</v>
      </c>
      <c r="S63" s="52" t="n">
        <v>1</v>
      </c>
      <c r="T63" s="52" t="n">
        <v>1</v>
      </c>
      <c r="U63" s="52" t="n">
        <v>3</v>
      </c>
      <c r="V63" s="52" t="n"/>
      <c r="W63" s="52" t="n">
        <v>1</v>
      </c>
      <c r="X63" s="52" t="n">
        <v>1</v>
      </c>
      <c r="Y63" s="52" t="n">
        <v>1</v>
      </c>
      <c r="Z63" s="52" t="n">
        <v>4</v>
      </c>
      <c r="AA63" s="52" t="n"/>
      <c r="AB63" s="52" t="n">
        <v>1</v>
      </c>
      <c r="AC63" s="52" t="n">
        <v>1</v>
      </c>
      <c r="AD63" s="52" t="n">
        <v>1</v>
      </c>
      <c r="AE63" s="52" t="n">
        <v>4</v>
      </c>
      <c r="AF63" s="52" t="n"/>
      <c r="AG63" s="52" t="n">
        <v>1</v>
      </c>
      <c r="AH63" s="52" t="n">
        <v>1</v>
      </c>
      <c r="AI63" s="52" t="n">
        <v>1</v>
      </c>
      <c r="AJ63" s="52" t="n">
        <v>4</v>
      </c>
      <c r="AK63" s="52" t="n"/>
      <c r="AL63" s="52" t="n">
        <v>1</v>
      </c>
      <c r="AM63" s="52" t="n">
        <v>1</v>
      </c>
      <c r="AN63" s="52" t="n">
        <v>1</v>
      </c>
      <c r="AO63" s="52" t="n">
        <v>4</v>
      </c>
      <c r="AP63" s="52" t="n"/>
      <c r="AQ63" s="52" t="n">
        <v>1</v>
      </c>
      <c r="AR63" s="52" t="n">
        <v>1</v>
      </c>
      <c r="AS63" s="52" t="n">
        <v>1</v>
      </c>
      <c r="AT63" s="52" t="n">
        <v>4</v>
      </c>
      <c r="AU63" s="52" t="n"/>
      <c r="AV63" s="52" t="n">
        <v>1</v>
      </c>
      <c r="AW63" s="52" t="n">
        <v>1</v>
      </c>
      <c r="AX63" s="52" t="n">
        <v>1</v>
      </c>
      <c r="AY63" s="52" t="n">
        <v>4</v>
      </c>
      <c r="AZ63" s="52" t="n"/>
      <c r="BA63" s="52" t="n">
        <v>2</v>
      </c>
      <c r="BB63" s="52" t="n">
        <v>2</v>
      </c>
      <c r="BC63" s="52" t="n">
        <v>2</v>
      </c>
      <c r="BD63" s="52" t="n">
        <v>2</v>
      </c>
      <c r="BE63" s="52" t="n"/>
      <c r="BF63" s="52" t="n">
        <v>2</v>
      </c>
      <c r="BG63" s="52" t="n">
        <v>2</v>
      </c>
      <c r="BH63" s="52" t="n">
        <v>2</v>
      </c>
      <c r="BI63" s="52" t="n">
        <v>2</v>
      </c>
      <c r="BJ63" s="52" t="n"/>
      <c r="BK63" s="52" t="n">
        <v>2</v>
      </c>
      <c r="BL63" s="52" t="n">
        <v>2</v>
      </c>
      <c r="BM63" s="52" t="n">
        <v>2</v>
      </c>
      <c r="BN63" s="52" t="n">
        <v>2</v>
      </c>
      <c r="BO63" s="52" t="n"/>
    </row>
    <row r="64">
      <c r="A64" s="66" t="n"/>
      <c r="B64" s="66" t="n"/>
      <c r="C64" s="66" t="n"/>
      <c r="D64" s="66" t="n"/>
      <c r="E64" s="66" t="n"/>
      <c r="F64" s="75" t="inlineStr">
        <is>
          <t>Actual</t>
        </is>
      </c>
      <c r="G64" s="56">
        <f>SUM(H64:BO64)</f>
        <v/>
      </c>
      <c r="H64" s="52" t="n">
        <v>1</v>
      </c>
      <c r="I64" s="52" t="n">
        <v>1</v>
      </c>
      <c r="J64" s="52" t="n">
        <v>1</v>
      </c>
      <c r="K64" s="52" t="n">
        <v>3</v>
      </c>
      <c r="L64" s="52" t="n"/>
      <c r="M64" s="52" t="n">
        <v>1</v>
      </c>
      <c r="N64" s="52" t="n">
        <v>1</v>
      </c>
      <c r="O64" s="52" t="n">
        <v>1</v>
      </c>
      <c r="P64" s="52" t="n">
        <v>1</v>
      </c>
      <c r="Q64" s="52" t="n"/>
      <c r="R64" s="52" t="n">
        <v>1</v>
      </c>
      <c r="S64" s="52" t="n">
        <v>1</v>
      </c>
      <c r="T64" s="52" t="n">
        <v>1</v>
      </c>
      <c r="U64" s="52" t="n">
        <v>3</v>
      </c>
      <c r="V64" s="52" t="n"/>
      <c r="W64" s="52" t="n">
        <v>1</v>
      </c>
      <c r="X64" s="52" t="n">
        <v>1</v>
      </c>
      <c r="Y64" s="52" t="n">
        <v>1</v>
      </c>
      <c r="Z64" s="52" t="n">
        <v>4</v>
      </c>
      <c r="AA64" s="52" t="n"/>
      <c r="AB64" s="52" t="n">
        <v>1</v>
      </c>
      <c r="AC64" s="52" t="n">
        <v>1</v>
      </c>
      <c r="AD64" s="52" t="n">
        <v>1</v>
      </c>
      <c r="AE64" s="52" t="n">
        <v>4</v>
      </c>
      <c r="AF64" s="52" t="n"/>
      <c r="AG64" s="52" t="n">
        <v>1</v>
      </c>
      <c r="AH64" s="52" t="n">
        <v>1</v>
      </c>
      <c r="AI64" s="52" t="n">
        <v>1</v>
      </c>
      <c r="AJ64" s="52" t="n">
        <v>4</v>
      </c>
      <c r="AK64" s="52" t="n"/>
      <c r="AL64" s="52" t="n">
        <v>1</v>
      </c>
      <c r="AM64" s="52" t="n">
        <v>1</v>
      </c>
      <c r="AN64" s="52" t="n">
        <v>1</v>
      </c>
      <c r="AO64" s="52" t="n">
        <v>4</v>
      </c>
      <c r="AP64" s="52" t="n"/>
      <c r="AQ64" s="52" t="n">
        <v>1</v>
      </c>
      <c r="AR64" s="52" t="n">
        <v>1</v>
      </c>
      <c r="AS64" s="52" t="n">
        <v>1</v>
      </c>
      <c r="AT64" s="52" t="n">
        <v>4</v>
      </c>
      <c r="AU64" s="52" t="n"/>
      <c r="AV64" s="52" t="n">
        <v>1</v>
      </c>
      <c r="AW64" s="52" t="n">
        <v>1</v>
      </c>
      <c r="AX64" s="52" t="n">
        <v>1</v>
      </c>
      <c r="AY64" s="52" t="n">
        <v>4</v>
      </c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2" t="n"/>
      <c r="BK64" s="52" t="n"/>
      <c r="BL64" s="52" t="n"/>
      <c r="BM64" s="52" t="n"/>
      <c r="BN64" s="52" t="n"/>
      <c r="BO64" s="52" t="n"/>
    </row>
    <row r="65">
      <c r="A65" s="67" t="n"/>
      <c r="B65" s="67" t="n"/>
      <c r="C65" s="67" t="n"/>
      <c r="D65" s="67" t="n"/>
      <c r="E65" s="67" t="n"/>
      <c r="F65" s="68" t="inlineStr">
        <is>
          <t>% Achieved</t>
        </is>
      </c>
      <c r="G65" s="69">
        <f>IFERROR(G64/G63,"")</f>
        <v/>
      </c>
      <c r="H65" s="70">
        <f>IFERROR(H64/H63,"")</f>
        <v/>
      </c>
      <c r="I65" s="70">
        <f>IFERROR(I64/I63,"")</f>
        <v/>
      </c>
      <c r="J65" s="70">
        <f>IFERROR(J64/J63,"")</f>
        <v/>
      </c>
      <c r="K65" s="70">
        <f>IFERROR(K64/K63,"")</f>
        <v/>
      </c>
      <c r="L65" s="70">
        <f>IFERROR(L64/L63,"")</f>
        <v/>
      </c>
      <c r="M65" s="70">
        <f>IFERROR(M64/M63,"")</f>
        <v/>
      </c>
      <c r="N65" s="70">
        <f>IFERROR(N64/N63,"")</f>
        <v/>
      </c>
      <c r="O65" s="70">
        <f>IFERROR(O64/O63,"")</f>
        <v/>
      </c>
      <c r="P65" s="70">
        <f>IFERROR(P64/P63,"")</f>
        <v/>
      </c>
      <c r="Q65" s="70">
        <f>IFERROR(Q64/Q63,"")</f>
        <v/>
      </c>
      <c r="R65" s="70">
        <f>IFERROR(R64/R63,"")</f>
        <v/>
      </c>
      <c r="S65" s="70">
        <f>IFERROR(S64/S63,"")</f>
        <v/>
      </c>
      <c r="T65" s="70">
        <f>IFERROR(T64/T63,"")</f>
        <v/>
      </c>
      <c r="U65" s="70">
        <f>IFERROR(U64/U63,"")</f>
        <v/>
      </c>
      <c r="V65" s="70">
        <f>IFERROR(V64/V63,"")</f>
        <v/>
      </c>
      <c r="W65" s="70">
        <f>IFERROR(W64/W63,"")</f>
        <v/>
      </c>
      <c r="X65" s="70">
        <f>IFERROR(X64/X63,"")</f>
        <v/>
      </c>
      <c r="Y65" s="70">
        <f>IFERROR(Y64/Y63,"")</f>
        <v/>
      </c>
      <c r="Z65" s="70">
        <f>IFERROR(Z64/Z63,"")</f>
        <v/>
      </c>
      <c r="AA65" s="70">
        <f>IFERROR(AA64/AA63,"")</f>
        <v/>
      </c>
      <c r="AB65" s="70">
        <f>IFERROR(AB64/AB63,"")</f>
        <v/>
      </c>
      <c r="AC65" s="70">
        <f>IFERROR(AC64/AC63,"")</f>
        <v/>
      </c>
      <c r="AD65" s="70">
        <f>IFERROR(AD64/AD63,"")</f>
        <v/>
      </c>
      <c r="AE65" s="70">
        <f>IFERROR(AE64/AE63,"")</f>
        <v/>
      </c>
      <c r="AF65" s="70">
        <f>IFERROR(AF64/AF63,"")</f>
        <v/>
      </c>
      <c r="AG65" s="70">
        <f>IFERROR(AG64/AG63,"")</f>
        <v/>
      </c>
      <c r="AH65" s="70">
        <f>IFERROR(AH64/AH63,"")</f>
        <v/>
      </c>
      <c r="AI65" s="70">
        <f>IFERROR(AI64/AI63,"")</f>
        <v/>
      </c>
      <c r="AJ65" s="70">
        <f>IFERROR(AJ64/AJ63,"")</f>
        <v/>
      </c>
      <c r="AK65" s="70">
        <f>IFERROR(AK64/AK63,"")</f>
        <v/>
      </c>
      <c r="AL65" s="70">
        <f>IFERROR(AL64/AL63,"")</f>
        <v/>
      </c>
      <c r="AM65" s="70">
        <f>IFERROR(AM64/AM63,"")</f>
        <v/>
      </c>
      <c r="AN65" s="70">
        <f>IFERROR(AN64/AN63,"")</f>
        <v/>
      </c>
      <c r="AO65" s="70">
        <f>IFERROR(AO64/AO63,"")</f>
        <v/>
      </c>
      <c r="AP65" s="70">
        <f>IFERROR(AP64/AP63,"")</f>
        <v/>
      </c>
      <c r="AQ65" s="70">
        <f>IFERROR(AQ64/AQ63,"")</f>
        <v/>
      </c>
      <c r="AR65" s="70">
        <f>IFERROR(AR64/AR63,"")</f>
        <v/>
      </c>
      <c r="AS65" s="70">
        <f>IFERROR(AS64/AS63,"")</f>
        <v/>
      </c>
      <c r="AT65" s="70">
        <f>IFERROR(AT64/AT63,"")</f>
        <v/>
      </c>
      <c r="AU65" s="70">
        <f>IFERROR(AU64/AU63,"")</f>
        <v/>
      </c>
      <c r="AV65" s="70">
        <f>IFERROR(AV64/AV63,"")</f>
        <v/>
      </c>
      <c r="AW65" s="70">
        <f>IFERROR(AW64/AW63,"")</f>
        <v/>
      </c>
      <c r="AX65" s="70">
        <f>IFERROR(AX64/AX63,"")</f>
        <v/>
      </c>
      <c r="AY65" s="70">
        <f>IFERROR(AY64/AY63,"")</f>
        <v/>
      </c>
      <c r="AZ65" s="70">
        <f>IFERROR(AZ64/AZ63,"")</f>
        <v/>
      </c>
      <c r="BA65" s="70">
        <f>IFERROR(BA64/BA63,"")</f>
        <v/>
      </c>
      <c r="BB65" s="70">
        <f>IFERROR(BB64/BB63,"")</f>
        <v/>
      </c>
      <c r="BC65" s="70">
        <f>IFERROR(BC64/BC63,"")</f>
        <v/>
      </c>
      <c r="BD65" s="70">
        <f>IFERROR(BD64/BD63,"")</f>
        <v/>
      </c>
      <c r="BE65" s="70">
        <f>IFERROR(BE64/BE63,"")</f>
        <v/>
      </c>
      <c r="BF65" s="70">
        <f>IFERROR(BF64/BF63,"")</f>
        <v/>
      </c>
      <c r="BG65" s="70">
        <f>IFERROR(BG64/BG63,"")</f>
        <v/>
      </c>
      <c r="BH65" s="70">
        <f>IFERROR(BH64/BH63,"")</f>
        <v/>
      </c>
      <c r="BI65" s="70">
        <f>IFERROR(BI64/BI63,"")</f>
        <v/>
      </c>
      <c r="BJ65" s="70">
        <f>IFERROR(BJ64/BJ63,"")</f>
        <v/>
      </c>
      <c r="BK65" s="70">
        <f>IFERROR(BK64/BK63,"")</f>
        <v/>
      </c>
      <c r="BL65" s="70">
        <f>IFERROR(BL64/BL63,"")</f>
        <v/>
      </c>
      <c r="BM65" s="70">
        <f>IFERROR(BM64/BM63,"")</f>
        <v/>
      </c>
      <c r="BN65" s="70">
        <f>IFERROR(BN64/BN63,"")</f>
        <v/>
      </c>
      <c r="BO65" s="70">
        <f>IFERROR(BO64/BO63,"")</f>
        <v/>
      </c>
    </row>
    <row r="66">
      <c r="A66" s="61">
        <f>IFERROR(INDEX(Team_Master!$C$6:$C$20,5),"")</f>
        <v/>
      </c>
      <c r="B66" s="62">
        <f>IFERROR(INDEX(Team_Master!$G$6:$G$20,5),"")</f>
        <v/>
      </c>
      <c r="C66" s="63" t="inlineStr">
        <is>
          <t>K1</t>
        </is>
      </c>
      <c r="D66" s="11" t="inlineStr">
        <is>
          <t>Invoiced Value</t>
        </is>
      </c>
      <c r="E66" s="64" t="inlineStr">
        <is>
          <t>MVND</t>
        </is>
      </c>
      <c r="F66" s="65" t="inlineStr">
        <is>
          <t>Phasing</t>
        </is>
      </c>
      <c r="G66" s="56">
        <f>SUM(H66:BO66)</f>
        <v/>
      </c>
      <c r="H66" s="52" t="n">
        <v>152</v>
      </c>
      <c r="I66" s="52" t="n">
        <v>152</v>
      </c>
      <c r="J66" s="52" t="n">
        <v>152</v>
      </c>
      <c r="K66" s="52" t="n">
        <v>153</v>
      </c>
      <c r="L66" s="52" t="n"/>
      <c r="M66" s="52" t="n">
        <v>111</v>
      </c>
      <c r="N66" s="52" t="n">
        <v>111</v>
      </c>
      <c r="O66" s="52" t="n">
        <v>111</v>
      </c>
      <c r="P66" s="52" t="n">
        <v>111</v>
      </c>
      <c r="Q66" s="52" t="n"/>
      <c r="R66" s="52" t="n">
        <v>170</v>
      </c>
      <c r="S66" s="52" t="n">
        <v>170</v>
      </c>
      <c r="T66" s="52" t="n">
        <v>170</v>
      </c>
      <c r="U66" s="52" t="n">
        <v>171</v>
      </c>
      <c r="V66" s="52" t="n"/>
      <c r="W66" s="52" t="n">
        <v>179</v>
      </c>
      <c r="X66" s="52" t="n">
        <v>179</v>
      </c>
      <c r="Y66" s="52" t="n">
        <v>179</v>
      </c>
      <c r="Z66" s="52" t="n">
        <v>180</v>
      </c>
      <c r="AA66" s="52" t="n"/>
      <c r="AB66" s="52" t="n">
        <v>182</v>
      </c>
      <c r="AC66" s="52" t="n">
        <v>182</v>
      </c>
      <c r="AD66" s="52" t="n">
        <v>182</v>
      </c>
      <c r="AE66" s="52" t="n">
        <v>185</v>
      </c>
      <c r="AF66" s="52" t="n"/>
      <c r="AG66" s="52" t="n">
        <v>188</v>
      </c>
      <c r="AH66" s="52" t="n">
        <v>188</v>
      </c>
      <c r="AI66" s="52" t="n">
        <v>188</v>
      </c>
      <c r="AJ66" s="52" t="n">
        <v>188</v>
      </c>
      <c r="AK66" s="52" t="n"/>
      <c r="AL66" s="52" t="n">
        <v>179</v>
      </c>
      <c r="AM66" s="52" t="n">
        <v>179</v>
      </c>
      <c r="AN66" s="52" t="n">
        <v>179</v>
      </c>
      <c r="AO66" s="52" t="n">
        <v>180</v>
      </c>
      <c r="AP66" s="52" t="n"/>
      <c r="AQ66" s="52" t="n">
        <v>184</v>
      </c>
      <c r="AR66" s="52" t="n">
        <v>184</v>
      </c>
      <c r="AS66" s="52" t="n">
        <v>184</v>
      </c>
      <c r="AT66" s="52" t="n">
        <v>186</v>
      </c>
      <c r="AU66" s="52" t="n"/>
      <c r="AV66" s="52" t="n">
        <v>193</v>
      </c>
      <c r="AW66" s="52" t="n">
        <v>193</v>
      </c>
      <c r="AX66" s="52" t="n">
        <v>193</v>
      </c>
      <c r="AY66" s="52" t="n">
        <v>195</v>
      </c>
      <c r="AZ66" s="52" t="n"/>
      <c r="BA66" s="52" t="n">
        <v>200</v>
      </c>
      <c r="BB66" s="52" t="n">
        <v>200</v>
      </c>
      <c r="BC66" s="52" t="n">
        <v>200</v>
      </c>
      <c r="BD66" s="52" t="n">
        <v>203</v>
      </c>
      <c r="BE66" s="52" t="n"/>
      <c r="BF66" s="52" t="n">
        <v>206</v>
      </c>
      <c r="BG66" s="52" t="n">
        <v>206</v>
      </c>
      <c r="BH66" s="52" t="n">
        <v>206</v>
      </c>
      <c r="BI66" s="52" t="n">
        <v>206</v>
      </c>
      <c r="BJ66" s="52" t="n"/>
      <c r="BK66" s="52" t="n">
        <v>202</v>
      </c>
      <c r="BL66" s="52" t="n">
        <v>202</v>
      </c>
      <c r="BM66" s="52" t="n">
        <v>202</v>
      </c>
      <c r="BN66" s="52" t="n">
        <v>204</v>
      </c>
      <c r="BO66" s="52" t="n"/>
    </row>
    <row r="67">
      <c r="A67" s="66" t="n"/>
      <c r="B67" s="66" t="n"/>
      <c r="C67" s="66" t="n"/>
      <c r="D67" s="66" t="n"/>
      <c r="E67" s="66" t="n"/>
      <c r="F67" s="65" t="inlineStr">
        <is>
          <t>Actual</t>
        </is>
      </c>
      <c r="G67" s="56">
        <f>SUM(H67:BO67)</f>
        <v/>
      </c>
      <c r="H67" s="52" t="n">
        <v>152</v>
      </c>
      <c r="I67" s="52" t="n">
        <v>165</v>
      </c>
      <c r="J67" s="52" t="n">
        <v>145</v>
      </c>
      <c r="K67" s="52" t="n">
        <v>143</v>
      </c>
      <c r="L67" s="52" t="n"/>
      <c r="M67" s="52" t="n">
        <v>128</v>
      </c>
      <c r="N67" s="52" t="n">
        <v>117</v>
      </c>
      <c r="O67" s="52" t="n">
        <v>110</v>
      </c>
      <c r="P67" s="52" t="n">
        <v>111</v>
      </c>
      <c r="Q67" s="52" t="n"/>
      <c r="R67" s="52" t="n">
        <v>182</v>
      </c>
      <c r="S67" s="52" t="n">
        <v>181</v>
      </c>
      <c r="T67" s="52" t="n">
        <v>193</v>
      </c>
      <c r="U67" s="52" t="n">
        <v>164</v>
      </c>
      <c r="V67" s="52" t="n"/>
      <c r="W67" s="52" t="n">
        <v>198</v>
      </c>
      <c r="X67" s="52" t="n">
        <v>188</v>
      </c>
      <c r="Y67" s="52" t="n">
        <v>200</v>
      </c>
      <c r="Z67" s="52" t="n">
        <v>198</v>
      </c>
      <c r="AA67" s="52" t="n"/>
      <c r="AB67" s="52" t="n">
        <v>202</v>
      </c>
      <c r="AC67" s="52" t="n">
        <v>205</v>
      </c>
      <c r="AD67" s="52" t="n">
        <v>210</v>
      </c>
      <c r="AE67" s="52" t="n">
        <v>192</v>
      </c>
      <c r="AF67" s="52" t="n"/>
      <c r="AG67" s="52" t="n">
        <v>188</v>
      </c>
      <c r="AH67" s="52" t="n">
        <v>200</v>
      </c>
      <c r="AI67" s="52" t="n">
        <v>206</v>
      </c>
      <c r="AJ67" s="52" t="n">
        <v>181</v>
      </c>
      <c r="AK67" s="52" t="n"/>
      <c r="AL67" s="52" t="n">
        <v>172</v>
      </c>
      <c r="AM67" s="52" t="n">
        <v>155</v>
      </c>
      <c r="AN67" s="52" t="n">
        <v>193</v>
      </c>
      <c r="AO67" s="52" t="n">
        <v>210</v>
      </c>
      <c r="AP67" s="52" t="n"/>
      <c r="AQ67" s="52" t="n">
        <v>174</v>
      </c>
      <c r="AR67" s="52" t="n">
        <v>160</v>
      </c>
      <c r="AS67" s="52" t="n">
        <v>163</v>
      </c>
      <c r="AT67" s="52" t="n">
        <v>179</v>
      </c>
      <c r="AU67" s="52" t="n"/>
      <c r="AV67" s="52" t="n">
        <v>177</v>
      </c>
      <c r="AW67" s="52" t="n">
        <v>223</v>
      </c>
      <c r="AX67" s="52" t="n">
        <v>161</v>
      </c>
      <c r="AY67" s="52" t="n">
        <v>180</v>
      </c>
      <c r="AZ67" s="52" t="n"/>
      <c r="BA67" s="52" t="n"/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2" t="n"/>
      <c r="BO67" s="52" t="n"/>
    </row>
    <row r="68">
      <c r="A68" s="66" t="n"/>
      <c r="B68" s="66" t="n"/>
      <c r="C68" s="67" t="n"/>
      <c r="D68" s="67" t="n"/>
      <c r="E68" s="67" t="n"/>
      <c r="F68" s="68" t="inlineStr">
        <is>
          <t>% Achieved</t>
        </is>
      </c>
      <c r="G68" s="69">
        <f>IFERROR(G67/G66,"")</f>
        <v/>
      </c>
      <c r="H68" s="70">
        <f>IFERROR(H67/H66,"")</f>
        <v/>
      </c>
      <c r="I68" s="70">
        <f>IFERROR(I67/I66,"")</f>
        <v/>
      </c>
      <c r="J68" s="70">
        <f>IFERROR(J67/J66,"")</f>
        <v/>
      </c>
      <c r="K68" s="70">
        <f>IFERROR(K67/K66,"")</f>
        <v/>
      </c>
      <c r="L68" s="70">
        <f>IFERROR(L67/L66,"")</f>
        <v/>
      </c>
      <c r="M68" s="70">
        <f>IFERROR(M67/M66,"")</f>
        <v/>
      </c>
      <c r="N68" s="70">
        <f>IFERROR(N67/N66,"")</f>
        <v/>
      </c>
      <c r="O68" s="70">
        <f>IFERROR(O67/O66,"")</f>
        <v/>
      </c>
      <c r="P68" s="70">
        <f>IFERROR(P67/P66,"")</f>
        <v/>
      </c>
      <c r="Q68" s="70">
        <f>IFERROR(Q67/Q66,"")</f>
        <v/>
      </c>
      <c r="R68" s="70">
        <f>IFERROR(R67/R66,"")</f>
        <v/>
      </c>
      <c r="S68" s="70">
        <f>IFERROR(S67/S66,"")</f>
        <v/>
      </c>
      <c r="T68" s="70">
        <f>IFERROR(T67/T66,"")</f>
        <v/>
      </c>
      <c r="U68" s="70">
        <f>IFERROR(U67/U66,"")</f>
        <v/>
      </c>
      <c r="V68" s="70">
        <f>IFERROR(V67/V66,"")</f>
        <v/>
      </c>
      <c r="W68" s="70">
        <f>IFERROR(W67/W66,"")</f>
        <v/>
      </c>
      <c r="X68" s="70">
        <f>IFERROR(X67/X66,"")</f>
        <v/>
      </c>
      <c r="Y68" s="70">
        <f>IFERROR(Y67/Y66,"")</f>
        <v/>
      </c>
      <c r="Z68" s="70">
        <f>IFERROR(Z67/Z66,"")</f>
        <v/>
      </c>
      <c r="AA68" s="70">
        <f>IFERROR(AA67/AA66,"")</f>
        <v/>
      </c>
      <c r="AB68" s="70">
        <f>IFERROR(AB67/AB66,"")</f>
        <v/>
      </c>
      <c r="AC68" s="70">
        <f>IFERROR(AC67/AC66,"")</f>
        <v/>
      </c>
      <c r="AD68" s="70">
        <f>IFERROR(AD67/AD66,"")</f>
        <v/>
      </c>
      <c r="AE68" s="70">
        <f>IFERROR(AE67/AE66,"")</f>
        <v/>
      </c>
      <c r="AF68" s="70">
        <f>IFERROR(AF67/AF66,"")</f>
        <v/>
      </c>
      <c r="AG68" s="70">
        <f>IFERROR(AG67/AG66,"")</f>
        <v/>
      </c>
      <c r="AH68" s="70">
        <f>IFERROR(AH67/AH66,"")</f>
        <v/>
      </c>
      <c r="AI68" s="70">
        <f>IFERROR(AI67/AI66,"")</f>
        <v/>
      </c>
      <c r="AJ68" s="70">
        <f>IFERROR(AJ67/AJ66,"")</f>
        <v/>
      </c>
      <c r="AK68" s="70">
        <f>IFERROR(AK67/AK66,"")</f>
        <v/>
      </c>
      <c r="AL68" s="70">
        <f>IFERROR(AL67/AL66,"")</f>
        <v/>
      </c>
      <c r="AM68" s="70">
        <f>IFERROR(AM67/AM66,"")</f>
        <v/>
      </c>
      <c r="AN68" s="70">
        <f>IFERROR(AN67/AN66,"")</f>
        <v/>
      </c>
      <c r="AO68" s="70">
        <f>IFERROR(AO67/AO66,"")</f>
        <v/>
      </c>
      <c r="AP68" s="70">
        <f>IFERROR(AP67/AP66,"")</f>
        <v/>
      </c>
      <c r="AQ68" s="70">
        <f>IFERROR(AQ67/AQ66,"")</f>
        <v/>
      </c>
      <c r="AR68" s="70">
        <f>IFERROR(AR67/AR66,"")</f>
        <v/>
      </c>
      <c r="AS68" s="70">
        <f>IFERROR(AS67/AS66,"")</f>
        <v/>
      </c>
      <c r="AT68" s="70">
        <f>IFERROR(AT67/AT66,"")</f>
        <v/>
      </c>
      <c r="AU68" s="70">
        <f>IFERROR(AU67/AU66,"")</f>
        <v/>
      </c>
      <c r="AV68" s="70">
        <f>IFERROR(AV67/AV66,"")</f>
        <v/>
      </c>
      <c r="AW68" s="70">
        <f>IFERROR(AW67/AW66,"")</f>
        <v/>
      </c>
      <c r="AX68" s="70">
        <f>IFERROR(AX67/AX66,"")</f>
        <v/>
      </c>
      <c r="AY68" s="70">
        <f>IFERROR(AY67/AY66,"")</f>
        <v/>
      </c>
      <c r="AZ68" s="70">
        <f>IFERROR(AZ67/AZ66,"")</f>
        <v/>
      </c>
      <c r="BA68" s="70">
        <f>IFERROR(BA67/BA66,"")</f>
        <v/>
      </c>
      <c r="BB68" s="70">
        <f>IFERROR(BB67/BB66,"")</f>
        <v/>
      </c>
      <c r="BC68" s="70">
        <f>IFERROR(BC67/BC66,"")</f>
        <v/>
      </c>
      <c r="BD68" s="70">
        <f>IFERROR(BD67/BD66,"")</f>
        <v/>
      </c>
      <c r="BE68" s="70">
        <f>IFERROR(BE67/BE66,"")</f>
        <v/>
      </c>
      <c r="BF68" s="70">
        <f>IFERROR(BF67/BF66,"")</f>
        <v/>
      </c>
      <c r="BG68" s="70">
        <f>IFERROR(BG67/BG66,"")</f>
        <v/>
      </c>
      <c r="BH68" s="70">
        <f>IFERROR(BH67/BH66,"")</f>
        <v/>
      </c>
      <c r="BI68" s="70">
        <f>IFERROR(BI67/BI66,"")</f>
        <v/>
      </c>
      <c r="BJ68" s="70">
        <f>IFERROR(BJ67/BJ66,"")</f>
        <v/>
      </c>
      <c r="BK68" s="70">
        <f>IFERROR(BK67/BK66,"")</f>
        <v/>
      </c>
      <c r="BL68" s="70">
        <f>IFERROR(BL67/BL66,"")</f>
        <v/>
      </c>
      <c r="BM68" s="70">
        <f>IFERROR(BM67/BM66,"")</f>
        <v/>
      </c>
      <c r="BN68" s="70">
        <f>IFERROR(BN67/BN66,"")</f>
        <v/>
      </c>
      <c r="BO68" s="70">
        <f>IFERROR(BO67/BO66,"")</f>
        <v/>
      </c>
    </row>
    <row r="69">
      <c r="A69" s="66" t="n"/>
      <c r="B69" s="66" t="n"/>
      <c r="C69" s="63" t="inlineStr">
        <is>
          <t>K2</t>
        </is>
      </c>
      <c r="D69" s="11" t="inlineStr">
        <is>
          <t>Key account approach / Site check</t>
        </is>
      </c>
      <c r="E69" s="64" t="inlineStr">
        <is>
          <t>Roadshow</t>
        </is>
      </c>
      <c r="F69" s="65" t="inlineStr">
        <is>
          <t>Phasing</t>
        </is>
      </c>
      <c r="G69" s="56">
        <f>SUM(H69:BO69)</f>
        <v/>
      </c>
      <c r="H69" s="52" t="n">
        <v>3</v>
      </c>
      <c r="I69" s="52" t="n">
        <v>3</v>
      </c>
      <c r="J69" s="52" t="n">
        <v>3</v>
      </c>
      <c r="K69" s="52" t="n">
        <v>4</v>
      </c>
      <c r="L69" s="52" t="n"/>
      <c r="M69" s="52" t="n">
        <v>2</v>
      </c>
      <c r="N69" s="52" t="n">
        <v>2</v>
      </c>
      <c r="O69" s="52" t="n">
        <v>2</v>
      </c>
      <c r="P69" s="52" t="n">
        <v>4</v>
      </c>
      <c r="Q69" s="52" t="n"/>
      <c r="R69" s="52" t="n">
        <v>3</v>
      </c>
      <c r="S69" s="52" t="n">
        <v>3</v>
      </c>
      <c r="T69" s="52" t="n">
        <v>3</v>
      </c>
      <c r="U69" s="52" t="n">
        <v>6</v>
      </c>
      <c r="V69" s="52" t="n"/>
      <c r="W69" s="52" t="n">
        <v>4</v>
      </c>
      <c r="X69" s="52" t="n">
        <v>4</v>
      </c>
      <c r="Y69" s="52" t="n">
        <v>4</v>
      </c>
      <c r="Z69" s="52" t="n">
        <v>4</v>
      </c>
      <c r="AA69" s="52" t="n"/>
      <c r="AB69" s="52" t="n">
        <v>4</v>
      </c>
      <c r="AC69" s="52" t="n">
        <v>4</v>
      </c>
      <c r="AD69" s="52" t="n">
        <v>4</v>
      </c>
      <c r="AE69" s="52" t="n">
        <v>4</v>
      </c>
      <c r="AF69" s="52" t="n"/>
      <c r="AG69" s="52" t="n">
        <v>4</v>
      </c>
      <c r="AH69" s="52" t="n">
        <v>4</v>
      </c>
      <c r="AI69" s="52" t="n">
        <v>4</v>
      </c>
      <c r="AJ69" s="52" t="n">
        <v>5</v>
      </c>
      <c r="AK69" s="52" t="n"/>
      <c r="AL69" s="52" t="n">
        <v>4</v>
      </c>
      <c r="AM69" s="52" t="n">
        <v>4</v>
      </c>
      <c r="AN69" s="52" t="n">
        <v>4</v>
      </c>
      <c r="AO69" s="52" t="n">
        <v>4</v>
      </c>
      <c r="AP69" s="52" t="n"/>
      <c r="AQ69" s="52" t="n">
        <v>4</v>
      </c>
      <c r="AR69" s="52" t="n">
        <v>4</v>
      </c>
      <c r="AS69" s="52" t="n">
        <v>4</v>
      </c>
      <c r="AT69" s="52" t="n">
        <v>4</v>
      </c>
      <c r="AU69" s="52" t="n"/>
      <c r="AV69" s="52" t="n">
        <v>4</v>
      </c>
      <c r="AW69" s="52" t="n">
        <v>4</v>
      </c>
      <c r="AX69" s="52" t="n">
        <v>4</v>
      </c>
      <c r="AY69" s="52" t="n">
        <v>5</v>
      </c>
      <c r="AZ69" s="52" t="n"/>
      <c r="BA69" s="52" t="n">
        <v>4</v>
      </c>
      <c r="BB69" s="52" t="n">
        <v>4</v>
      </c>
      <c r="BC69" s="52" t="n">
        <v>4</v>
      </c>
      <c r="BD69" s="52" t="n">
        <v>6</v>
      </c>
      <c r="BE69" s="52" t="n"/>
      <c r="BF69" s="52" t="n">
        <v>4</v>
      </c>
      <c r="BG69" s="52" t="n">
        <v>4</v>
      </c>
      <c r="BH69" s="52" t="n">
        <v>4</v>
      </c>
      <c r="BI69" s="52" t="n">
        <v>6</v>
      </c>
      <c r="BJ69" s="52" t="n"/>
      <c r="BK69" s="52" t="n">
        <v>4</v>
      </c>
      <c r="BL69" s="52" t="n">
        <v>4</v>
      </c>
      <c r="BM69" s="52" t="n">
        <v>4</v>
      </c>
      <c r="BN69" s="52" t="n">
        <v>6</v>
      </c>
      <c r="BO69" s="52" t="n"/>
    </row>
    <row r="70">
      <c r="A70" s="66" t="n"/>
      <c r="B70" s="66" t="n"/>
      <c r="C70" s="66" t="n"/>
      <c r="D70" s="66" t="n"/>
      <c r="E70" s="66" t="n"/>
      <c r="F70" s="65" t="inlineStr">
        <is>
          <t>Actual</t>
        </is>
      </c>
      <c r="G70" s="56">
        <f>SUM(H70:BO70)</f>
        <v/>
      </c>
      <c r="H70" s="52" t="n">
        <v>3</v>
      </c>
      <c r="I70" s="52" t="n">
        <v>3</v>
      </c>
      <c r="J70" s="52" t="n">
        <v>3</v>
      </c>
      <c r="K70" s="52" t="n">
        <v>4</v>
      </c>
      <c r="L70" s="52" t="n"/>
      <c r="M70" s="52" t="n">
        <v>2</v>
      </c>
      <c r="N70" s="52" t="n">
        <v>2</v>
      </c>
      <c r="O70" s="52" t="n">
        <v>2</v>
      </c>
      <c r="P70" s="52" t="n">
        <v>5</v>
      </c>
      <c r="Q70" s="52" t="n"/>
      <c r="R70" s="52" t="n">
        <v>2</v>
      </c>
      <c r="S70" s="52" t="n">
        <v>3</v>
      </c>
      <c r="T70" s="52" t="n">
        <v>3</v>
      </c>
      <c r="U70" s="52" t="n">
        <v>5</v>
      </c>
      <c r="V70" s="52" t="n"/>
      <c r="W70" s="52" t="n">
        <v>4</v>
      </c>
      <c r="X70" s="52" t="n">
        <v>4</v>
      </c>
      <c r="Y70" s="52" t="n">
        <v>4</v>
      </c>
      <c r="Z70" s="52" t="n">
        <v>4</v>
      </c>
      <c r="AA70" s="52" t="n"/>
      <c r="AB70" s="52" t="n">
        <v>4</v>
      </c>
      <c r="AC70" s="52" t="n">
        <v>4</v>
      </c>
      <c r="AD70" s="52" t="n">
        <v>3</v>
      </c>
      <c r="AE70" s="52" t="n">
        <v>4</v>
      </c>
      <c r="AF70" s="52" t="n"/>
      <c r="AG70" s="52" t="n">
        <v>4</v>
      </c>
      <c r="AH70" s="52" t="n">
        <v>4</v>
      </c>
      <c r="AI70" s="52" t="n">
        <v>4</v>
      </c>
      <c r="AJ70" s="52" t="n">
        <v>5</v>
      </c>
      <c r="AK70" s="52" t="n"/>
      <c r="AL70" s="52" t="n">
        <v>4</v>
      </c>
      <c r="AM70" s="52" t="n">
        <v>5</v>
      </c>
      <c r="AN70" s="52" t="n">
        <v>5</v>
      </c>
      <c r="AO70" s="52" t="n">
        <v>4</v>
      </c>
      <c r="AP70" s="52" t="n"/>
      <c r="AQ70" s="52" t="n">
        <v>4</v>
      </c>
      <c r="AR70" s="52" t="n">
        <v>5</v>
      </c>
      <c r="AS70" s="52" t="n">
        <v>4</v>
      </c>
      <c r="AT70" s="52" t="n">
        <v>4</v>
      </c>
      <c r="AU70" s="52" t="n"/>
      <c r="AV70" s="52" t="n">
        <v>3</v>
      </c>
      <c r="AW70" s="52" t="n">
        <v>5</v>
      </c>
      <c r="AX70" s="52" t="n">
        <v>4</v>
      </c>
      <c r="AY70" s="52" t="n">
        <v>5</v>
      </c>
      <c r="AZ70" s="52" t="n"/>
      <c r="BA70" s="52" t="n"/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2" t="n"/>
      <c r="BO70" s="52" t="n"/>
    </row>
    <row r="71">
      <c r="A71" s="66" t="n"/>
      <c r="B71" s="66" t="n"/>
      <c r="C71" s="67" t="n"/>
      <c r="D71" s="67" t="n"/>
      <c r="E71" s="67" t="n"/>
      <c r="F71" s="68" t="inlineStr">
        <is>
          <t>% Achieved</t>
        </is>
      </c>
      <c r="G71" s="69">
        <f>IFERROR(G70/G69,"")</f>
        <v/>
      </c>
      <c r="H71" s="70">
        <f>IFERROR(H70/H69,"")</f>
        <v/>
      </c>
      <c r="I71" s="70">
        <f>IFERROR(I70/I69,"")</f>
        <v/>
      </c>
      <c r="J71" s="70">
        <f>IFERROR(J70/J69,"")</f>
        <v/>
      </c>
      <c r="K71" s="70">
        <f>IFERROR(K70/K69,"")</f>
        <v/>
      </c>
      <c r="L71" s="70">
        <f>IFERROR(L70/L69,"")</f>
        <v/>
      </c>
      <c r="M71" s="70">
        <f>IFERROR(M70/M69,"")</f>
        <v/>
      </c>
      <c r="N71" s="70">
        <f>IFERROR(N70/N69,"")</f>
        <v/>
      </c>
      <c r="O71" s="70">
        <f>IFERROR(O70/O69,"")</f>
        <v/>
      </c>
      <c r="P71" s="70">
        <f>IFERROR(P70/P69,"")</f>
        <v/>
      </c>
      <c r="Q71" s="70">
        <f>IFERROR(Q70/Q69,"")</f>
        <v/>
      </c>
      <c r="R71" s="70">
        <f>IFERROR(R70/R69,"")</f>
        <v/>
      </c>
      <c r="S71" s="70">
        <f>IFERROR(S70/S69,"")</f>
        <v/>
      </c>
      <c r="T71" s="70">
        <f>IFERROR(T70/T69,"")</f>
        <v/>
      </c>
      <c r="U71" s="70">
        <f>IFERROR(U70/U69,"")</f>
        <v/>
      </c>
      <c r="V71" s="70">
        <f>IFERROR(V70/V69,"")</f>
        <v/>
      </c>
      <c r="W71" s="70">
        <f>IFERROR(W70/W69,"")</f>
        <v/>
      </c>
      <c r="X71" s="70">
        <f>IFERROR(X70/X69,"")</f>
        <v/>
      </c>
      <c r="Y71" s="70">
        <f>IFERROR(Y70/Y69,"")</f>
        <v/>
      </c>
      <c r="Z71" s="70">
        <f>IFERROR(Z70/Z69,"")</f>
        <v/>
      </c>
      <c r="AA71" s="70">
        <f>IFERROR(AA70/AA69,"")</f>
        <v/>
      </c>
      <c r="AB71" s="70">
        <f>IFERROR(AB70/AB69,"")</f>
        <v/>
      </c>
      <c r="AC71" s="70">
        <f>IFERROR(AC70/AC69,"")</f>
        <v/>
      </c>
      <c r="AD71" s="70">
        <f>IFERROR(AD70/AD69,"")</f>
        <v/>
      </c>
      <c r="AE71" s="70">
        <f>IFERROR(AE70/AE69,"")</f>
        <v/>
      </c>
      <c r="AF71" s="70">
        <f>IFERROR(AF70/AF69,"")</f>
        <v/>
      </c>
      <c r="AG71" s="70">
        <f>IFERROR(AG70/AG69,"")</f>
        <v/>
      </c>
      <c r="AH71" s="70">
        <f>IFERROR(AH70/AH69,"")</f>
        <v/>
      </c>
      <c r="AI71" s="70">
        <f>IFERROR(AI70/AI69,"")</f>
        <v/>
      </c>
      <c r="AJ71" s="70">
        <f>IFERROR(AJ70/AJ69,"")</f>
        <v/>
      </c>
      <c r="AK71" s="70">
        <f>IFERROR(AK70/AK69,"")</f>
        <v/>
      </c>
      <c r="AL71" s="70">
        <f>IFERROR(AL70/AL69,"")</f>
        <v/>
      </c>
      <c r="AM71" s="70">
        <f>IFERROR(AM70/AM69,"")</f>
        <v/>
      </c>
      <c r="AN71" s="70">
        <f>IFERROR(AN70/AN69,"")</f>
        <v/>
      </c>
      <c r="AO71" s="70">
        <f>IFERROR(AO70/AO69,"")</f>
        <v/>
      </c>
      <c r="AP71" s="70">
        <f>IFERROR(AP70/AP69,"")</f>
        <v/>
      </c>
      <c r="AQ71" s="70">
        <f>IFERROR(AQ70/AQ69,"")</f>
        <v/>
      </c>
      <c r="AR71" s="70">
        <f>IFERROR(AR70/AR69,"")</f>
        <v/>
      </c>
      <c r="AS71" s="70">
        <f>IFERROR(AS70/AS69,"")</f>
        <v/>
      </c>
      <c r="AT71" s="70">
        <f>IFERROR(AT70/AT69,"")</f>
        <v/>
      </c>
      <c r="AU71" s="70">
        <f>IFERROR(AU70/AU69,"")</f>
        <v/>
      </c>
      <c r="AV71" s="70">
        <f>IFERROR(AV70/AV69,"")</f>
        <v/>
      </c>
      <c r="AW71" s="70">
        <f>IFERROR(AW70/AW69,"")</f>
        <v/>
      </c>
      <c r="AX71" s="70">
        <f>IFERROR(AX70/AX69,"")</f>
        <v/>
      </c>
      <c r="AY71" s="70">
        <f>IFERROR(AY70/AY69,"")</f>
        <v/>
      </c>
      <c r="AZ71" s="70">
        <f>IFERROR(AZ70/AZ69,"")</f>
        <v/>
      </c>
      <c r="BA71" s="70">
        <f>IFERROR(BA70/BA69,"")</f>
        <v/>
      </c>
      <c r="BB71" s="70">
        <f>IFERROR(BB70/BB69,"")</f>
        <v/>
      </c>
      <c r="BC71" s="70">
        <f>IFERROR(BC70/BC69,"")</f>
        <v/>
      </c>
      <c r="BD71" s="70">
        <f>IFERROR(BD70/BD69,"")</f>
        <v/>
      </c>
      <c r="BE71" s="70">
        <f>IFERROR(BE70/BE69,"")</f>
        <v/>
      </c>
      <c r="BF71" s="70">
        <f>IFERROR(BF70/BF69,"")</f>
        <v/>
      </c>
      <c r="BG71" s="70">
        <f>IFERROR(BG70/BG69,"")</f>
        <v/>
      </c>
      <c r="BH71" s="70">
        <f>IFERROR(BH70/BH69,"")</f>
        <v/>
      </c>
      <c r="BI71" s="70">
        <f>IFERROR(BI70/BI69,"")</f>
        <v/>
      </c>
      <c r="BJ71" s="70">
        <f>IFERROR(BJ70/BJ69,"")</f>
        <v/>
      </c>
      <c r="BK71" s="70">
        <f>IFERROR(BK70/BK69,"")</f>
        <v/>
      </c>
      <c r="BL71" s="70">
        <f>IFERROR(BL70/BL69,"")</f>
        <v/>
      </c>
      <c r="BM71" s="70">
        <f>IFERROR(BM70/BM69,"")</f>
        <v/>
      </c>
      <c r="BN71" s="70">
        <f>IFERROR(BN70/BN69,"")</f>
        <v/>
      </c>
      <c r="BO71" s="70">
        <f>IFERROR(BO70/BO69,"")</f>
        <v/>
      </c>
    </row>
    <row r="72">
      <c r="A72" s="66" t="n"/>
      <c r="B72" s="66" t="n"/>
      <c r="C72" s="71" t="inlineStr">
        <is>
          <t>K3</t>
        </is>
      </c>
      <c r="D72" s="37" t="inlineStr">
        <is>
          <t>Spec-in Value</t>
        </is>
      </c>
      <c r="E72" s="72" t="inlineStr">
        <is>
          <t>MVND</t>
        </is>
      </c>
      <c r="F72" s="65" t="inlineStr">
        <is>
          <t>Phasing</t>
        </is>
      </c>
      <c r="G72" s="56">
        <f>SUM(H72:BO72)</f>
        <v/>
      </c>
      <c r="H72" s="52" t="n">
        <v>60</v>
      </c>
      <c r="I72" s="52" t="n">
        <v>60</v>
      </c>
      <c r="J72" s="52" t="n">
        <v>60</v>
      </c>
      <c r="K72" s="52" t="n">
        <v>61</v>
      </c>
      <c r="L72" s="52" t="n"/>
      <c r="M72" s="52" t="n">
        <v>44</v>
      </c>
      <c r="N72" s="52" t="n">
        <v>44</v>
      </c>
      <c r="O72" s="52" t="n">
        <v>44</v>
      </c>
      <c r="P72" s="52" t="n">
        <v>44</v>
      </c>
      <c r="Q72" s="52" t="n"/>
      <c r="R72" s="52" t="n">
        <v>67</v>
      </c>
      <c r="S72" s="52" t="n">
        <v>67</v>
      </c>
      <c r="T72" s="52" t="n">
        <v>67</v>
      </c>
      <c r="U72" s="52" t="n">
        <v>68</v>
      </c>
      <c r="V72" s="52" t="n"/>
      <c r="W72" s="52" t="n">
        <v>70</v>
      </c>
      <c r="X72" s="52" t="n">
        <v>70</v>
      </c>
      <c r="Y72" s="52" t="n">
        <v>70</v>
      </c>
      <c r="Z72" s="52" t="n">
        <v>73</v>
      </c>
      <c r="AA72" s="52" t="n"/>
      <c r="AB72" s="52" t="n">
        <v>72</v>
      </c>
      <c r="AC72" s="52" t="n">
        <v>72</v>
      </c>
      <c r="AD72" s="52" t="n">
        <v>72</v>
      </c>
      <c r="AE72" s="52" t="n">
        <v>73</v>
      </c>
      <c r="AF72" s="52" t="n"/>
      <c r="AG72" s="52" t="n">
        <v>74</v>
      </c>
      <c r="AH72" s="52" t="n">
        <v>74</v>
      </c>
      <c r="AI72" s="52" t="n">
        <v>74</v>
      </c>
      <c r="AJ72" s="52" t="n">
        <v>76</v>
      </c>
      <c r="AK72" s="52" t="n"/>
      <c r="AL72" s="52" t="n">
        <v>70</v>
      </c>
      <c r="AM72" s="52" t="n">
        <v>70</v>
      </c>
      <c r="AN72" s="52" t="n">
        <v>70</v>
      </c>
      <c r="AO72" s="52" t="n">
        <v>73</v>
      </c>
      <c r="AP72" s="52" t="n"/>
      <c r="AQ72" s="52" t="n">
        <v>73</v>
      </c>
      <c r="AR72" s="52" t="n">
        <v>73</v>
      </c>
      <c r="AS72" s="52" t="n">
        <v>73</v>
      </c>
      <c r="AT72" s="52" t="n">
        <v>73</v>
      </c>
      <c r="AU72" s="52" t="n"/>
      <c r="AV72" s="52" t="n">
        <v>76</v>
      </c>
      <c r="AW72" s="52" t="n">
        <v>76</v>
      </c>
      <c r="AX72" s="52" t="n">
        <v>76</v>
      </c>
      <c r="AY72" s="52" t="n">
        <v>78</v>
      </c>
      <c r="AZ72" s="52" t="n"/>
      <c r="BA72" s="52" t="n">
        <v>79</v>
      </c>
      <c r="BB72" s="52" t="n">
        <v>79</v>
      </c>
      <c r="BC72" s="52" t="n">
        <v>79</v>
      </c>
      <c r="BD72" s="52" t="n">
        <v>80</v>
      </c>
      <c r="BE72" s="52" t="n"/>
      <c r="BF72" s="52" t="n">
        <v>81</v>
      </c>
      <c r="BG72" s="52" t="n">
        <v>81</v>
      </c>
      <c r="BH72" s="52" t="n">
        <v>81</v>
      </c>
      <c r="BI72" s="52" t="n">
        <v>83</v>
      </c>
      <c r="BJ72" s="52" t="n"/>
      <c r="BK72" s="52" t="n">
        <v>80</v>
      </c>
      <c r="BL72" s="52" t="n">
        <v>80</v>
      </c>
      <c r="BM72" s="52" t="n">
        <v>80</v>
      </c>
      <c r="BN72" s="52" t="n">
        <v>80</v>
      </c>
      <c r="BO72" s="52" t="n"/>
    </row>
    <row r="73">
      <c r="A73" s="66" t="n"/>
      <c r="B73" s="66" t="n"/>
      <c r="C73" s="66" t="n"/>
      <c r="D73" s="66" t="n"/>
      <c r="E73" s="66" t="n"/>
      <c r="F73" s="65" t="inlineStr">
        <is>
          <t>Actual</t>
        </is>
      </c>
      <c r="G73" s="56">
        <f>SUM(H73:BO73)</f>
        <v/>
      </c>
      <c r="H73" s="52" t="n">
        <v>60</v>
      </c>
      <c r="I73" s="52" t="n">
        <v>60</v>
      </c>
      <c r="J73" s="52" t="n">
        <v>55</v>
      </c>
      <c r="K73" s="52" t="n">
        <v>71</v>
      </c>
      <c r="L73" s="52" t="n"/>
      <c r="M73" s="52" t="n">
        <v>46</v>
      </c>
      <c r="N73" s="52" t="n">
        <v>39</v>
      </c>
      <c r="O73" s="52" t="n">
        <v>36</v>
      </c>
      <c r="P73" s="52" t="n">
        <v>43</v>
      </c>
      <c r="Q73" s="52" t="n"/>
      <c r="R73" s="52" t="n">
        <v>63</v>
      </c>
      <c r="S73" s="52" t="n">
        <v>73</v>
      </c>
      <c r="T73" s="52" t="n">
        <v>71</v>
      </c>
      <c r="U73" s="52" t="n">
        <v>70</v>
      </c>
      <c r="V73" s="52" t="n"/>
      <c r="W73" s="52" t="n">
        <v>61</v>
      </c>
      <c r="X73" s="52" t="n">
        <v>61</v>
      </c>
      <c r="Y73" s="52" t="n">
        <v>65</v>
      </c>
      <c r="Z73" s="52" t="n">
        <v>66</v>
      </c>
      <c r="AA73" s="52" t="n"/>
      <c r="AB73" s="52" t="n">
        <v>81</v>
      </c>
      <c r="AC73" s="52" t="n">
        <v>72</v>
      </c>
      <c r="AD73" s="52" t="n">
        <v>75</v>
      </c>
      <c r="AE73" s="52" t="n">
        <v>85</v>
      </c>
      <c r="AF73" s="52" t="n"/>
      <c r="AG73" s="52" t="n">
        <v>67</v>
      </c>
      <c r="AH73" s="52" t="n">
        <v>74</v>
      </c>
      <c r="AI73" s="52" t="n">
        <v>64</v>
      </c>
      <c r="AJ73" s="52" t="n">
        <v>83</v>
      </c>
      <c r="AK73" s="52" t="n"/>
      <c r="AL73" s="52" t="n">
        <v>57</v>
      </c>
      <c r="AM73" s="52" t="n">
        <v>77</v>
      </c>
      <c r="AN73" s="52" t="n">
        <v>78</v>
      </c>
      <c r="AO73" s="52" t="n">
        <v>81</v>
      </c>
      <c r="AP73" s="52" t="n"/>
      <c r="AQ73" s="52" t="n">
        <v>61</v>
      </c>
      <c r="AR73" s="52" t="n">
        <v>66</v>
      </c>
      <c r="AS73" s="52" t="n">
        <v>78</v>
      </c>
      <c r="AT73" s="52" t="n">
        <v>62</v>
      </c>
      <c r="AU73" s="52" t="n"/>
      <c r="AV73" s="52" t="n">
        <v>75</v>
      </c>
      <c r="AW73" s="52" t="n">
        <v>74</v>
      </c>
      <c r="AX73" s="52" t="n">
        <v>88</v>
      </c>
      <c r="AY73" s="52" t="n">
        <v>80</v>
      </c>
      <c r="AZ73" s="52" t="n"/>
      <c r="BA73" s="52" t="n"/>
      <c r="BB73" s="52" t="n"/>
      <c r="BC73" s="52" t="n"/>
      <c r="BD73" s="52" t="n"/>
      <c r="BE73" s="52" t="n"/>
      <c r="BF73" s="52" t="n"/>
      <c r="BG73" s="52" t="n"/>
      <c r="BH73" s="52" t="n"/>
      <c r="BI73" s="52" t="n"/>
      <c r="BJ73" s="52" t="n"/>
      <c r="BK73" s="52" t="n"/>
      <c r="BL73" s="52" t="n"/>
      <c r="BM73" s="52" t="n"/>
      <c r="BN73" s="52" t="n"/>
      <c r="BO73" s="52" t="n"/>
    </row>
    <row r="74">
      <c r="A74" s="66" t="n"/>
      <c r="B74" s="66" t="n"/>
      <c r="C74" s="67" t="n"/>
      <c r="D74" s="67" t="n"/>
      <c r="E74" s="67" t="n"/>
      <c r="F74" s="68" t="inlineStr">
        <is>
          <t>% Achieved</t>
        </is>
      </c>
      <c r="G74" s="69">
        <f>IFERROR(G73/G72,"")</f>
        <v/>
      </c>
      <c r="H74" s="70">
        <f>IFERROR(H73/H72,"")</f>
        <v/>
      </c>
      <c r="I74" s="70">
        <f>IFERROR(I73/I72,"")</f>
        <v/>
      </c>
      <c r="J74" s="70">
        <f>IFERROR(J73/J72,"")</f>
        <v/>
      </c>
      <c r="K74" s="70">
        <f>IFERROR(K73/K72,"")</f>
        <v/>
      </c>
      <c r="L74" s="70">
        <f>IFERROR(L73/L72,"")</f>
        <v/>
      </c>
      <c r="M74" s="70">
        <f>IFERROR(M73/M72,"")</f>
        <v/>
      </c>
      <c r="N74" s="70">
        <f>IFERROR(N73/N72,"")</f>
        <v/>
      </c>
      <c r="O74" s="70">
        <f>IFERROR(O73/O72,"")</f>
        <v/>
      </c>
      <c r="P74" s="70">
        <f>IFERROR(P73/P72,"")</f>
        <v/>
      </c>
      <c r="Q74" s="70">
        <f>IFERROR(Q73/Q72,"")</f>
        <v/>
      </c>
      <c r="R74" s="70">
        <f>IFERROR(R73/R72,"")</f>
        <v/>
      </c>
      <c r="S74" s="70">
        <f>IFERROR(S73/S72,"")</f>
        <v/>
      </c>
      <c r="T74" s="70">
        <f>IFERROR(T73/T72,"")</f>
        <v/>
      </c>
      <c r="U74" s="70">
        <f>IFERROR(U73/U72,"")</f>
        <v/>
      </c>
      <c r="V74" s="70">
        <f>IFERROR(V73/V72,"")</f>
        <v/>
      </c>
      <c r="W74" s="70">
        <f>IFERROR(W73/W72,"")</f>
        <v/>
      </c>
      <c r="X74" s="70">
        <f>IFERROR(X73/X72,"")</f>
        <v/>
      </c>
      <c r="Y74" s="70">
        <f>IFERROR(Y73/Y72,"")</f>
        <v/>
      </c>
      <c r="Z74" s="70">
        <f>IFERROR(Z73/Z72,"")</f>
        <v/>
      </c>
      <c r="AA74" s="70">
        <f>IFERROR(AA73/AA72,"")</f>
        <v/>
      </c>
      <c r="AB74" s="70">
        <f>IFERROR(AB73/AB72,"")</f>
        <v/>
      </c>
      <c r="AC74" s="70">
        <f>IFERROR(AC73/AC72,"")</f>
        <v/>
      </c>
      <c r="AD74" s="70">
        <f>IFERROR(AD73/AD72,"")</f>
        <v/>
      </c>
      <c r="AE74" s="70">
        <f>IFERROR(AE73/AE72,"")</f>
        <v/>
      </c>
      <c r="AF74" s="70">
        <f>IFERROR(AF73/AF72,"")</f>
        <v/>
      </c>
      <c r="AG74" s="70">
        <f>IFERROR(AG73/AG72,"")</f>
        <v/>
      </c>
      <c r="AH74" s="70">
        <f>IFERROR(AH73/AH72,"")</f>
        <v/>
      </c>
      <c r="AI74" s="70">
        <f>IFERROR(AI73/AI72,"")</f>
        <v/>
      </c>
      <c r="AJ74" s="70">
        <f>IFERROR(AJ73/AJ72,"")</f>
        <v/>
      </c>
      <c r="AK74" s="70">
        <f>IFERROR(AK73/AK72,"")</f>
        <v/>
      </c>
      <c r="AL74" s="70">
        <f>IFERROR(AL73/AL72,"")</f>
        <v/>
      </c>
      <c r="AM74" s="70">
        <f>IFERROR(AM73/AM72,"")</f>
        <v/>
      </c>
      <c r="AN74" s="70">
        <f>IFERROR(AN73/AN72,"")</f>
        <v/>
      </c>
      <c r="AO74" s="70">
        <f>IFERROR(AO73/AO72,"")</f>
        <v/>
      </c>
      <c r="AP74" s="70">
        <f>IFERROR(AP73/AP72,"")</f>
        <v/>
      </c>
      <c r="AQ74" s="70">
        <f>IFERROR(AQ73/AQ72,"")</f>
        <v/>
      </c>
      <c r="AR74" s="70">
        <f>IFERROR(AR73/AR72,"")</f>
        <v/>
      </c>
      <c r="AS74" s="70">
        <f>IFERROR(AS73/AS72,"")</f>
        <v/>
      </c>
      <c r="AT74" s="70">
        <f>IFERROR(AT73/AT72,"")</f>
        <v/>
      </c>
      <c r="AU74" s="70">
        <f>IFERROR(AU73/AU72,"")</f>
        <v/>
      </c>
      <c r="AV74" s="70">
        <f>IFERROR(AV73/AV72,"")</f>
        <v/>
      </c>
      <c r="AW74" s="70">
        <f>IFERROR(AW73/AW72,"")</f>
        <v/>
      </c>
      <c r="AX74" s="70">
        <f>IFERROR(AX73/AX72,"")</f>
        <v/>
      </c>
      <c r="AY74" s="70">
        <f>IFERROR(AY73/AY72,"")</f>
        <v/>
      </c>
      <c r="AZ74" s="70">
        <f>IFERROR(AZ73/AZ72,"")</f>
        <v/>
      </c>
      <c r="BA74" s="70">
        <f>IFERROR(BA73/BA72,"")</f>
        <v/>
      </c>
      <c r="BB74" s="70">
        <f>IFERROR(BB73/BB72,"")</f>
        <v/>
      </c>
      <c r="BC74" s="70">
        <f>IFERROR(BC73/BC72,"")</f>
        <v/>
      </c>
      <c r="BD74" s="70">
        <f>IFERROR(BD73/BD72,"")</f>
        <v/>
      </c>
      <c r="BE74" s="70">
        <f>IFERROR(BE73/BE72,"")</f>
        <v/>
      </c>
      <c r="BF74" s="70">
        <f>IFERROR(BF73/BF72,"")</f>
        <v/>
      </c>
      <c r="BG74" s="70">
        <f>IFERROR(BG73/BG72,"")</f>
        <v/>
      </c>
      <c r="BH74" s="70">
        <f>IFERROR(BH73/BH72,"")</f>
        <v/>
      </c>
      <c r="BI74" s="70">
        <f>IFERROR(BI73/BI72,"")</f>
        <v/>
      </c>
      <c r="BJ74" s="70">
        <f>IFERROR(BJ73/BJ72,"")</f>
        <v/>
      </c>
      <c r="BK74" s="70">
        <f>IFERROR(BK73/BK72,"")</f>
        <v/>
      </c>
      <c r="BL74" s="70">
        <f>IFERROR(BL73/BL72,"")</f>
        <v/>
      </c>
      <c r="BM74" s="70">
        <f>IFERROR(BM73/BM72,"")</f>
        <v/>
      </c>
      <c r="BN74" s="70">
        <f>IFERROR(BN73/BN72,"")</f>
        <v/>
      </c>
      <c r="BO74" s="70">
        <f>IFERROR(BO73/BO72,"")</f>
        <v/>
      </c>
    </row>
    <row r="75">
      <c r="A75" s="66" t="n"/>
      <c r="B75" s="66" t="n"/>
      <c r="C75" s="71" t="inlineStr">
        <is>
          <t>K4</t>
        </is>
      </c>
      <c r="D75" s="37" t="inlineStr">
        <is>
          <t>Engaged Architect (Submit Design)</t>
        </is>
      </c>
      <c r="E75" s="72" t="inlineStr">
        <is>
          <t>D&amp;B</t>
        </is>
      </c>
      <c r="F75" s="65" t="inlineStr">
        <is>
          <t>Phasing</t>
        </is>
      </c>
      <c r="G75" s="56">
        <f>SUM(H75:BO75)</f>
        <v/>
      </c>
      <c r="H75" s="52" t="n">
        <v>1</v>
      </c>
      <c r="I75" s="52" t="n">
        <v>1</v>
      </c>
      <c r="J75" s="52" t="n">
        <v>1</v>
      </c>
      <c r="K75" s="52" t="n">
        <v>2</v>
      </c>
      <c r="L75" s="52" t="n"/>
      <c r="M75" s="52" t="n">
        <v>0</v>
      </c>
      <c r="N75" s="52" t="n">
        <v>0</v>
      </c>
      <c r="O75" s="52" t="n">
        <v>0</v>
      </c>
      <c r="P75" s="52" t="n">
        <v>3</v>
      </c>
      <c r="Q75" s="52" t="n"/>
      <c r="R75" s="52" t="n">
        <v>1</v>
      </c>
      <c r="S75" s="52" t="n">
        <v>1</v>
      </c>
      <c r="T75" s="52" t="n">
        <v>1</v>
      </c>
      <c r="U75" s="52" t="n">
        <v>2</v>
      </c>
      <c r="V75" s="52" t="n"/>
      <c r="W75" s="52" t="n">
        <v>1</v>
      </c>
      <c r="X75" s="52" t="n">
        <v>1</v>
      </c>
      <c r="Y75" s="52" t="n">
        <v>1</v>
      </c>
      <c r="Z75" s="52" t="n">
        <v>2</v>
      </c>
      <c r="AA75" s="52" t="n"/>
      <c r="AB75" s="52" t="n">
        <v>1</v>
      </c>
      <c r="AC75" s="52" t="n">
        <v>1</v>
      </c>
      <c r="AD75" s="52" t="n">
        <v>1</v>
      </c>
      <c r="AE75" s="52" t="n">
        <v>3</v>
      </c>
      <c r="AF75" s="52" t="n"/>
      <c r="AG75" s="52" t="n">
        <v>1</v>
      </c>
      <c r="AH75" s="52" t="n">
        <v>1</v>
      </c>
      <c r="AI75" s="52" t="n">
        <v>1</v>
      </c>
      <c r="AJ75" s="52" t="n">
        <v>3</v>
      </c>
      <c r="AK75" s="52" t="n"/>
      <c r="AL75" s="52" t="n">
        <v>1</v>
      </c>
      <c r="AM75" s="52" t="n">
        <v>1</v>
      </c>
      <c r="AN75" s="52" t="n">
        <v>1</v>
      </c>
      <c r="AO75" s="52" t="n">
        <v>2</v>
      </c>
      <c r="AP75" s="52" t="n"/>
      <c r="AQ75" s="52" t="n">
        <v>1</v>
      </c>
      <c r="AR75" s="52" t="n">
        <v>1</v>
      </c>
      <c r="AS75" s="52" t="n">
        <v>1</v>
      </c>
      <c r="AT75" s="52" t="n">
        <v>3</v>
      </c>
      <c r="AU75" s="52" t="n"/>
      <c r="AV75" s="52" t="n">
        <v>1</v>
      </c>
      <c r="AW75" s="52" t="n">
        <v>1</v>
      </c>
      <c r="AX75" s="52" t="n">
        <v>1</v>
      </c>
      <c r="AY75" s="52" t="n">
        <v>3</v>
      </c>
      <c r="AZ75" s="52" t="n"/>
      <c r="BA75" s="52" t="n">
        <v>1</v>
      </c>
      <c r="BB75" s="52" t="n">
        <v>1</v>
      </c>
      <c r="BC75" s="52" t="n">
        <v>1</v>
      </c>
      <c r="BD75" s="52" t="n">
        <v>3</v>
      </c>
      <c r="BE75" s="52" t="n"/>
      <c r="BF75" s="52" t="n">
        <v>1</v>
      </c>
      <c r="BG75" s="52" t="n">
        <v>1</v>
      </c>
      <c r="BH75" s="52" t="n">
        <v>1</v>
      </c>
      <c r="BI75" s="52" t="n">
        <v>3</v>
      </c>
      <c r="BJ75" s="52" t="n"/>
      <c r="BK75" s="52" t="n">
        <v>1</v>
      </c>
      <c r="BL75" s="52" t="n">
        <v>1</v>
      </c>
      <c r="BM75" s="52" t="n">
        <v>1</v>
      </c>
      <c r="BN75" s="52" t="n">
        <v>3</v>
      </c>
      <c r="BO75" s="52" t="n"/>
    </row>
    <row r="76">
      <c r="A76" s="66" t="n"/>
      <c r="B76" s="66" t="n"/>
      <c r="C76" s="66" t="n"/>
      <c r="D76" s="66" t="n"/>
      <c r="E76" s="66" t="n"/>
      <c r="F76" s="65" t="inlineStr">
        <is>
          <t>Actual</t>
        </is>
      </c>
      <c r="G76" s="56">
        <f>SUM(H76:BO76)</f>
        <v/>
      </c>
      <c r="H76" s="52" t="n">
        <v>1</v>
      </c>
      <c r="I76" s="52" t="n">
        <v>1</v>
      </c>
      <c r="J76" s="52" t="n">
        <v>1</v>
      </c>
      <c r="K76" s="52" t="n">
        <v>2</v>
      </c>
      <c r="L76" s="52" t="n"/>
      <c r="M76" s="52" t="n">
        <v>0</v>
      </c>
      <c r="N76" s="52" t="n">
        <v>0</v>
      </c>
      <c r="O76" s="52" t="n">
        <v>0</v>
      </c>
      <c r="P76" s="52" t="n">
        <v>3</v>
      </c>
      <c r="Q76" s="52" t="n"/>
      <c r="R76" s="52" t="n">
        <v>1</v>
      </c>
      <c r="S76" s="52" t="n">
        <v>1</v>
      </c>
      <c r="T76" s="52" t="n">
        <v>1</v>
      </c>
      <c r="U76" s="52" t="n">
        <v>2</v>
      </c>
      <c r="V76" s="52" t="n"/>
      <c r="W76" s="52" t="n">
        <v>1</v>
      </c>
      <c r="X76" s="52" t="n">
        <v>1</v>
      </c>
      <c r="Y76" s="52" t="n">
        <v>1</v>
      </c>
      <c r="Z76" s="52" t="n">
        <v>2</v>
      </c>
      <c r="AA76" s="52" t="n"/>
      <c r="AB76" s="52" t="n">
        <v>1</v>
      </c>
      <c r="AC76" s="52" t="n">
        <v>1</v>
      </c>
      <c r="AD76" s="52" t="n">
        <v>1</v>
      </c>
      <c r="AE76" s="52" t="n">
        <v>3</v>
      </c>
      <c r="AF76" s="52" t="n"/>
      <c r="AG76" s="52" t="n">
        <v>1</v>
      </c>
      <c r="AH76" s="52" t="n">
        <v>1</v>
      </c>
      <c r="AI76" s="52" t="n">
        <v>1</v>
      </c>
      <c r="AJ76" s="52" t="n">
        <v>3</v>
      </c>
      <c r="AK76" s="52" t="n"/>
      <c r="AL76" s="52" t="n">
        <v>1</v>
      </c>
      <c r="AM76" s="52" t="n">
        <v>1</v>
      </c>
      <c r="AN76" s="52" t="n">
        <v>1</v>
      </c>
      <c r="AO76" s="52" t="n">
        <v>2</v>
      </c>
      <c r="AP76" s="52" t="n"/>
      <c r="AQ76" s="52" t="n">
        <v>1</v>
      </c>
      <c r="AR76" s="52" t="n">
        <v>1</v>
      </c>
      <c r="AS76" s="52" t="n">
        <v>1</v>
      </c>
      <c r="AT76" s="52" t="n">
        <v>3</v>
      </c>
      <c r="AU76" s="52" t="n"/>
      <c r="AV76" s="52" t="n">
        <v>1</v>
      </c>
      <c r="AW76" s="52" t="n">
        <v>1</v>
      </c>
      <c r="AX76" s="52" t="n">
        <v>1</v>
      </c>
      <c r="AY76" s="52" t="n">
        <v>3</v>
      </c>
      <c r="AZ76" s="52" t="n"/>
      <c r="BA76" s="52" t="n"/>
      <c r="BB76" s="52" t="n"/>
      <c r="BC76" s="52" t="n"/>
      <c r="BD76" s="52" t="n"/>
      <c r="BE76" s="52" t="n"/>
      <c r="BF76" s="52" t="n"/>
      <c r="BG76" s="52" t="n"/>
      <c r="BH76" s="52" t="n"/>
      <c r="BI76" s="52" t="n"/>
      <c r="BJ76" s="52" t="n"/>
      <c r="BK76" s="52" t="n"/>
      <c r="BL76" s="52" t="n"/>
      <c r="BM76" s="52" t="n"/>
      <c r="BN76" s="52" t="n"/>
      <c r="BO76" s="52" t="n"/>
    </row>
    <row r="77">
      <c r="A77" s="66" t="n"/>
      <c r="B77" s="66" t="n"/>
      <c r="C77" s="67" t="n"/>
      <c r="D77" s="67" t="n"/>
      <c r="E77" s="67" t="n"/>
      <c r="F77" s="68" t="inlineStr">
        <is>
          <t>% Achieved</t>
        </is>
      </c>
      <c r="G77" s="69">
        <f>IFERROR(G76/G75,"")</f>
        <v/>
      </c>
      <c r="H77" s="70">
        <f>IFERROR(H76/H75,"")</f>
        <v/>
      </c>
      <c r="I77" s="70">
        <f>IFERROR(I76/I75,"")</f>
        <v/>
      </c>
      <c r="J77" s="70">
        <f>IFERROR(J76/J75,"")</f>
        <v/>
      </c>
      <c r="K77" s="70">
        <f>IFERROR(K76/K75,"")</f>
        <v/>
      </c>
      <c r="L77" s="70">
        <f>IFERROR(L76/L75,"")</f>
        <v/>
      </c>
      <c r="M77" s="70">
        <f>IFERROR(M76/M75,"")</f>
        <v/>
      </c>
      <c r="N77" s="70">
        <f>IFERROR(N76/N75,"")</f>
        <v/>
      </c>
      <c r="O77" s="70">
        <f>IFERROR(O76/O75,"")</f>
        <v/>
      </c>
      <c r="P77" s="70">
        <f>IFERROR(P76/P75,"")</f>
        <v/>
      </c>
      <c r="Q77" s="70">
        <f>IFERROR(Q76/Q75,"")</f>
        <v/>
      </c>
      <c r="R77" s="70">
        <f>IFERROR(R76/R75,"")</f>
        <v/>
      </c>
      <c r="S77" s="70">
        <f>IFERROR(S76/S75,"")</f>
        <v/>
      </c>
      <c r="T77" s="70">
        <f>IFERROR(T76/T75,"")</f>
        <v/>
      </c>
      <c r="U77" s="70">
        <f>IFERROR(U76/U75,"")</f>
        <v/>
      </c>
      <c r="V77" s="70">
        <f>IFERROR(V76/V75,"")</f>
        <v/>
      </c>
      <c r="W77" s="70">
        <f>IFERROR(W76/W75,"")</f>
        <v/>
      </c>
      <c r="X77" s="70">
        <f>IFERROR(X76/X75,"")</f>
        <v/>
      </c>
      <c r="Y77" s="70">
        <f>IFERROR(Y76/Y75,"")</f>
        <v/>
      </c>
      <c r="Z77" s="70">
        <f>IFERROR(Z76/Z75,"")</f>
        <v/>
      </c>
      <c r="AA77" s="70">
        <f>IFERROR(AA76/AA75,"")</f>
        <v/>
      </c>
      <c r="AB77" s="70">
        <f>IFERROR(AB76/AB75,"")</f>
        <v/>
      </c>
      <c r="AC77" s="70">
        <f>IFERROR(AC76/AC75,"")</f>
        <v/>
      </c>
      <c r="AD77" s="70">
        <f>IFERROR(AD76/AD75,"")</f>
        <v/>
      </c>
      <c r="AE77" s="70">
        <f>IFERROR(AE76/AE75,"")</f>
        <v/>
      </c>
      <c r="AF77" s="70">
        <f>IFERROR(AF76/AF75,"")</f>
        <v/>
      </c>
      <c r="AG77" s="70">
        <f>IFERROR(AG76/AG75,"")</f>
        <v/>
      </c>
      <c r="AH77" s="70">
        <f>IFERROR(AH76/AH75,"")</f>
        <v/>
      </c>
      <c r="AI77" s="70">
        <f>IFERROR(AI76/AI75,"")</f>
        <v/>
      </c>
      <c r="AJ77" s="70">
        <f>IFERROR(AJ76/AJ75,"")</f>
        <v/>
      </c>
      <c r="AK77" s="70">
        <f>IFERROR(AK76/AK75,"")</f>
        <v/>
      </c>
      <c r="AL77" s="70">
        <f>IFERROR(AL76/AL75,"")</f>
        <v/>
      </c>
      <c r="AM77" s="70">
        <f>IFERROR(AM76/AM75,"")</f>
        <v/>
      </c>
      <c r="AN77" s="70">
        <f>IFERROR(AN76/AN75,"")</f>
        <v/>
      </c>
      <c r="AO77" s="70">
        <f>IFERROR(AO76/AO75,"")</f>
        <v/>
      </c>
      <c r="AP77" s="70">
        <f>IFERROR(AP76/AP75,"")</f>
        <v/>
      </c>
      <c r="AQ77" s="70">
        <f>IFERROR(AQ76/AQ75,"")</f>
        <v/>
      </c>
      <c r="AR77" s="70">
        <f>IFERROR(AR76/AR75,"")</f>
        <v/>
      </c>
      <c r="AS77" s="70">
        <f>IFERROR(AS76/AS75,"")</f>
        <v/>
      </c>
      <c r="AT77" s="70">
        <f>IFERROR(AT76/AT75,"")</f>
        <v/>
      </c>
      <c r="AU77" s="70">
        <f>IFERROR(AU76/AU75,"")</f>
        <v/>
      </c>
      <c r="AV77" s="70">
        <f>IFERROR(AV76/AV75,"")</f>
        <v/>
      </c>
      <c r="AW77" s="70">
        <f>IFERROR(AW76/AW75,"")</f>
        <v/>
      </c>
      <c r="AX77" s="70">
        <f>IFERROR(AX76/AX75,"")</f>
        <v/>
      </c>
      <c r="AY77" s="70">
        <f>IFERROR(AY76/AY75,"")</f>
        <v/>
      </c>
      <c r="AZ77" s="70">
        <f>IFERROR(AZ76/AZ75,"")</f>
        <v/>
      </c>
      <c r="BA77" s="70">
        <f>IFERROR(BA76/BA75,"")</f>
        <v/>
      </c>
      <c r="BB77" s="70">
        <f>IFERROR(BB76/BB75,"")</f>
        <v/>
      </c>
      <c r="BC77" s="70">
        <f>IFERROR(BC76/BC75,"")</f>
        <v/>
      </c>
      <c r="BD77" s="70">
        <f>IFERROR(BD76/BD75,"")</f>
        <v/>
      </c>
      <c r="BE77" s="70">
        <f>IFERROR(BE76/BE75,"")</f>
        <v/>
      </c>
      <c r="BF77" s="70">
        <f>IFERROR(BF76/BF75,"")</f>
        <v/>
      </c>
      <c r="BG77" s="70">
        <f>IFERROR(BG76/BG75,"")</f>
        <v/>
      </c>
      <c r="BH77" s="70">
        <f>IFERROR(BH76/BH75,"")</f>
        <v/>
      </c>
      <c r="BI77" s="70">
        <f>IFERROR(BI76/BI75,"")</f>
        <v/>
      </c>
      <c r="BJ77" s="70">
        <f>IFERROR(BJ76/BJ75,"")</f>
        <v/>
      </c>
      <c r="BK77" s="70">
        <f>IFERROR(BK76/BK75,"")</f>
        <v/>
      </c>
      <c r="BL77" s="70">
        <f>IFERROR(BL76/BL75,"")</f>
        <v/>
      </c>
      <c r="BM77" s="70">
        <f>IFERROR(BM76/BM75,"")</f>
        <v/>
      </c>
      <c r="BN77" s="70">
        <f>IFERROR(BN76/BN75,"")</f>
        <v/>
      </c>
      <c r="BO77" s="70">
        <f>IFERROR(BO76/BO75,"")</f>
        <v/>
      </c>
    </row>
    <row r="78">
      <c r="A78" s="66" t="n"/>
      <c r="B78" s="66" t="n"/>
      <c r="C78" s="73" t="inlineStr">
        <is>
          <t>K5</t>
        </is>
      </c>
      <c r="D78" s="41" t="inlineStr">
        <is>
          <t>Spec-in Design (submitted design)</t>
        </is>
      </c>
      <c r="E78" s="74" t="inlineStr">
        <is>
          <t>Designs</t>
        </is>
      </c>
      <c r="F78" s="65" t="inlineStr">
        <is>
          <t>Phasing</t>
        </is>
      </c>
      <c r="G78" s="56">
        <f>SUM(H78:BO78)</f>
        <v/>
      </c>
      <c r="H78" s="52" t="n">
        <v>1</v>
      </c>
      <c r="I78" s="52" t="n">
        <v>1</v>
      </c>
      <c r="J78" s="52" t="n">
        <v>1</v>
      </c>
      <c r="K78" s="52" t="n">
        <v>2</v>
      </c>
      <c r="L78" s="52" t="n"/>
      <c r="M78" s="52" t="n">
        <v>1</v>
      </c>
      <c r="N78" s="52" t="n">
        <v>1</v>
      </c>
      <c r="O78" s="52" t="n">
        <v>1</v>
      </c>
      <c r="P78" s="52" t="n">
        <v>1</v>
      </c>
      <c r="Q78" s="52" t="n"/>
      <c r="R78" s="52" t="n">
        <v>1</v>
      </c>
      <c r="S78" s="52" t="n">
        <v>1</v>
      </c>
      <c r="T78" s="52" t="n">
        <v>1</v>
      </c>
      <c r="U78" s="52" t="n">
        <v>2</v>
      </c>
      <c r="V78" s="52" t="n"/>
      <c r="W78" s="52" t="n">
        <v>1</v>
      </c>
      <c r="X78" s="52" t="n">
        <v>1</v>
      </c>
      <c r="Y78" s="52" t="n">
        <v>1</v>
      </c>
      <c r="Z78" s="52" t="n">
        <v>3</v>
      </c>
      <c r="AA78" s="52" t="n"/>
      <c r="AB78" s="52" t="n">
        <v>1</v>
      </c>
      <c r="AC78" s="52" t="n">
        <v>1</v>
      </c>
      <c r="AD78" s="52" t="n">
        <v>1</v>
      </c>
      <c r="AE78" s="52" t="n">
        <v>3</v>
      </c>
      <c r="AF78" s="52" t="n"/>
      <c r="AG78" s="52" t="n">
        <v>1</v>
      </c>
      <c r="AH78" s="52" t="n">
        <v>1</v>
      </c>
      <c r="AI78" s="52" t="n">
        <v>1</v>
      </c>
      <c r="AJ78" s="52" t="n">
        <v>3</v>
      </c>
      <c r="AK78" s="52" t="n"/>
      <c r="AL78" s="52" t="n">
        <v>1</v>
      </c>
      <c r="AM78" s="52" t="n">
        <v>1</v>
      </c>
      <c r="AN78" s="52" t="n">
        <v>1</v>
      </c>
      <c r="AO78" s="52" t="n">
        <v>3</v>
      </c>
      <c r="AP78" s="52" t="n"/>
      <c r="AQ78" s="52" t="n">
        <v>1</v>
      </c>
      <c r="AR78" s="52" t="n">
        <v>1</v>
      </c>
      <c r="AS78" s="52" t="n">
        <v>1</v>
      </c>
      <c r="AT78" s="52" t="n">
        <v>3</v>
      </c>
      <c r="AU78" s="52" t="n"/>
      <c r="AV78" s="52" t="n">
        <v>1</v>
      </c>
      <c r="AW78" s="52" t="n">
        <v>1</v>
      </c>
      <c r="AX78" s="52" t="n">
        <v>1</v>
      </c>
      <c r="AY78" s="52" t="n">
        <v>3</v>
      </c>
      <c r="AZ78" s="52" t="n"/>
      <c r="BA78" s="52" t="n">
        <v>1</v>
      </c>
      <c r="BB78" s="52" t="n">
        <v>1</v>
      </c>
      <c r="BC78" s="52" t="n">
        <v>1</v>
      </c>
      <c r="BD78" s="52" t="n">
        <v>3</v>
      </c>
      <c r="BE78" s="52" t="n"/>
      <c r="BF78" s="52" t="n">
        <v>1</v>
      </c>
      <c r="BG78" s="52" t="n">
        <v>1</v>
      </c>
      <c r="BH78" s="52" t="n">
        <v>1</v>
      </c>
      <c r="BI78" s="52" t="n">
        <v>4</v>
      </c>
      <c r="BJ78" s="52" t="n"/>
      <c r="BK78" s="52" t="n">
        <v>1</v>
      </c>
      <c r="BL78" s="52" t="n">
        <v>1</v>
      </c>
      <c r="BM78" s="52" t="n">
        <v>1</v>
      </c>
      <c r="BN78" s="52" t="n">
        <v>2</v>
      </c>
      <c r="BO78" s="52" t="n"/>
    </row>
    <row r="79">
      <c r="A79" s="66" t="n"/>
      <c r="B79" s="66" t="n"/>
      <c r="C79" s="66" t="n"/>
      <c r="D79" s="66" t="n"/>
      <c r="E79" s="66" t="n"/>
      <c r="F79" s="65" t="inlineStr">
        <is>
          <t>Actual</t>
        </is>
      </c>
      <c r="G79" s="56">
        <f>SUM(H79:BO79)</f>
        <v/>
      </c>
      <c r="H79" s="52" t="n">
        <v>1</v>
      </c>
      <c r="I79" s="52" t="n">
        <v>1</v>
      </c>
      <c r="J79" s="52" t="n">
        <v>1</v>
      </c>
      <c r="K79" s="52" t="n">
        <v>2</v>
      </c>
      <c r="L79" s="52" t="n"/>
      <c r="M79" s="52" t="n">
        <v>1</v>
      </c>
      <c r="N79" s="52" t="n">
        <v>1</v>
      </c>
      <c r="O79" s="52" t="n">
        <v>1</v>
      </c>
      <c r="P79" s="52" t="n">
        <v>1</v>
      </c>
      <c r="Q79" s="52" t="n"/>
      <c r="R79" s="52" t="n">
        <v>1</v>
      </c>
      <c r="S79" s="52" t="n">
        <v>1</v>
      </c>
      <c r="T79" s="52" t="n">
        <v>1</v>
      </c>
      <c r="U79" s="52" t="n">
        <v>2</v>
      </c>
      <c r="V79" s="52" t="n"/>
      <c r="W79" s="52" t="n">
        <v>1</v>
      </c>
      <c r="X79" s="52" t="n">
        <v>1</v>
      </c>
      <c r="Y79" s="52" t="n">
        <v>1</v>
      </c>
      <c r="Z79" s="52" t="n">
        <v>3</v>
      </c>
      <c r="AA79" s="52" t="n"/>
      <c r="AB79" s="52" t="n">
        <v>1</v>
      </c>
      <c r="AC79" s="52" t="n">
        <v>1</v>
      </c>
      <c r="AD79" s="52" t="n">
        <v>1</v>
      </c>
      <c r="AE79" s="52" t="n">
        <v>3</v>
      </c>
      <c r="AF79" s="52" t="n"/>
      <c r="AG79" s="52" t="n">
        <v>1</v>
      </c>
      <c r="AH79" s="52" t="n">
        <v>1</v>
      </c>
      <c r="AI79" s="52" t="n">
        <v>1</v>
      </c>
      <c r="AJ79" s="52" t="n">
        <v>3</v>
      </c>
      <c r="AK79" s="52" t="n"/>
      <c r="AL79" s="52" t="n">
        <v>1</v>
      </c>
      <c r="AM79" s="52" t="n">
        <v>1</v>
      </c>
      <c r="AN79" s="52" t="n">
        <v>1</v>
      </c>
      <c r="AO79" s="52" t="n">
        <v>3</v>
      </c>
      <c r="AP79" s="52" t="n"/>
      <c r="AQ79" s="52" t="n">
        <v>1</v>
      </c>
      <c r="AR79" s="52" t="n">
        <v>1</v>
      </c>
      <c r="AS79" s="52" t="n">
        <v>1</v>
      </c>
      <c r="AT79" s="52" t="n">
        <v>3</v>
      </c>
      <c r="AU79" s="52" t="n"/>
      <c r="AV79" s="52" t="n">
        <v>1</v>
      </c>
      <c r="AW79" s="52" t="n">
        <v>1</v>
      </c>
      <c r="AX79" s="52" t="n">
        <v>1</v>
      </c>
      <c r="AY79" s="52" t="n">
        <v>3</v>
      </c>
      <c r="AZ79" s="52" t="n"/>
      <c r="BA79" s="52" t="n"/>
      <c r="BB79" s="52" t="n"/>
      <c r="BC79" s="52" t="n"/>
      <c r="BD79" s="52" t="n"/>
      <c r="BE79" s="52" t="n"/>
      <c r="BF79" s="52" t="n"/>
      <c r="BG79" s="52" t="n"/>
      <c r="BH79" s="52" t="n"/>
      <c r="BI79" s="52" t="n"/>
      <c r="BJ79" s="52" t="n"/>
      <c r="BK79" s="52" t="n"/>
      <c r="BL79" s="52" t="n"/>
      <c r="BM79" s="52" t="n"/>
      <c r="BN79" s="52" t="n"/>
      <c r="BO79" s="52" t="n"/>
    </row>
    <row r="80">
      <c r="A80" s="67" t="n"/>
      <c r="B80" s="67" t="n"/>
      <c r="C80" s="67" t="n"/>
      <c r="D80" s="67" t="n"/>
      <c r="E80" s="67" t="n"/>
      <c r="F80" s="68" t="inlineStr">
        <is>
          <t>% Achieved</t>
        </is>
      </c>
      <c r="G80" s="69">
        <f>IFERROR(G79/G78,"")</f>
        <v/>
      </c>
      <c r="H80" s="70">
        <f>IFERROR(H79/H78,"")</f>
        <v/>
      </c>
      <c r="I80" s="70">
        <f>IFERROR(I79/I78,"")</f>
        <v/>
      </c>
      <c r="J80" s="70">
        <f>IFERROR(J79/J78,"")</f>
        <v/>
      </c>
      <c r="K80" s="70">
        <f>IFERROR(K79/K78,"")</f>
        <v/>
      </c>
      <c r="L80" s="70">
        <f>IFERROR(L79/L78,"")</f>
        <v/>
      </c>
      <c r="M80" s="70">
        <f>IFERROR(M79/M78,"")</f>
        <v/>
      </c>
      <c r="N80" s="70">
        <f>IFERROR(N79/N78,"")</f>
        <v/>
      </c>
      <c r="O80" s="70">
        <f>IFERROR(O79/O78,"")</f>
        <v/>
      </c>
      <c r="P80" s="70">
        <f>IFERROR(P79/P78,"")</f>
        <v/>
      </c>
      <c r="Q80" s="70">
        <f>IFERROR(Q79/Q78,"")</f>
        <v/>
      </c>
      <c r="R80" s="70">
        <f>IFERROR(R79/R78,"")</f>
        <v/>
      </c>
      <c r="S80" s="70">
        <f>IFERROR(S79/S78,"")</f>
        <v/>
      </c>
      <c r="T80" s="70">
        <f>IFERROR(T79/T78,"")</f>
        <v/>
      </c>
      <c r="U80" s="70">
        <f>IFERROR(U79/U78,"")</f>
        <v/>
      </c>
      <c r="V80" s="70">
        <f>IFERROR(V79/V78,"")</f>
        <v/>
      </c>
      <c r="W80" s="70">
        <f>IFERROR(W79/W78,"")</f>
        <v/>
      </c>
      <c r="X80" s="70">
        <f>IFERROR(X79/X78,"")</f>
        <v/>
      </c>
      <c r="Y80" s="70">
        <f>IFERROR(Y79/Y78,"")</f>
        <v/>
      </c>
      <c r="Z80" s="70">
        <f>IFERROR(Z79/Z78,"")</f>
        <v/>
      </c>
      <c r="AA80" s="70">
        <f>IFERROR(AA79/AA78,"")</f>
        <v/>
      </c>
      <c r="AB80" s="70">
        <f>IFERROR(AB79/AB78,"")</f>
        <v/>
      </c>
      <c r="AC80" s="70">
        <f>IFERROR(AC79/AC78,"")</f>
        <v/>
      </c>
      <c r="AD80" s="70">
        <f>IFERROR(AD79/AD78,"")</f>
        <v/>
      </c>
      <c r="AE80" s="70">
        <f>IFERROR(AE79/AE78,"")</f>
        <v/>
      </c>
      <c r="AF80" s="70">
        <f>IFERROR(AF79/AF78,"")</f>
        <v/>
      </c>
      <c r="AG80" s="70">
        <f>IFERROR(AG79/AG78,"")</f>
        <v/>
      </c>
      <c r="AH80" s="70">
        <f>IFERROR(AH79/AH78,"")</f>
        <v/>
      </c>
      <c r="AI80" s="70">
        <f>IFERROR(AI79/AI78,"")</f>
        <v/>
      </c>
      <c r="AJ80" s="70">
        <f>IFERROR(AJ79/AJ78,"")</f>
        <v/>
      </c>
      <c r="AK80" s="70">
        <f>IFERROR(AK79/AK78,"")</f>
        <v/>
      </c>
      <c r="AL80" s="70">
        <f>IFERROR(AL79/AL78,"")</f>
        <v/>
      </c>
      <c r="AM80" s="70">
        <f>IFERROR(AM79/AM78,"")</f>
        <v/>
      </c>
      <c r="AN80" s="70">
        <f>IFERROR(AN79/AN78,"")</f>
        <v/>
      </c>
      <c r="AO80" s="70">
        <f>IFERROR(AO79/AO78,"")</f>
        <v/>
      </c>
      <c r="AP80" s="70">
        <f>IFERROR(AP79/AP78,"")</f>
        <v/>
      </c>
      <c r="AQ80" s="70">
        <f>IFERROR(AQ79/AQ78,"")</f>
        <v/>
      </c>
      <c r="AR80" s="70">
        <f>IFERROR(AR79/AR78,"")</f>
        <v/>
      </c>
      <c r="AS80" s="70">
        <f>IFERROR(AS79/AS78,"")</f>
        <v/>
      </c>
      <c r="AT80" s="70">
        <f>IFERROR(AT79/AT78,"")</f>
        <v/>
      </c>
      <c r="AU80" s="70">
        <f>IFERROR(AU79/AU78,"")</f>
        <v/>
      </c>
      <c r="AV80" s="70">
        <f>IFERROR(AV79/AV78,"")</f>
        <v/>
      </c>
      <c r="AW80" s="70">
        <f>IFERROR(AW79/AW78,"")</f>
        <v/>
      </c>
      <c r="AX80" s="70">
        <f>IFERROR(AX79/AX78,"")</f>
        <v/>
      </c>
      <c r="AY80" s="70">
        <f>IFERROR(AY79/AY78,"")</f>
        <v/>
      </c>
      <c r="AZ80" s="70">
        <f>IFERROR(AZ79/AZ78,"")</f>
        <v/>
      </c>
      <c r="BA80" s="70">
        <f>IFERROR(BA79/BA78,"")</f>
        <v/>
      </c>
      <c r="BB80" s="70">
        <f>IFERROR(BB79/BB78,"")</f>
        <v/>
      </c>
      <c r="BC80" s="70">
        <f>IFERROR(BC79/BC78,"")</f>
        <v/>
      </c>
      <c r="BD80" s="70">
        <f>IFERROR(BD79/BD78,"")</f>
        <v/>
      </c>
      <c r="BE80" s="70">
        <f>IFERROR(BE79/BE78,"")</f>
        <v/>
      </c>
      <c r="BF80" s="70">
        <f>IFERROR(BF79/BF78,"")</f>
        <v/>
      </c>
      <c r="BG80" s="70">
        <f>IFERROR(BG79/BG78,"")</f>
        <v/>
      </c>
      <c r="BH80" s="70">
        <f>IFERROR(BH79/BH78,"")</f>
        <v/>
      </c>
      <c r="BI80" s="70">
        <f>IFERROR(BI79/BI78,"")</f>
        <v/>
      </c>
      <c r="BJ80" s="70">
        <f>IFERROR(BJ79/BJ78,"")</f>
        <v/>
      </c>
      <c r="BK80" s="70">
        <f>IFERROR(BK79/BK78,"")</f>
        <v/>
      </c>
      <c r="BL80" s="70">
        <f>IFERROR(BL79/BL78,"")</f>
        <v/>
      </c>
      <c r="BM80" s="70">
        <f>IFERROR(BM79/BM78,"")</f>
        <v/>
      </c>
      <c r="BN80" s="70">
        <f>IFERROR(BN79/BN78,"")</f>
        <v/>
      </c>
      <c r="BO80" s="70">
        <f>IFERROR(BO79/BO78,"")</f>
        <v/>
      </c>
    </row>
    <row r="81">
      <c r="A81" s="61">
        <f>IFERROR(INDEX(Team_Master!$C$6:$C$20,6),"")</f>
        <v/>
      </c>
      <c r="B81" s="62">
        <f>IFERROR(INDEX(Team_Master!$G$6:$G$20,6),"")</f>
        <v/>
      </c>
      <c r="C81" s="63" t="inlineStr">
        <is>
          <t>K1</t>
        </is>
      </c>
      <c r="D81" s="11" t="inlineStr">
        <is>
          <t>Invoiced Value</t>
        </is>
      </c>
      <c r="E81" s="64" t="inlineStr">
        <is>
          <t>MVND</t>
        </is>
      </c>
      <c r="F81" s="75" t="inlineStr">
        <is>
          <t>Phasing</t>
        </is>
      </c>
      <c r="G81" s="56">
        <f>SUM(H81:BO81)</f>
        <v/>
      </c>
      <c r="H81" s="52" t="n">
        <v>140</v>
      </c>
      <c r="I81" s="52" t="n">
        <v>140</v>
      </c>
      <c r="J81" s="52" t="n">
        <v>140</v>
      </c>
      <c r="K81" s="52" t="n">
        <v>140</v>
      </c>
      <c r="L81" s="52" t="n"/>
      <c r="M81" s="52" t="n">
        <v>102</v>
      </c>
      <c r="N81" s="52" t="n">
        <v>102</v>
      </c>
      <c r="O81" s="52" t="n">
        <v>102</v>
      </c>
      <c r="P81" s="52" t="n">
        <v>102</v>
      </c>
      <c r="Q81" s="52" t="n"/>
      <c r="R81" s="52" t="n">
        <v>156</v>
      </c>
      <c r="S81" s="52" t="n">
        <v>156</v>
      </c>
      <c r="T81" s="52" t="n">
        <v>156</v>
      </c>
      <c r="U81" s="52" t="n">
        <v>157</v>
      </c>
      <c r="V81" s="52" t="n"/>
      <c r="W81" s="52" t="n">
        <v>164</v>
      </c>
      <c r="X81" s="52" t="n">
        <v>164</v>
      </c>
      <c r="Y81" s="52" t="n">
        <v>164</v>
      </c>
      <c r="Z81" s="52" t="n">
        <v>166</v>
      </c>
      <c r="AA81" s="52" t="n"/>
      <c r="AB81" s="52" t="n">
        <v>168</v>
      </c>
      <c r="AC81" s="52" t="n">
        <v>168</v>
      </c>
      <c r="AD81" s="52" t="n">
        <v>168</v>
      </c>
      <c r="AE81" s="52" t="n">
        <v>168</v>
      </c>
      <c r="AF81" s="52" t="n"/>
      <c r="AG81" s="52" t="n">
        <v>172</v>
      </c>
      <c r="AH81" s="52" t="n">
        <v>172</v>
      </c>
      <c r="AI81" s="52" t="n">
        <v>172</v>
      </c>
      <c r="AJ81" s="52" t="n">
        <v>175</v>
      </c>
      <c r="AK81" s="52" t="n"/>
      <c r="AL81" s="52" t="n">
        <v>164</v>
      </c>
      <c r="AM81" s="52" t="n">
        <v>164</v>
      </c>
      <c r="AN81" s="52" t="n">
        <v>164</v>
      </c>
      <c r="AO81" s="52" t="n">
        <v>166</v>
      </c>
      <c r="AP81" s="52" t="n"/>
      <c r="AQ81" s="52" t="n">
        <v>169</v>
      </c>
      <c r="AR81" s="52" t="n">
        <v>169</v>
      </c>
      <c r="AS81" s="52" t="n">
        <v>169</v>
      </c>
      <c r="AT81" s="52" t="n">
        <v>171</v>
      </c>
      <c r="AU81" s="52" t="n"/>
      <c r="AV81" s="52" t="n">
        <v>177</v>
      </c>
      <c r="AW81" s="52" t="n">
        <v>177</v>
      </c>
      <c r="AX81" s="52" t="n">
        <v>177</v>
      </c>
      <c r="AY81" s="52" t="n">
        <v>180</v>
      </c>
      <c r="AZ81" s="52" t="n"/>
      <c r="BA81" s="52" t="n">
        <v>184</v>
      </c>
      <c r="BB81" s="52" t="n">
        <v>184</v>
      </c>
      <c r="BC81" s="52" t="n">
        <v>184</v>
      </c>
      <c r="BD81" s="52" t="n">
        <v>185</v>
      </c>
      <c r="BE81" s="52" t="n"/>
      <c r="BF81" s="52" t="n">
        <v>189</v>
      </c>
      <c r="BG81" s="52" t="n">
        <v>189</v>
      </c>
      <c r="BH81" s="52" t="n">
        <v>189</v>
      </c>
      <c r="BI81" s="52" t="n">
        <v>190</v>
      </c>
      <c r="BJ81" s="52" t="n"/>
      <c r="BK81" s="52" t="n">
        <v>186</v>
      </c>
      <c r="BL81" s="52" t="n">
        <v>186</v>
      </c>
      <c r="BM81" s="52" t="n">
        <v>186</v>
      </c>
      <c r="BN81" s="52" t="n">
        <v>187</v>
      </c>
      <c r="BO81" s="52" t="n"/>
    </row>
    <row r="82">
      <c r="A82" s="66" t="n"/>
      <c r="B82" s="66" t="n"/>
      <c r="C82" s="66" t="n"/>
      <c r="D82" s="66" t="n"/>
      <c r="E82" s="66" t="n"/>
      <c r="F82" s="75" t="inlineStr">
        <is>
          <t>Actual</t>
        </is>
      </c>
      <c r="G82" s="56">
        <f>SUM(H82:BO82)</f>
        <v/>
      </c>
      <c r="H82" s="52" t="n">
        <v>172</v>
      </c>
      <c r="I82" s="52" t="n">
        <v>175</v>
      </c>
      <c r="J82" s="52" t="n">
        <v>150</v>
      </c>
      <c r="K82" s="52" t="n">
        <v>147</v>
      </c>
      <c r="L82" s="52" t="n"/>
      <c r="M82" s="52" t="n">
        <v>111</v>
      </c>
      <c r="N82" s="52" t="n">
        <v>94</v>
      </c>
      <c r="O82" s="52" t="n">
        <v>110</v>
      </c>
      <c r="P82" s="52" t="n">
        <v>122</v>
      </c>
      <c r="Q82" s="52" t="n"/>
      <c r="R82" s="52" t="n">
        <v>205</v>
      </c>
      <c r="S82" s="52" t="n">
        <v>193</v>
      </c>
      <c r="T82" s="52" t="n">
        <v>185</v>
      </c>
      <c r="U82" s="52" t="n">
        <v>183</v>
      </c>
      <c r="V82" s="52" t="n"/>
      <c r="W82" s="52" t="n">
        <v>152</v>
      </c>
      <c r="X82" s="52" t="n">
        <v>173</v>
      </c>
      <c r="Y82" s="52" t="n">
        <v>173</v>
      </c>
      <c r="Z82" s="52" t="n">
        <v>196</v>
      </c>
      <c r="AA82" s="52" t="n"/>
      <c r="AB82" s="52" t="n">
        <v>161</v>
      </c>
      <c r="AC82" s="52" t="n">
        <v>180</v>
      </c>
      <c r="AD82" s="52" t="n">
        <v>189</v>
      </c>
      <c r="AE82" s="52" t="n">
        <v>208</v>
      </c>
      <c r="AF82" s="52" t="n"/>
      <c r="AG82" s="52" t="n">
        <v>215</v>
      </c>
      <c r="AH82" s="52" t="n">
        <v>200</v>
      </c>
      <c r="AI82" s="52" t="n">
        <v>169</v>
      </c>
      <c r="AJ82" s="52" t="n">
        <v>215</v>
      </c>
      <c r="AK82" s="52" t="n"/>
      <c r="AL82" s="52" t="n">
        <v>210</v>
      </c>
      <c r="AM82" s="52" t="n">
        <v>187</v>
      </c>
      <c r="AN82" s="52" t="n">
        <v>174</v>
      </c>
      <c r="AO82" s="52" t="n">
        <v>186</v>
      </c>
      <c r="AP82" s="52" t="n"/>
      <c r="AQ82" s="52" t="n">
        <v>165</v>
      </c>
      <c r="AR82" s="52" t="n">
        <v>204</v>
      </c>
      <c r="AS82" s="52" t="n">
        <v>222</v>
      </c>
      <c r="AT82" s="52" t="n">
        <v>193</v>
      </c>
      <c r="AU82" s="52" t="n"/>
      <c r="AV82" s="52" t="n">
        <v>214</v>
      </c>
      <c r="AW82" s="52" t="n">
        <v>222</v>
      </c>
      <c r="AX82" s="52" t="n">
        <v>177</v>
      </c>
      <c r="AY82" s="52" t="n">
        <v>234</v>
      </c>
      <c r="AZ82" s="52" t="n"/>
      <c r="BA82" s="52" t="n"/>
      <c r="BB82" s="52" t="n"/>
      <c r="BC82" s="52" t="n"/>
      <c r="BD82" s="52" t="n"/>
      <c r="BE82" s="52" t="n"/>
      <c r="BF82" s="52" t="n"/>
      <c r="BG82" s="52" t="n"/>
      <c r="BH82" s="52" t="n"/>
      <c r="BI82" s="52" t="n"/>
      <c r="BJ82" s="52" t="n"/>
      <c r="BK82" s="52" t="n"/>
      <c r="BL82" s="52" t="n"/>
      <c r="BM82" s="52" t="n"/>
      <c r="BN82" s="52" t="n"/>
      <c r="BO82" s="52" t="n"/>
    </row>
    <row r="83">
      <c r="A83" s="66" t="n"/>
      <c r="B83" s="66" t="n"/>
      <c r="C83" s="67" t="n"/>
      <c r="D83" s="67" t="n"/>
      <c r="E83" s="67" t="n"/>
      <c r="F83" s="68" t="inlineStr">
        <is>
          <t>% Achieved</t>
        </is>
      </c>
      <c r="G83" s="69">
        <f>IFERROR(G82/G81,"")</f>
        <v/>
      </c>
      <c r="H83" s="70">
        <f>IFERROR(H82/H81,"")</f>
        <v/>
      </c>
      <c r="I83" s="70">
        <f>IFERROR(I82/I81,"")</f>
        <v/>
      </c>
      <c r="J83" s="70">
        <f>IFERROR(J82/J81,"")</f>
        <v/>
      </c>
      <c r="K83" s="70">
        <f>IFERROR(K82/K81,"")</f>
        <v/>
      </c>
      <c r="L83" s="70">
        <f>IFERROR(L82/L81,"")</f>
        <v/>
      </c>
      <c r="M83" s="70">
        <f>IFERROR(M82/M81,"")</f>
        <v/>
      </c>
      <c r="N83" s="70">
        <f>IFERROR(N82/N81,"")</f>
        <v/>
      </c>
      <c r="O83" s="70">
        <f>IFERROR(O82/O81,"")</f>
        <v/>
      </c>
      <c r="P83" s="70">
        <f>IFERROR(P82/P81,"")</f>
        <v/>
      </c>
      <c r="Q83" s="70">
        <f>IFERROR(Q82/Q81,"")</f>
        <v/>
      </c>
      <c r="R83" s="70">
        <f>IFERROR(R82/R81,"")</f>
        <v/>
      </c>
      <c r="S83" s="70">
        <f>IFERROR(S82/S81,"")</f>
        <v/>
      </c>
      <c r="T83" s="70">
        <f>IFERROR(T82/T81,"")</f>
        <v/>
      </c>
      <c r="U83" s="70">
        <f>IFERROR(U82/U81,"")</f>
        <v/>
      </c>
      <c r="V83" s="70">
        <f>IFERROR(V82/V81,"")</f>
        <v/>
      </c>
      <c r="W83" s="70">
        <f>IFERROR(W82/W81,"")</f>
        <v/>
      </c>
      <c r="X83" s="70">
        <f>IFERROR(X82/X81,"")</f>
        <v/>
      </c>
      <c r="Y83" s="70">
        <f>IFERROR(Y82/Y81,"")</f>
        <v/>
      </c>
      <c r="Z83" s="70">
        <f>IFERROR(Z82/Z81,"")</f>
        <v/>
      </c>
      <c r="AA83" s="70">
        <f>IFERROR(AA82/AA81,"")</f>
        <v/>
      </c>
      <c r="AB83" s="70">
        <f>IFERROR(AB82/AB81,"")</f>
        <v/>
      </c>
      <c r="AC83" s="70">
        <f>IFERROR(AC82/AC81,"")</f>
        <v/>
      </c>
      <c r="AD83" s="70">
        <f>IFERROR(AD82/AD81,"")</f>
        <v/>
      </c>
      <c r="AE83" s="70">
        <f>IFERROR(AE82/AE81,"")</f>
        <v/>
      </c>
      <c r="AF83" s="70">
        <f>IFERROR(AF82/AF81,"")</f>
        <v/>
      </c>
      <c r="AG83" s="70">
        <f>IFERROR(AG82/AG81,"")</f>
        <v/>
      </c>
      <c r="AH83" s="70">
        <f>IFERROR(AH82/AH81,"")</f>
        <v/>
      </c>
      <c r="AI83" s="70">
        <f>IFERROR(AI82/AI81,"")</f>
        <v/>
      </c>
      <c r="AJ83" s="70">
        <f>IFERROR(AJ82/AJ81,"")</f>
        <v/>
      </c>
      <c r="AK83" s="70">
        <f>IFERROR(AK82/AK81,"")</f>
        <v/>
      </c>
      <c r="AL83" s="70">
        <f>IFERROR(AL82/AL81,"")</f>
        <v/>
      </c>
      <c r="AM83" s="70">
        <f>IFERROR(AM82/AM81,"")</f>
        <v/>
      </c>
      <c r="AN83" s="70">
        <f>IFERROR(AN82/AN81,"")</f>
        <v/>
      </c>
      <c r="AO83" s="70">
        <f>IFERROR(AO82/AO81,"")</f>
        <v/>
      </c>
      <c r="AP83" s="70">
        <f>IFERROR(AP82/AP81,"")</f>
        <v/>
      </c>
      <c r="AQ83" s="70">
        <f>IFERROR(AQ82/AQ81,"")</f>
        <v/>
      </c>
      <c r="AR83" s="70">
        <f>IFERROR(AR82/AR81,"")</f>
        <v/>
      </c>
      <c r="AS83" s="70">
        <f>IFERROR(AS82/AS81,"")</f>
        <v/>
      </c>
      <c r="AT83" s="70">
        <f>IFERROR(AT82/AT81,"")</f>
        <v/>
      </c>
      <c r="AU83" s="70">
        <f>IFERROR(AU82/AU81,"")</f>
        <v/>
      </c>
      <c r="AV83" s="70">
        <f>IFERROR(AV82/AV81,"")</f>
        <v/>
      </c>
      <c r="AW83" s="70">
        <f>IFERROR(AW82/AW81,"")</f>
        <v/>
      </c>
      <c r="AX83" s="70">
        <f>IFERROR(AX82/AX81,"")</f>
        <v/>
      </c>
      <c r="AY83" s="70">
        <f>IFERROR(AY82/AY81,"")</f>
        <v/>
      </c>
      <c r="AZ83" s="70">
        <f>IFERROR(AZ82/AZ81,"")</f>
        <v/>
      </c>
      <c r="BA83" s="70">
        <f>IFERROR(BA82/BA81,"")</f>
        <v/>
      </c>
      <c r="BB83" s="70">
        <f>IFERROR(BB82/BB81,"")</f>
        <v/>
      </c>
      <c r="BC83" s="70">
        <f>IFERROR(BC82/BC81,"")</f>
        <v/>
      </c>
      <c r="BD83" s="70">
        <f>IFERROR(BD82/BD81,"")</f>
        <v/>
      </c>
      <c r="BE83" s="70">
        <f>IFERROR(BE82/BE81,"")</f>
        <v/>
      </c>
      <c r="BF83" s="70">
        <f>IFERROR(BF82/BF81,"")</f>
        <v/>
      </c>
      <c r="BG83" s="70">
        <f>IFERROR(BG82/BG81,"")</f>
        <v/>
      </c>
      <c r="BH83" s="70">
        <f>IFERROR(BH82/BH81,"")</f>
        <v/>
      </c>
      <c r="BI83" s="70">
        <f>IFERROR(BI82/BI81,"")</f>
        <v/>
      </c>
      <c r="BJ83" s="70">
        <f>IFERROR(BJ82/BJ81,"")</f>
        <v/>
      </c>
      <c r="BK83" s="70">
        <f>IFERROR(BK82/BK81,"")</f>
        <v/>
      </c>
      <c r="BL83" s="70">
        <f>IFERROR(BL82/BL81,"")</f>
        <v/>
      </c>
      <c r="BM83" s="70">
        <f>IFERROR(BM82/BM81,"")</f>
        <v/>
      </c>
      <c r="BN83" s="70">
        <f>IFERROR(BN82/BN81,"")</f>
        <v/>
      </c>
      <c r="BO83" s="70">
        <f>IFERROR(BO82/BO81,"")</f>
        <v/>
      </c>
    </row>
    <row r="84">
      <c r="A84" s="66" t="n"/>
      <c r="B84" s="66" t="n"/>
      <c r="C84" s="63" t="inlineStr">
        <is>
          <t>K2</t>
        </is>
      </c>
      <c r="D84" s="11" t="inlineStr">
        <is>
          <t>Key account approach / Site check</t>
        </is>
      </c>
      <c r="E84" s="64" t="inlineStr">
        <is>
          <t>Roadshow</t>
        </is>
      </c>
      <c r="F84" s="75" t="inlineStr">
        <is>
          <t>Phasing</t>
        </is>
      </c>
      <c r="G84" s="56">
        <f>SUM(H84:BO84)</f>
        <v/>
      </c>
      <c r="H84" s="52" t="n">
        <v>3</v>
      </c>
      <c r="I84" s="52" t="n">
        <v>3</v>
      </c>
      <c r="J84" s="52" t="n">
        <v>3</v>
      </c>
      <c r="K84" s="52" t="n">
        <v>4</v>
      </c>
      <c r="L84" s="52" t="n"/>
      <c r="M84" s="52" t="n">
        <v>2</v>
      </c>
      <c r="N84" s="52" t="n">
        <v>2</v>
      </c>
      <c r="O84" s="52" t="n">
        <v>2</v>
      </c>
      <c r="P84" s="52" t="n">
        <v>3</v>
      </c>
      <c r="Q84" s="52" t="n"/>
      <c r="R84" s="52" t="n">
        <v>3</v>
      </c>
      <c r="S84" s="52" t="n">
        <v>3</v>
      </c>
      <c r="T84" s="52" t="n">
        <v>3</v>
      </c>
      <c r="U84" s="52" t="n">
        <v>5</v>
      </c>
      <c r="V84" s="52" t="n"/>
      <c r="W84" s="52" t="n">
        <v>3</v>
      </c>
      <c r="X84" s="52" t="n">
        <v>3</v>
      </c>
      <c r="Y84" s="52" t="n">
        <v>3</v>
      </c>
      <c r="Z84" s="52" t="n">
        <v>6</v>
      </c>
      <c r="AA84" s="52" t="n"/>
      <c r="AB84" s="52" t="n">
        <v>3</v>
      </c>
      <c r="AC84" s="52" t="n">
        <v>3</v>
      </c>
      <c r="AD84" s="52" t="n">
        <v>3</v>
      </c>
      <c r="AE84" s="52" t="n">
        <v>6</v>
      </c>
      <c r="AF84" s="52" t="n"/>
      <c r="AG84" s="52" t="n">
        <v>4</v>
      </c>
      <c r="AH84" s="52" t="n">
        <v>4</v>
      </c>
      <c r="AI84" s="52" t="n">
        <v>4</v>
      </c>
      <c r="AJ84" s="52" t="n">
        <v>4</v>
      </c>
      <c r="AK84" s="52" t="n"/>
      <c r="AL84" s="52" t="n">
        <v>3</v>
      </c>
      <c r="AM84" s="52" t="n">
        <v>3</v>
      </c>
      <c r="AN84" s="52" t="n">
        <v>3</v>
      </c>
      <c r="AO84" s="52" t="n">
        <v>6</v>
      </c>
      <c r="AP84" s="52" t="n"/>
      <c r="AQ84" s="52" t="n">
        <v>3</v>
      </c>
      <c r="AR84" s="52" t="n">
        <v>3</v>
      </c>
      <c r="AS84" s="52" t="n">
        <v>3</v>
      </c>
      <c r="AT84" s="52" t="n">
        <v>6</v>
      </c>
      <c r="AU84" s="52" t="n"/>
      <c r="AV84" s="52" t="n">
        <v>4</v>
      </c>
      <c r="AW84" s="52" t="n">
        <v>4</v>
      </c>
      <c r="AX84" s="52" t="n">
        <v>4</v>
      </c>
      <c r="AY84" s="52" t="n">
        <v>4</v>
      </c>
      <c r="AZ84" s="52" t="n"/>
      <c r="BA84" s="52" t="n">
        <v>4</v>
      </c>
      <c r="BB84" s="52" t="n">
        <v>4</v>
      </c>
      <c r="BC84" s="52" t="n">
        <v>4</v>
      </c>
      <c r="BD84" s="52" t="n">
        <v>5</v>
      </c>
      <c r="BE84" s="52" t="n"/>
      <c r="BF84" s="52" t="n">
        <v>4</v>
      </c>
      <c r="BG84" s="52" t="n">
        <v>4</v>
      </c>
      <c r="BH84" s="52" t="n">
        <v>4</v>
      </c>
      <c r="BI84" s="52" t="n">
        <v>5</v>
      </c>
      <c r="BJ84" s="52" t="n"/>
      <c r="BK84" s="52" t="n">
        <v>4</v>
      </c>
      <c r="BL84" s="52" t="n">
        <v>4</v>
      </c>
      <c r="BM84" s="52" t="n">
        <v>4</v>
      </c>
      <c r="BN84" s="52" t="n">
        <v>6</v>
      </c>
      <c r="BO84" s="52" t="n"/>
    </row>
    <row r="85">
      <c r="A85" s="66" t="n"/>
      <c r="B85" s="66" t="n"/>
      <c r="C85" s="66" t="n"/>
      <c r="D85" s="66" t="n"/>
      <c r="E85" s="66" t="n"/>
      <c r="F85" s="75" t="inlineStr">
        <is>
          <t>Actual</t>
        </is>
      </c>
      <c r="G85" s="56">
        <f>SUM(H85:BO85)</f>
        <v/>
      </c>
      <c r="H85" s="52" t="n">
        <v>4</v>
      </c>
      <c r="I85" s="52" t="n">
        <v>3</v>
      </c>
      <c r="J85" s="52" t="n">
        <v>3</v>
      </c>
      <c r="K85" s="52" t="n">
        <v>4</v>
      </c>
      <c r="L85" s="52" t="n"/>
      <c r="M85" s="52" t="n">
        <v>2</v>
      </c>
      <c r="N85" s="52" t="n">
        <v>2</v>
      </c>
      <c r="O85" s="52" t="n">
        <v>2</v>
      </c>
      <c r="P85" s="52" t="n">
        <v>4</v>
      </c>
      <c r="Q85" s="52" t="n"/>
      <c r="R85" s="52" t="n">
        <v>3</v>
      </c>
      <c r="S85" s="52" t="n">
        <v>3</v>
      </c>
      <c r="T85" s="52" t="n">
        <v>3</v>
      </c>
      <c r="U85" s="52" t="n">
        <v>7</v>
      </c>
      <c r="V85" s="52" t="n"/>
      <c r="W85" s="52" t="n">
        <v>3</v>
      </c>
      <c r="X85" s="52" t="n">
        <v>4</v>
      </c>
      <c r="Y85" s="52" t="n">
        <v>3</v>
      </c>
      <c r="Z85" s="52" t="n">
        <v>7</v>
      </c>
      <c r="AA85" s="52" t="n"/>
      <c r="AB85" s="52" t="n">
        <v>3</v>
      </c>
      <c r="AC85" s="52" t="n">
        <v>3</v>
      </c>
      <c r="AD85" s="52" t="n">
        <v>4</v>
      </c>
      <c r="AE85" s="52" t="n">
        <v>8</v>
      </c>
      <c r="AF85" s="52" t="n"/>
      <c r="AG85" s="52" t="n">
        <v>5</v>
      </c>
      <c r="AH85" s="52" t="n">
        <v>5</v>
      </c>
      <c r="AI85" s="52" t="n">
        <v>4</v>
      </c>
      <c r="AJ85" s="52" t="n">
        <v>5</v>
      </c>
      <c r="AK85" s="52" t="n"/>
      <c r="AL85" s="52" t="n">
        <v>3</v>
      </c>
      <c r="AM85" s="52" t="n">
        <v>4</v>
      </c>
      <c r="AN85" s="52" t="n">
        <v>3</v>
      </c>
      <c r="AO85" s="52" t="n">
        <v>7</v>
      </c>
      <c r="AP85" s="52" t="n"/>
      <c r="AQ85" s="52" t="n">
        <v>4</v>
      </c>
      <c r="AR85" s="52" t="n">
        <v>3</v>
      </c>
      <c r="AS85" s="52" t="n">
        <v>3</v>
      </c>
      <c r="AT85" s="52" t="n">
        <v>6</v>
      </c>
      <c r="AU85" s="52" t="n"/>
      <c r="AV85" s="52" t="n">
        <v>4</v>
      </c>
      <c r="AW85" s="52" t="n">
        <v>4</v>
      </c>
      <c r="AX85" s="52" t="n">
        <v>5</v>
      </c>
      <c r="AY85" s="52" t="n">
        <v>5</v>
      </c>
      <c r="AZ85" s="52" t="n"/>
      <c r="BA85" s="52" t="n"/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2" t="n"/>
      <c r="BO85" s="52" t="n"/>
    </row>
    <row r="86">
      <c r="A86" s="66" t="n"/>
      <c r="B86" s="66" t="n"/>
      <c r="C86" s="67" t="n"/>
      <c r="D86" s="67" t="n"/>
      <c r="E86" s="67" t="n"/>
      <c r="F86" s="68" t="inlineStr">
        <is>
          <t>% Achieved</t>
        </is>
      </c>
      <c r="G86" s="69">
        <f>IFERROR(G85/G84,"")</f>
        <v/>
      </c>
      <c r="H86" s="70">
        <f>IFERROR(H85/H84,"")</f>
        <v/>
      </c>
      <c r="I86" s="70">
        <f>IFERROR(I85/I84,"")</f>
        <v/>
      </c>
      <c r="J86" s="70">
        <f>IFERROR(J85/J84,"")</f>
        <v/>
      </c>
      <c r="K86" s="70">
        <f>IFERROR(K85/K84,"")</f>
        <v/>
      </c>
      <c r="L86" s="70">
        <f>IFERROR(L85/L84,"")</f>
        <v/>
      </c>
      <c r="M86" s="70">
        <f>IFERROR(M85/M84,"")</f>
        <v/>
      </c>
      <c r="N86" s="70">
        <f>IFERROR(N85/N84,"")</f>
        <v/>
      </c>
      <c r="O86" s="70">
        <f>IFERROR(O85/O84,"")</f>
        <v/>
      </c>
      <c r="P86" s="70">
        <f>IFERROR(P85/P84,"")</f>
        <v/>
      </c>
      <c r="Q86" s="70">
        <f>IFERROR(Q85/Q84,"")</f>
        <v/>
      </c>
      <c r="R86" s="70">
        <f>IFERROR(R85/R84,"")</f>
        <v/>
      </c>
      <c r="S86" s="70">
        <f>IFERROR(S85/S84,"")</f>
        <v/>
      </c>
      <c r="T86" s="70">
        <f>IFERROR(T85/T84,"")</f>
        <v/>
      </c>
      <c r="U86" s="70">
        <f>IFERROR(U85/U84,"")</f>
        <v/>
      </c>
      <c r="V86" s="70">
        <f>IFERROR(V85/V84,"")</f>
        <v/>
      </c>
      <c r="W86" s="70">
        <f>IFERROR(W85/W84,"")</f>
        <v/>
      </c>
      <c r="X86" s="70">
        <f>IFERROR(X85/X84,"")</f>
        <v/>
      </c>
      <c r="Y86" s="70">
        <f>IFERROR(Y85/Y84,"")</f>
        <v/>
      </c>
      <c r="Z86" s="70">
        <f>IFERROR(Z85/Z84,"")</f>
        <v/>
      </c>
      <c r="AA86" s="70">
        <f>IFERROR(AA85/AA84,"")</f>
        <v/>
      </c>
      <c r="AB86" s="70">
        <f>IFERROR(AB85/AB84,"")</f>
        <v/>
      </c>
      <c r="AC86" s="70">
        <f>IFERROR(AC85/AC84,"")</f>
        <v/>
      </c>
      <c r="AD86" s="70">
        <f>IFERROR(AD85/AD84,"")</f>
        <v/>
      </c>
      <c r="AE86" s="70">
        <f>IFERROR(AE85/AE84,"")</f>
        <v/>
      </c>
      <c r="AF86" s="70">
        <f>IFERROR(AF85/AF84,"")</f>
        <v/>
      </c>
      <c r="AG86" s="70">
        <f>IFERROR(AG85/AG84,"")</f>
        <v/>
      </c>
      <c r="AH86" s="70">
        <f>IFERROR(AH85/AH84,"")</f>
        <v/>
      </c>
      <c r="AI86" s="70">
        <f>IFERROR(AI85/AI84,"")</f>
        <v/>
      </c>
      <c r="AJ86" s="70">
        <f>IFERROR(AJ85/AJ84,"")</f>
        <v/>
      </c>
      <c r="AK86" s="70">
        <f>IFERROR(AK85/AK84,"")</f>
        <v/>
      </c>
      <c r="AL86" s="70">
        <f>IFERROR(AL85/AL84,"")</f>
        <v/>
      </c>
      <c r="AM86" s="70">
        <f>IFERROR(AM85/AM84,"")</f>
        <v/>
      </c>
      <c r="AN86" s="70">
        <f>IFERROR(AN85/AN84,"")</f>
        <v/>
      </c>
      <c r="AO86" s="70">
        <f>IFERROR(AO85/AO84,"")</f>
        <v/>
      </c>
      <c r="AP86" s="70">
        <f>IFERROR(AP85/AP84,"")</f>
        <v/>
      </c>
      <c r="AQ86" s="70">
        <f>IFERROR(AQ85/AQ84,"")</f>
        <v/>
      </c>
      <c r="AR86" s="70">
        <f>IFERROR(AR85/AR84,"")</f>
        <v/>
      </c>
      <c r="AS86" s="70">
        <f>IFERROR(AS85/AS84,"")</f>
        <v/>
      </c>
      <c r="AT86" s="70">
        <f>IFERROR(AT85/AT84,"")</f>
        <v/>
      </c>
      <c r="AU86" s="70">
        <f>IFERROR(AU85/AU84,"")</f>
        <v/>
      </c>
      <c r="AV86" s="70">
        <f>IFERROR(AV85/AV84,"")</f>
        <v/>
      </c>
      <c r="AW86" s="70">
        <f>IFERROR(AW85/AW84,"")</f>
        <v/>
      </c>
      <c r="AX86" s="70">
        <f>IFERROR(AX85/AX84,"")</f>
        <v/>
      </c>
      <c r="AY86" s="70">
        <f>IFERROR(AY85/AY84,"")</f>
        <v/>
      </c>
      <c r="AZ86" s="70">
        <f>IFERROR(AZ85/AZ84,"")</f>
        <v/>
      </c>
      <c r="BA86" s="70">
        <f>IFERROR(BA85/BA84,"")</f>
        <v/>
      </c>
      <c r="BB86" s="70">
        <f>IFERROR(BB85/BB84,"")</f>
        <v/>
      </c>
      <c r="BC86" s="70">
        <f>IFERROR(BC85/BC84,"")</f>
        <v/>
      </c>
      <c r="BD86" s="70">
        <f>IFERROR(BD85/BD84,"")</f>
        <v/>
      </c>
      <c r="BE86" s="70">
        <f>IFERROR(BE85/BE84,"")</f>
        <v/>
      </c>
      <c r="BF86" s="70">
        <f>IFERROR(BF85/BF84,"")</f>
        <v/>
      </c>
      <c r="BG86" s="70">
        <f>IFERROR(BG85/BG84,"")</f>
        <v/>
      </c>
      <c r="BH86" s="70">
        <f>IFERROR(BH85/BH84,"")</f>
        <v/>
      </c>
      <c r="BI86" s="70">
        <f>IFERROR(BI85/BI84,"")</f>
        <v/>
      </c>
      <c r="BJ86" s="70">
        <f>IFERROR(BJ85/BJ84,"")</f>
        <v/>
      </c>
      <c r="BK86" s="70">
        <f>IFERROR(BK85/BK84,"")</f>
        <v/>
      </c>
      <c r="BL86" s="70">
        <f>IFERROR(BL85/BL84,"")</f>
        <v/>
      </c>
      <c r="BM86" s="70">
        <f>IFERROR(BM85/BM84,"")</f>
        <v/>
      </c>
      <c r="BN86" s="70">
        <f>IFERROR(BN85/BN84,"")</f>
        <v/>
      </c>
      <c r="BO86" s="70">
        <f>IFERROR(BO85/BO84,"")</f>
        <v/>
      </c>
    </row>
    <row r="87">
      <c r="A87" s="66" t="n"/>
      <c r="B87" s="66" t="n"/>
      <c r="C87" s="71" t="inlineStr">
        <is>
          <t>K3</t>
        </is>
      </c>
      <c r="D87" s="37" t="inlineStr">
        <is>
          <t>Spec-in Value</t>
        </is>
      </c>
      <c r="E87" s="72" t="inlineStr">
        <is>
          <t>MVND</t>
        </is>
      </c>
      <c r="F87" s="75" t="inlineStr">
        <is>
          <t>Phasing</t>
        </is>
      </c>
      <c r="G87" s="56">
        <f>SUM(H87:BO87)</f>
        <v/>
      </c>
      <c r="H87" s="52" t="n">
        <v>55</v>
      </c>
      <c r="I87" s="52" t="n">
        <v>55</v>
      </c>
      <c r="J87" s="52" t="n">
        <v>55</v>
      </c>
      <c r="K87" s="52" t="n">
        <v>55</v>
      </c>
      <c r="L87" s="52" t="n"/>
      <c r="M87" s="52" t="n">
        <v>40</v>
      </c>
      <c r="N87" s="52" t="n">
        <v>40</v>
      </c>
      <c r="O87" s="52" t="n">
        <v>40</v>
      </c>
      <c r="P87" s="52" t="n">
        <v>40</v>
      </c>
      <c r="Q87" s="52" t="n"/>
      <c r="R87" s="52" t="n">
        <v>61</v>
      </c>
      <c r="S87" s="52" t="n">
        <v>61</v>
      </c>
      <c r="T87" s="52" t="n">
        <v>61</v>
      </c>
      <c r="U87" s="52" t="n">
        <v>62</v>
      </c>
      <c r="V87" s="52" t="n"/>
      <c r="W87" s="52" t="n">
        <v>64</v>
      </c>
      <c r="X87" s="52" t="n">
        <v>64</v>
      </c>
      <c r="Y87" s="52" t="n">
        <v>64</v>
      </c>
      <c r="Z87" s="52" t="n">
        <v>66</v>
      </c>
      <c r="AA87" s="52" t="n"/>
      <c r="AB87" s="52" t="n">
        <v>66</v>
      </c>
      <c r="AC87" s="52" t="n">
        <v>66</v>
      </c>
      <c r="AD87" s="52" t="n">
        <v>66</v>
      </c>
      <c r="AE87" s="52" t="n">
        <v>66</v>
      </c>
      <c r="AF87" s="52" t="n"/>
      <c r="AG87" s="52" t="n">
        <v>67</v>
      </c>
      <c r="AH87" s="52" t="n">
        <v>67</v>
      </c>
      <c r="AI87" s="52" t="n">
        <v>67</v>
      </c>
      <c r="AJ87" s="52" t="n">
        <v>70</v>
      </c>
      <c r="AK87" s="52" t="n"/>
      <c r="AL87" s="52" t="n">
        <v>64</v>
      </c>
      <c r="AM87" s="52" t="n">
        <v>64</v>
      </c>
      <c r="AN87" s="52" t="n">
        <v>64</v>
      </c>
      <c r="AO87" s="52" t="n">
        <v>66</v>
      </c>
      <c r="AP87" s="52" t="n"/>
      <c r="AQ87" s="52" t="n">
        <v>66</v>
      </c>
      <c r="AR87" s="52" t="n">
        <v>66</v>
      </c>
      <c r="AS87" s="52" t="n">
        <v>66</v>
      </c>
      <c r="AT87" s="52" t="n">
        <v>68</v>
      </c>
      <c r="AU87" s="52" t="n"/>
      <c r="AV87" s="52" t="n">
        <v>69</v>
      </c>
      <c r="AW87" s="52" t="n">
        <v>69</v>
      </c>
      <c r="AX87" s="52" t="n">
        <v>69</v>
      </c>
      <c r="AY87" s="52" t="n">
        <v>72</v>
      </c>
      <c r="AZ87" s="52" t="n"/>
      <c r="BA87" s="52" t="n">
        <v>72</v>
      </c>
      <c r="BB87" s="52" t="n">
        <v>72</v>
      </c>
      <c r="BC87" s="52" t="n">
        <v>72</v>
      </c>
      <c r="BD87" s="52" t="n">
        <v>73</v>
      </c>
      <c r="BE87" s="52" t="n"/>
      <c r="BF87" s="52" t="n">
        <v>74</v>
      </c>
      <c r="BG87" s="52" t="n">
        <v>74</v>
      </c>
      <c r="BH87" s="52" t="n">
        <v>74</v>
      </c>
      <c r="BI87" s="52" t="n">
        <v>75</v>
      </c>
      <c r="BJ87" s="52" t="n"/>
      <c r="BK87" s="52" t="n">
        <v>73</v>
      </c>
      <c r="BL87" s="52" t="n">
        <v>73</v>
      </c>
      <c r="BM87" s="52" t="n">
        <v>73</v>
      </c>
      <c r="BN87" s="52" t="n">
        <v>74</v>
      </c>
      <c r="BO87" s="52" t="n"/>
    </row>
    <row r="88">
      <c r="A88" s="66" t="n"/>
      <c r="B88" s="66" t="n"/>
      <c r="C88" s="66" t="n"/>
      <c r="D88" s="66" t="n"/>
      <c r="E88" s="66" t="n"/>
      <c r="F88" s="75" t="inlineStr">
        <is>
          <t>Actual</t>
        </is>
      </c>
      <c r="G88" s="56">
        <f>SUM(H88:BO88)</f>
        <v/>
      </c>
      <c r="H88" s="52" t="n">
        <v>65</v>
      </c>
      <c r="I88" s="52" t="n">
        <v>57</v>
      </c>
      <c r="J88" s="52" t="n">
        <v>65</v>
      </c>
      <c r="K88" s="52" t="n">
        <v>67</v>
      </c>
      <c r="L88" s="52" t="n"/>
      <c r="M88" s="52" t="n">
        <v>43</v>
      </c>
      <c r="N88" s="52" t="n">
        <v>46</v>
      </c>
      <c r="O88" s="52" t="n">
        <v>50</v>
      </c>
      <c r="P88" s="52" t="n">
        <v>37</v>
      </c>
      <c r="Q88" s="52" t="n"/>
      <c r="R88" s="52" t="n">
        <v>61</v>
      </c>
      <c r="S88" s="52" t="n">
        <v>68</v>
      </c>
      <c r="T88" s="52" t="n">
        <v>60</v>
      </c>
      <c r="U88" s="52" t="n">
        <v>67</v>
      </c>
      <c r="V88" s="52" t="n"/>
      <c r="W88" s="52" t="n">
        <v>73</v>
      </c>
      <c r="X88" s="52" t="n">
        <v>63</v>
      </c>
      <c r="Y88" s="52" t="n">
        <v>72</v>
      </c>
      <c r="Z88" s="52" t="n">
        <v>68</v>
      </c>
      <c r="AA88" s="52" t="n"/>
      <c r="AB88" s="52" t="n">
        <v>76</v>
      </c>
      <c r="AC88" s="52" t="n">
        <v>69</v>
      </c>
      <c r="AD88" s="52" t="n">
        <v>78</v>
      </c>
      <c r="AE88" s="52" t="n">
        <v>62</v>
      </c>
      <c r="AF88" s="52" t="n"/>
      <c r="AG88" s="52" t="n">
        <v>80</v>
      </c>
      <c r="AH88" s="52" t="n">
        <v>65</v>
      </c>
      <c r="AI88" s="52" t="n">
        <v>87</v>
      </c>
      <c r="AJ88" s="52" t="n">
        <v>81</v>
      </c>
      <c r="AK88" s="52" t="n"/>
      <c r="AL88" s="52" t="n">
        <v>71</v>
      </c>
      <c r="AM88" s="52" t="n">
        <v>69</v>
      </c>
      <c r="AN88" s="52" t="n">
        <v>75</v>
      </c>
      <c r="AO88" s="52" t="n">
        <v>79</v>
      </c>
      <c r="AP88" s="52" t="n"/>
      <c r="AQ88" s="52" t="n">
        <v>81</v>
      </c>
      <c r="AR88" s="52" t="n">
        <v>81</v>
      </c>
      <c r="AS88" s="52" t="n">
        <v>74</v>
      </c>
      <c r="AT88" s="52" t="n">
        <v>90</v>
      </c>
      <c r="AU88" s="52" t="n"/>
      <c r="AV88" s="52" t="n">
        <v>87</v>
      </c>
      <c r="AW88" s="52" t="n">
        <v>87</v>
      </c>
      <c r="AX88" s="52" t="n">
        <v>75</v>
      </c>
      <c r="AY88" s="52" t="n">
        <v>79</v>
      </c>
      <c r="AZ88" s="52" t="n"/>
      <c r="BA88" s="52" t="n"/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2" t="n"/>
      <c r="BO88" s="52" t="n"/>
    </row>
    <row r="89">
      <c r="A89" s="66" t="n"/>
      <c r="B89" s="66" t="n"/>
      <c r="C89" s="67" t="n"/>
      <c r="D89" s="67" t="n"/>
      <c r="E89" s="67" t="n"/>
      <c r="F89" s="68" t="inlineStr">
        <is>
          <t>% Achieved</t>
        </is>
      </c>
      <c r="G89" s="69">
        <f>IFERROR(G88/G87,"")</f>
        <v/>
      </c>
      <c r="H89" s="70">
        <f>IFERROR(H88/H87,"")</f>
        <v/>
      </c>
      <c r="I89" s="70">
        <f>IFERROR(I88/I87,"")</f>
        <v/>
      </c>
      <c r="J89" s="70">
        <f>IFERROR(J88/J87,"")</f>
        <v/>
      </c>
      <c r="K89" s="70">
        <f>IFERROR(K88/K87,"")</f>
        <v/>
      </c>
      <c r="L89" s="70">
        <f>IFERROR(L88/L87,"")</f>
        <v/>
      </c>
      <c r="M89" s="70">
        <f>IFERROR(M88/M87,"")</f>
        <v/>
      </c>
      <c r="N89" s="70">
        <f>IFERROR(N88/N87,"")</f>
        <v/>
      </c>
      <c r="O89" s="70">
        <f>IFERROR(O88/O87,"")</f>
        <v/>
      </c>
      <c r="P89" s="70">
        <f>IFERROR(P88/P87,"")</f>
        <v/>
      </c>
      <c r="Q89" s="70">
        <f>IFERROR(Q88/Q87,"")</f>
        <v/>
      </c>
      <c r="R89" s="70">
        <f>IFERROR(R88/R87,"")</f>
        <v/>
      </c>
      <c r="S89" s="70">
        <f>IFERROR(S88/S87,"")</f>
        <v/>
      </c>
      <c r="T89" s="70">
        <f>IFERROR(T88/T87,"")</f>
        <v/>
      </c>
      <c r="U89" s="70">
        <f>IFERROR(U88/U87,"")</f>
        <v/>
      </c>
      <c r="V89" s="70">
        <f>IFERROR(V88/V87,"")</f>
        <v/>
      </c>
      <c r="W89" s="70">
        <f>IFERROR(W88/W87,"")</f>
        <v/>
      </c>
      <c r="X89" s="70">
        <f>IFERROR(X88/X87,"")</f>
        <v/>
      </c>
      <c r="Y89" s="70">
        <f>IFERROR(Y88/Y87,"")</f>
        <v/>
      </c>
      <c r="Z89" s="70">
        <f>IFERROR(Z88/Z87,"")</f>
        <v/>
      </c>
      <c r="AA89" s="70">
        <f>IFERROR(AA88/AA87,"")</f>
        <v/>
      </c>
      <c r="AB89" s="70">
        <f>IFERROR(AB88/AB87,"")</f>
        <v/>
      </c>
      <c r="AC89" s="70">
        <f>IFERROR(AC88/AC87,"")</f>
        <v/>
      </c>
      <c r="AD89" s="70">
        <f>IFERROR(AD88/AD87,"")</f>
        <v/>
      </c>
      <c r="AE89" s="70">
        <f>IFERROR(AE88/AE87,"")</f>
        <v/>
      </c>
      <c r="AF89" s="70">
        <f>IFERROR(AF88/AF87,"")</f>
        <v/>
      </c>
      <c r="AG89" s="70">
        <f>IFERROR(AG88/AG87,"")</f>
        <v/>
      </c>
      <c r="AH89" s="70">
        <f>IFERROR(AH88/AH87,"")</f>
        <v/>
      </c>
      <c r="AI89" s="70">
        <f>IFERROR(AI88/AI87,"")</f>
        <v/>
      </c>
      <c r="AJ89" s="70">
        <f>IFERROR(AJ88/AJ87,"")</f>
        <v/>
      </c>
      <c r="AK89" s="70">
        <f>IFERROR(AK88/AK87,"")</f>
        <v/>
      </c>
      <c r="AL89" s="70">
        <f>IFERROR(AL88/AL87,"")</f>
        <v/>
      </c>
      <c r="AM89" s="70">
        <f>IFERROR(AM88/AM87,"")</f>
        <v/>
      </c>
      <c r="AN89" s="70">
        <f>IFERROR(AN88/AN87,"")</f>
        <v/>
      </c>
      <c r="AO89" s="70">
        <f>IFERROR(AO88/AO87,"")</f>
        <v/>
      </c>
      <c r="AP89" s="70">
        <f>IFERROR(AP88/AP87,"")</f>
        <v/>
      </c>
      <c r="AQ89" s="70">
        <f>IFERROR(AQ88/AQ87,"")</f>
        <v/>
      </c>
      <c r="AR89" s="70">
        <f>IFERROR(AR88/AR87,"")</f>
        <v/>
      </c>
      <c r="AS89" s="70">
        <f>IFERROR(AS88/AS87,"")</f>
        <v/>
      </c>
      <c r="AT89" s="70">
        <f>IFERROR(AT88/AT87,"")</f>
        <v/>
      </c>
      <c r="AU89" s="70">
        <f>IFERROR(AU88/AU87,"")</f>
        <v/>
      </c>
      <c r="AV89" s="70">
        <f>IFERROR(AV88/AV87,"")</f>
        <v/>
      </c>
      <c r="AW89" s="70">
        <f>IFERROR(AW88/AW87,"")</f>
        <v/>
      </c>
      <c r="AX89" s="70">
        <f>IFERROR(AX88/AX87,"")</f>
        <v/>
      </c>
      <c r="AY89" s="70">
        <f>IFERROR(AY88/AY87,"")</f>
        <v/>
      </c>
      <c r="AZ89" s="70">
        <f>IFERROR(AZ88/AZ87,"")</f>
        <v/>
      </c>
      <c r="BA89" s="70">
        <f>IFERROR(BA88/BA87,"")</f>
        <v/>
      </c>
      <c r="BB89" s="70">
        <f>IFERROR(BB88/BB87,"")</f>
        <v/>
      </c>
      <c r="BC89" s="70">
        <f>IFERROR(BC88/BC87,"")</f>
        <v/>
      </c>
      <c r="BD89" s="70">
        <f>IFERROR(BD88/BD87,"")</f>
        <v/>
      </c>
      <c r="BE89" s="70">
        <f>IFERROR(BE88/BE87,"")</f>
        <v/>
      </c>
      <c r="BF89" s="70">
        <f>IFERROR(BF88/BF87,"")</f>
        <v/>
      </c>
      <c r="BG89" s="70">
        <f>IFERROR(BG88/BG87,"")</f>
        <v/>
      </c>
      <c r="BH89" s="70">
        <f>IFERROR(BH88/BH87,"")</f>
        <v/>
      </c>
      <c r="BI89" s="70">
        <f>IFERROR(BI88/BI87,"")</f>
        <v/>
      </c>
      <c r="BJ89" s="70">
        <f>IFERROR(BJ88/BJ87,"")</f>
        <v/>
      </c>
      <c r="BK89" s="70">
        <f>IFERROR(BK88/BK87,"")</f>
        <v/>
      </c>
      <c r="BL89" s="70">
        <f>IFERROR(BL88/BL87,"")</f>
        <v/>
      </c>
      <c r="BM89" s="70">
        <f>IFERROR(BM88/BM87,"")</f>
        <v/>
      </c>
      <c r="BN89" s="70">
        <f>IFERROR(BN88/BN87,"")</f>
        <v/>
      </c>
      <c r="BO89" s="70">
        <f>IFERROR(BO88/BO87,"")</f>
        <v/>
      </c>
    </row>
    <row r="90">
      <c r="A90" s="66" t="n"/>
      <c r="B90" s="66" t="n"/>
      <c r="C90" s="71" t="inlineStr">
        <is>
          <t>K4</t>
        </is>
      </c>
      <c r="D90" s="37" t="inlineStr">
        <is>
          <t>Engaged Architect (Submit Design)</t>
        </is>
      </c>
      <c r="E90" s="72" t="inlineStr">
        <is>
          <t>D&amp;B</t>
        </is>
      </c>
      <c r="F90" s="75" t="inlineStr">
        <is>
          <t>Phasing</t>
        </is>
      </c>
      <c r="G90" s="56">
        <f>SUM(H90:BO90)</f>
        <v/>
      </c>
      <c r="H90" s="52" t="n">
        <v>1</v>
      </c>
      <c r="I90" s="52" t="n">
        <v>1</v>
      </c>
      <c r="J90" s="52" t="n">
        <v>1</v>
      </c>
      <c r="K90" s="52" t="n">
        <v>1</v>
      </c>
      <c r="L90" s="52" t="n"/>
      <c r="M90" s="52" t="n">
        <v>0</v>
      </c>
      <c r="N90" s="52" t="n">
        <v>0</v>
      </c>
      <c r="O90" s="52" t="n">
        <v>0</v>
      </c>
      <c r="P90" s="52" t="n">
        <v>3</v>
      </c>
      <c r="Q90" s="52" t="n"/>
      <c r="R90" s="52" t="n">
        <v>1</v>
      </c>
      <c r="S90" s="52" t="n">
        <v>1</v>
      </c>
      <c r="T90" s="52" t="n">
        <v>1</v>
      </c>
      <c r="U90" s="52" t="n">
        <v>2</v>
      </c>
      <c r="V90" s="52" t="n"/>
      <c r="W90" s="52" t="n">
        <v>1</v>
      </c>
      <c r="X90" s="52" t="n">
        <v>1</v>
      </c>
      <c r="Y90" s="52" t="n">
        <v>1</v>
      </c>
      <c r="Z90" s="52" t="n">
        <v>2</v>
      </c>
      <c r="AA90" s="52" t="n"/>
      <c r="AB90" s="52" t="n">
        <v>1</v>
      </c>
      <c r="AC90" s="52" t="n">
        <v>1</v>
      </c>
      <c r="AD90" s="52" t="n">
        <v>1</v>
      </c>
      <c r="AE90" s="52" t="n">
        <v>2</v>
      </c>
      <c r="AF90" s="52" t="n"/>
      <c r="AG90" s="52" t="n">
        <v>1</v>
      </c>
      <c r="AH90" s="52" t="n">
        <v>1</v>
      </c>
      <c r="AI90" s="52" t="n">
        <v>1</v>
      </c>
      <c r="AJ90" s="52" t="n">
        <v>2</v>
      </c>
      <c r="AK90" s="52" t="n"/>
      <c r="AL90" s="52" t="n">
        <v>1</v>
      </c>
      <c r="AM90" s="52" t="n">
        <v>1</v>
      </c>
      <c r="AN90" s="52" t="n">
        <v>1</v>
      </c>
      <c r="AO90" s="52" t="n">
        <v>2</v>
      </c>
      <c r="AP90" s="52" t="n"/>
      <c r="AQ90" s="52" t="n">
        <v>1</v>
      </c>
      <c r="AR90" s="52" t="n">
        <v>1</v>
      </c>
      <c r="AS90" s="52" t="n">
        <v>1</v>
      </c>
      <c r="AT90" s="52" t="n">
        <v>2</v>
      </c>
      <c r="AU90" s="52" t="n"/>
      <c r="AV90" s="52" t="n">
        <v>1</v>
      </c>
      <c r="AW90" s="52" t="n">
        <v>1</v>
      </c>
      <c r="AX90" s="52" t="n">
        <v>1</v>
      </c>
      <c r="AY90" s="52" t="n">
        <v>2</v>
      </c>
      <c r="AZ90" s="52" t="n"/>
      <c r="BA90" s="52" t="n">
        <v>1</v>
      </c>
      <c r="BB90" s="52" t="n">
        <v>1</v>
      </c>
      <c r="BC90" s="52" t="n">
        <v>1</v>
      </c>
      <c r="BD90" s="52" t="n">
        <v>3</v>
      </c>
      <c r="BE90" s="52" t="n"/>
      <c r="BF90" s="52" t="n">
        <v>1</v>
      </c>
      <c r="BG90" s="52" t="n">
        <v>1</v>
      </c>
      <c r="BH90" s="52" t="n">
        <v>1</v>
      </c>
      <c r="BI90" s="52" t="n">
        <v>3</v>
      </c>
      <c r="BJ90" s="52" t="n"/>
      <c r="BK90" s="52" t="n">
        <v>1</v>
      </c>
      <c r="BL90" s="52" t="n">
        <v>1</v>
      </c>
      <c r="BM90" s="52" t="n">
        <v>1</v>
      </c>
      <c r="BN90" s="52" t="n">
        <v>3</v>
      </c>
      <c r="BO90" s="52" t="n"/>
    </row>
    <row r="91">
      <c r="A91" s="66" t="n"/>
      <c r="B91" s="66" t="n"/>
      <c r="C91" s="66" t="n"/>
      <c r="D91" s="66" t="n"/>
      <c r="E91" s="66" t="n"/>
      <c r="F91" s="75" t="inlineStr">
        <is>
          <t>Actual</t>
        </is>
      </c>
      <c r="G91" s="56">
        <f>SUM(H91:BO91)</f>
        <v/>
      </c>
      <c r="H91" s="52" t="n">
        <v>1</v>
      </c>
      <c r="I91" s="52" t="n">
        <v>1</v>
      </c>
      <c r="J91" s="52" t="n">
        <v>1</v>
      </c>
      <c r="K91" s="52" t="n">
        <v>1</v>
      </c>
      <c r="L91" s="52" t="n"/>
      <c r="M91" s="52" t="n">
        <v>0</v>
      </c>
      <c r="N91" s="52" t="n">
        <v>0</v>
      </c>
      <c r="O91" s="52" t="n">
        <v>0</v>
      </c>
      <c r="P91" s="52" t="n">
        <v>3</v>
      </c>
      <c r="Q91" s="52" t="n"/>
      <c r="R91" s="52" t="n">
        <v>1</v>
      </c>
      <c r="S91" s="52" t="n">
        <v>1</v>
      </c>
      <c r="T91" s="52" t="n">
        <v>1</v>
      </c>
      <c r="U91" s="52" t="n">
        <v>2</v>
      </c>
      <c r="V91" s="52" t="n"/>
      <c r="W91" s="52" t="n">
        <v>1</v>
      </c>
      <c r="X91" s="52" t="n">
        <v>1</v>
      </c>
      <c r="Y91" s="52" t="n">
        <v>1</v>
      </c>
      <c r="Z91" s="52" t="n">
        <v>2</v>
      </c>
      <c r="AA91" s="52" t="n"/>
      <c r="AB91" s="52" t="n">
        <v>1</v>
      </c>
      <c r="AC91" s="52" t="n">
        <v>1</v>
      </c>
      <c r="AD91" s="52" t="n">
        <v>1</v>
      </c>
      <c r="AE91" s="52" t="n">
        <v>2</v>
      </c>
      <c r="AF91" s="52" t="n"/>
      <c r="AG91" s="52" t="n">
        <v>1</v>
      </c>
      <c r="AH91" s="52" t="n">
        <v>1</v>
      </c>
      <c r="AI91" s="52" t="n">
        <v>1</v>
      </c>
      <c r="AJ91" s="52" t="n">
        <v>2</v>
      </c>
      <c r="AK91" s="52" t="n"/>
      <c r="AL91" s="52" t="n">
        <v>1</v>
      </c>
      <c r="AM91" s="52" t="n">
        <v>1</v>
      </c>
      <c r="AN91" s="52" t="n">
        <v>1</v>
      </c>
      <c r="AO91" s="52" t="n">
        <v>2</v>
      </c>
      <c r="AP91" s="52" t="n"/>
      <c r="AQ91" s="52" t="n">
        <v>1</v>
      </c>
      <c r="AR91" s="52" t="n">
        <v>1</v>
      </c>
      <c r="AS91" s="52" t="n">
        <v>1</v>
      </c>
      <c r="AT91" s="52" t="n">
        <v>3</v>
      </c>
      <c r="AU91" s="52" t="n"/>
      <c r="AV91" s="52" t="n">
        <v>1</v>
      </c>
      <c r="AW91" s="52" t="n">
        <v>1</v>
      </c>
      <c r="AX91" s="52" t="n">
        <v>1</v>
      </c>
      <c r="AY91" s="52" t="n">
        <v>2</v>
      </c>
      <c r="AZ91" s="52" t="n"/>
      <c r="BA91" s="52" t="n"/>
      <c r="BB91" s="52" t="n"/>
      <c r="BC91" s="52" t="n"/>
      <c r="BD91" s="52" t="n"/>
      <c r="BE91" s="52" t="n"/>
      <c r="BF91" s="52" t="n"/>
      <c r="BG91" s="52" t="n"/>
      <c r="BH91" s="52" t="n"/>
      <c r="BI91" s="52" t="n"/>
      <c r="BJ91" s="52" t="n"/>
      <c r="BK91" s="52" t="n"/>
      <c r="BL91" s="52" t="n"/>
      <c r="BM91" s="52" t="n"/>
      <c r="BN91" s="52" t="n"/>
      <c r="BO91" s="52" t="n"/>
    </row>
    <row r="92">
      <c r="A92" s="66" t="n"/>
      <c r="B92" s="66" t="n"/>
      <c r="C92" s="67" t="n"/>
      <c r="D92" s="67" t="n"/>
      <c r="E92" s="67" t="n"/>
      <c r="F92" s="68" t="inlineStr">
        <is>
          <t>% Achieved</t>
        </is>
      </c>
      <c r="G92" s="69">
        <f>IFERROR(G91/G90,"")</f>
        <v/>
      </c>
      <c r="H92" s="70">
        <f>IFERROR(H91/H90,"")</f>
        <v/>
      </c>
      <c r="I92" s="70">
        <f>IFERROR(I91/I90,"")</f>
        <v/>
      </c>
      <c r="J92" s="70">
        <f>IFERROR(J91/J90,"")</f>
        <v/>
      </c>
      <c r="K92" s="70">
        <f>IFERROR(K91/K90,"")</f>
        <v/>
      </c>
      <c r="L92" s="70">
        <f>IFERROR(L91/L90,"")</f>
        <v/>
      </c>
      <c r="M92" s="70">
        <f>IFERROR(M91/M90,"")</f>
        <v/>
      </c>
      <c r="N92" s="70">
        <f>IFERROR(N91/N90,"")</f>
        <v/>
      </c>
      <c r="O92" s="70">
        <f>IFERROR(O91/O90,"")</f>
        <v/>
      </c>
      <c r="P92" s="70">
        <f>IFERROR(P91/P90,"")</f>
        <v/>
      </c>
      <c r="Q92" s="70">
        <f>IFERROR(Q91/Q90,"")</f>
        <v/>
      </c>
      <c r="R92" s="70">
        <f>IFERROR(R91/R90,"")</f>
        <v/>
      </c>
      <c r="S92" s="70">
        <f>IFERROR(S91/S90,"")</f>
        <v/>
      </c>
      <c r="T92" s="70">
        <f>IFERROR(T91/T90,"")</f>
        <v/>
      </c>
      <c r="U92" s="70">
        <f>IFERROR(U91/U90,"")</f>
        <v/>
      </c>
      <c r="V92" s="70">
        <f>IFERROR(V91/V90,"")</f>
        <v/>
      </c>
      <c r="W92" s="70">
        <f>IFERROR(W91/W90,"")</f>
        <v/>
      </c>
      <c r="X92" s="70">
        <f>IFERROR(X91/X90,"")</f>
        <v/>
      </c>
      <c r="Y92" s="70">
        <f>IFERROR(Y91/Y90,"")</f>
        <v/>
      </c>
      <c r="Z92" s="70">
        <f>IFERROR(Z91/Z90,"")</f>
        <v/>
      </c>
      <c r="AA92" s="70">
        <f>IFERROR(AA91/AA90,"")</f>
        <v/>
      </c>
      <c r="AB92" s="70">
        <f>IFERROR(AB91/AB90,"")</f>
        <v/>
      </c>
      <c r="AC92" s="70">
        <f>IFERROR(AC91/AC90,"")</f>
        <v/>
      </c>
      <c r="AD92" s="70">
        <f>IFERROR(AD91/AD90,"")</f>
        <v/>
      </c>
      <c r="AE92" s="70">
        <f>IFERROR(AE91/AE90,"")</f>
        <v/>
      </c>
      <c r="AF92" s="70">
        <f>IFERROR(AF91/AF90,"")</f>
        <v/>
      </c>
      <c r="AG92" s="70">
        <f>IFERROR(AG91/AG90,"")</f>
        <v/>
      </c>
      <c r="AH92" s="70">
        <f>IFERROR(AH91/AH90,"")</f>
        <v/>
      </c>
      <c r="AI92" s="70">
        <f>IFERROR(AI91/AI90,"")</f>
        <v/>
      </c>
      <c r="AJ92" s="70">
        <f>IFERROR(AJ91/AJ90,"")</f>
        <v/>
      </c>
      <c r="AK92" s="70">
        <f>IFERROR(AK91/AK90,"")</f>
        <v/>
      </c>
      <c r="AL92" s="70">
        <f>IFERROR(AL91/AL90,"")</f>
        <v/>
      </c>
      <c r="AM92" s="70">
        <f>IFERROR(AM91/AM90,"")</f>
        <v/>
      </c>
      <c r="AN92" s="70">
        <f>IFERROR(AN91/AN90,"")</f>
        <v/>
      </c>
      <c r="AO92" s="70">
        <f>IFERROR(AO91/AO90,"")</f>
        <v/>
      </c>
      <c r="AP92" s="70">
        <f>IFERROR(AP91/AP90,"")</f>
        <v/>
      </c>
      <c r="AQ92" s="70">
        <f>IFERROR(AQ91/AQ90,"")</f>
        <v/>
      </c>
      <c r="AR92" s="70">
        <f>IFERROR(AR91/AR90,"")</f>
        <v/>
      </c>
      <c r="AS92" s="70">
        <f>IFERROR(AS91/AS90,"")</f>
        <v/>
      </c>
      <c r="AT92" s="70">
        <f>IFERROR(AT91/AT90,"")</f>
        <v/>
      </c>
      <c r="AU92" s="70">
        <f>IFERROR(AU91/AU90,"")</f>
        <v/>
      </c>
      <c r="AV92" s="70">
        <f>IFERROR(AV91/AV90,"")</f>
        <v/>
      </c>
      <c r="AW92" s="70">
        <f>IFERROR(AW91/AW90,"")</f>
        <v/>
      </c>
      <c r="AX92" s="70">
        <f>IFERROR(AX91/AX90,"")</f>
        <v/>
      </c>
      <c r="AY92" s="70">
        <f>IFERROR(AY91/AY90,"")</f>
        <v/>
      </c>
      <c r="AZ92" s="70">
        <f>IFERROR(AZ91/AZ90,"")</f>
        <v/>
      </c>
      <c r="BA92" s="70">
        <f>IFERROR(BA91/BA90,"")</f>
        <v/>
      </c>
      <c r="BB92" s="70">
        <f>IFERROR(BB91/BB90,"")</f>
        <v/>
      </c>
      <c r="BC92" s="70">
        <f>IFERROR(BC91/BC90,"")</f>
        <v/>
      </c>
      <c r="BD92" s="70">
        <f>IFERROR(BD91/BD90,"")</f>
        <v/>
      </c>
      <c r="BE92" s="70">
        <f>IFERROR(BE91/BE90,"")</f>
        <v/>
      </c>
      <c r="BF92" s="70">
        <f>IFERROR(BF91/BF90,"")</f>
        <v/>
      </c>
      <c r="BG92" s="70">
        <f>IFERROR(BG91/BG90,"")</f>
        <v/>
      </c>
      <c r="BH92" s="70">
        <f>IFERROR(BH91/BH90,"")</f>
        <v/>
      </c>
      <c r="BI92" s="70">
        <f>IFERROR(BI91/BI90,"")</f>
        <v/>
      </c>
      <c r="BJ92" s="70">
        <f>IFERROR(BJ91/BJ90,"")</f>
        <v/>
      </c>
      <c r="BK92" s="70">
        <f>IFERROR(BK91/BK90,"")</f>
        <v/>
      </c>
      <c r="BL92" s="70">
        <f>IFERROR(BL91/BL90,"")</f>
        <v/>
      </c>
      <c r="BM92" s="70">
        <f>IFERROR(BM91/BM90,"")</f>
        <v/>
      </c>
      <c r="BN92" s="70">
        <f>IFERROR(BN91/BN90,"")</f>
        <v/>
      </c>
      <c r="BO92" s="70">
        <f>IFERROR(BO91/BO90,"")</f>
        <v/>
      </c>
    </row>
    <row r="93">
      <c r="A93" s="66" t="n"/>
      <c r="B93" s="66" t="n"/>
      <c r="C93" s="73" t="inlineStr">
        <is>
          <t>K5</t>
        </is>
      </c>
      <c r="D93" s="41" t="inlineStr">
        <is>
          <t>Spec-in Design (submitted design)</t>
        </is>
      </c>
      <c r="E93" s="74" t="inlineStr">
        <is>
          <t>Designs</t>
        </is>
      </c>
      <c r="F93" s="75" t="inlineStr">
        <is>
          <t>Phasing</t>
        </is>
      </c>
      <c r="G93" s="56">
        <f>SUM(H93:BO93)</f>
        <v/>
      </c>
      <c r="H93" s="52" t="n">
        <v>1</v>
      </c>
      <c r="I93" s="52" t="n">
        <v>1</v>
      </c>
      <c r="J93" s="52" t="n">
        <v>1</v>
      </c>
      <c r="K93" s="52" t="n">
        <v>1</v>
      </c>
      <c r="L93" s="52" t="n"/>
      <c r="M93" s="52" t="n">
        <v>0</v>
      </c>
      <c r="N93" s="52" t="n">
        <v>0</v>
      </c>
      <c r="O93" s="52" t="n">
        <v>0</v>
      </c>
      <c r="P93" s="52" t="n">
        <v>3</v>
      </c>
      <c r="Q93" s="52" t="n"/>
      <c r="R93" s="52" t="n">
        <v>1</v>
      </c>
      <c r="S93" s="52" t="n">
        <v>1</v>
      </c>
      <c r="T93" s="52" t="n">
        <v>1</v>
      </c>
      <c r="U93" s="52" t="n">
        <v>2</v>
      </c>
      <c r="V93" s="52" t="n"/>
      <c r="W93" s="52" t="n">
        <v>1</v>
      </c>
      <c r="X93" s="52" t="n">
        <v>1</v>
      </c>
      <c r="Y93" s="52" t="n">
        <v>1</v>
      </c>
      <c r="Z93" s="52" t="n">
        <v>2</v>
      </c>
      <c r="AA93" s="52" t="n"/>
      <c r="AB93" s="52" t="n">
        <v>1</v>
      </c>
      <c r="AC93" s="52" t="n">
        <v>1</v>
      </c>
      <c r="AD93" s="52" t="n">
        <v>1</v>
      </c>
      <c r="AE93" s="52" t="n">
        <v>2</v>
      </c>
      <c r="AF93" s="52" t="n"/>
      <c r="AG93" s="52" t="n">
        <v>1</v>
      </c>
      <c r="AH93" s="52" t="n">
        <v>1</v>
      </c>
      <c r="AI93" s="52" t="n">
        <v>1</v>
      </c>
      <c r="AJ93" s="52" t="n">
        <v>2</v>
      </c>
      <c r="AK93" s="52" t="n"/>
      <c r="AL93" s="52" t="n">
        <v>1</v>
      </c>
      <c r="AM93" s="52" t="n">
        <v>1</v>
      </c>
      <c r="AN93" s="52" t="n">
        <v>1</v>
      </c>
      <c r="AO93" s="52" t="n">
        <v>2</v>
      </c>
      <c r="AP93" s="52" t="n"/>
      <c r="AQ93" s="52" t="n">
        <v>1</v>
      </c>
      <c r="AR93" s="52" t="n">
        <v>1</v>
      </c>
      <c r="AS93" s="52" t="n">
        <v>1</v>
      </c>
      <c r="AT93" s="52" t="n">
        <v>2</v>
      </c>
      <c r="AU93" s="52" t="n"/>
      <c r="AV93" s="52" t="n">
        <v>1</v>
      </c>
      <c r="AW93" s="52" t="n">
        <v>1</v>
      </c>
      <c r="AX93" s="52" t="n">
        <v>1</v>
      </c>
      <c r="AY93" s="52" t="n">
        <v>3</v>
      </c>
      <c r="AZ93" s="52" t="n"/>
      <c r="BA93" s="52" t="n">
        <v>1</v>
      </c>
      <c r="BB93" s="52" t="n">
        <v>1</v>
      </c>
      <c r="BC93" s="52" t="n">
        <v>1</v>
      </c>
      <c r="BD93" s="52" t="n">
        <v>3</v>
      </c>
      <c r="BE93" s="52" t="n"/>
      <c r="BF93" s="52" t="n">
        <v>1</v>
      </c>
      <c r="BG93" s="52" t="n">
        <v>1</v>
      </c>
      <c r="BH93" s="52" t="n">
        <v>1</v>
      </c>
      <c r="BI93" s="52" t="n">
        <v>3</v>
      </c>
      <c r="BJ93" s="52" t="n"/>
      <c r="BK93" s="52" t="n">
        <v>1</v>
      </c>
      <c r="BL93" s="52" t="n">
        <v>1</v>
      </c>
      <c r="BM93" s="52" t="n">
        <v>1</v>
      </c>
      <c r="BN93" s="52" t="n">
        <v>4</v>
      </c>
      <c r="BO93" s="52" t="n"/>
    </row>
    <row r="94">
      <c r="A94" s="66" t="n"/>
      <c r="B94" s="66" t="n"/>
      <c r="C94" s="66" t="n"/>
      <c r="D94" s="66" t="n"/>
      <c r="E94" s="66" t="n"/>
      <c r="F94" s="75" t="inlineStr">
        <is>
          <t>Actual</t>
        </is>
      </c>
      <c r="G94" s="56">
        <f>SUM(H94:BO94)</f>
        <v/>
      </c>
      <c r="H94" s="52" t="n">
        <v>1</v>
      </c>
      <c r="I94" s="52" t="n">
        <v>1</v>
      </c>
      <c r="J94" s="52" t="n">
        <v>1</v>
      </c>
      <c r="K94" s="52" t="n">
        <v>1</v>
      </c>
      <c r="L94" s="52" t="n"/>
      <c r="M94" s="52" t="n">
        <v>0</v>
      </c>
      <c r="N94" s="52" t="n">
        <v>0</v>
      </c>
      <c r="O94" s="52" t="n">
        <v>0</v>
      </c>
      <c r="P94" s="52" t="n">
        <v>3</v>
      </c>
      <c r="Q94" s="52" t="n"/>
      <c r="R94" s="52" t="n">
        <v>1</v>
      </c>
      <c r="S94" s="52" t="n">
        <v>1</v>
      </c>
      <c r="T94" s="52" t="n">
        <v>1</v>
      </c>
      <c r="U94" s="52" t="n">
        <v>2</v>
      </c>
      <c r="V94" s="52" t="n"/>
      <c r="W94" s="52" t="n">
        <v>1</v>
      </c>
      <c r="X94" s="52" t="n">
        <v>1</v>
      </c>
      <c r="Y94" s="52" t="n">
        <v>1</v>
      </c>
      <c r="Z94" s="52" t="n">
        <v>2</v>
      </c>
      <c r="AA94" s="52" t="n"/>
      <c r="AB94" s="52" t="n">
        <v>1</v>
      </c>
      <c r="AC94" s="52" t="n">
        <v>1</v>
      </c>
      <c r="AD94" s="52" t="n">
        <v>1</v>
      </c>
      <c r="AE94" s="52" t="n">
        <v>3</v>
      </c>
      <c r="AF94" s="52" t="n"/>
      <c r="AG94" s="52" t="n">
        <v>1</v>
      </c>
      <c r="AH94" s="52" t="n">
        <v>1</v>
      </c>
      <c r="AI94" s="52" t="n">
        <v>1</v>
      </c>
      <c r="AJ94" s="52" t="n">
        <v>3</v>
      </c>
      <c r="AK94" s="52" t="n"/>
      <c r="AL94" s="52" t="n">
        <v>1</v>
      </c>
      <c r="AM94" s="52" t="n">
        <v>1</v>
      </c>
      <c r="AN94" s="52" t="n">
        <v>1</v>
      </c>
      <c r="AO94" s="52" t="n">
        <v>3</v>
      </c>
      <c r="AP94" s="52" t="n"/>
      <c r="AQ94" s="52" t="n">
        <v>1</v>
      </c>
      <c r="AR94" s="52" t="n">
        <v>1</v>
      </c>
      <c r="AS94" s="52" t="n">
        <v>1</v>
      </c>
      <c r="AT94" s="52" t="n">
        <v>2</v>
      </c>
      <c r="AU94" s="52" t="n"/>
      <c r="AV94" s="52" t="n">
        <v>1</v>
      </c>
      <c r="AW94" s="52" t="n">
        <v>1</v>
      </c>
      <c r="AX94" s="52" t="n">
        <v>1</v>
      </c>
      <c r="AY94" s="52" t="n">
        <v>4</v>
      </c>
      <c r="AZ94" s="52" t="n"/>
      <c r="BA94" s="52" t="n"/>
      <c r="BB94" s="52" t="n"/>
      <c r="BC94" s="52" t="n"/>
      <c r="BD94" s="52" t="n"/>
      <c r="BE94" s="52" t="n"/>
      <c r="BF94" s="52" t="n"/>
      <c r="BG94" s="52" t="n"/>
      <c r="BH94" s="52" t="n"/>
      <c r="BI94" s="52" t="n"/>
      <c r="BJ94" s="52" t="n"/>
      <c r="BK94" s="52" t="n"/>
      <c r="BL94" s="52" t="n"/>
      <c r="BM94" s="52" t="n"/>
      <c r="BN94" s="52" t="n"/>
      <c r="BO94" s="52" t="n"/>
    </row>
    <row r="95">
      <c r="A95" s="67" t="n"/>
      <c r="B95" s="67" t="n"/>
      <c r="C95" s="67" t="n"/>
      <c r="D95" s="67" t="n"/>
      <c r="E95" s="67" t="n"/>
      <c r="F95" s="68" t="inlineStr">
        <is>
          <t>% Achieved</t>
        </is>
      </c>
      <c r="G95" s="69">
        <f>IFERROR(G94/G93,"")</f>
        <v/>
      </c>
      <c r="H95" s="70">
        <f>IFERROR(H94/H93,"")</f>
        <v/>
      </c>
      <c r="I95" s="70">
        <f>IFERROR(I94/I93,"")</f>
        <v/>
      </c>
      <c r="J95" s="70">
        <f>IFERROR(J94/J93,"")</f>
        <v/>
      </c>
      <c r="K95" s="70">
        <f>IFERROR(K94/K93,"")</f>
        <v/>
      </c>
      <c r="L95" s="70">
        <f>IFERROR(L94/L93,"")</f>
        <v/>
      </c>
      <c r="M95" s="70">
        <f>IFERROR(M94/M93,"")</f>
        <v/>
      </c>
      <c r="N95" s="70">
        <f>IFERROR(N94/N93,"")</f>
        <v/>
      </c>
      <c r="O95" s="70">
        <f>IFERROR(O94/O93,"")</f>
        <v/>
      </c>
      <c r="P95" s="70">
        <f>IFERROR(P94/P93,"")</f>
        <v/>
      </c>
      <c r="Q95" s="70">
        <f>IFERROR(Q94/Q93,"")</f>
        <v/>
      </c>
      <c r="R95" s="70">
        <f>IFERROR(R94/R93,"")</f>
        <v/>
      </c>
      <c r="S95" s="70">
        <f>IFERROR(S94/S93,"")</f>
        <v/>
      </c>
      <c r="T95" s="70">
        <f>IFERROR(T94/T93,"")</f>
        <v/>
      </c>
      <c r="U95" s="70">
        <f>IFERROR(U94/U93,"")</f>
        <v/>
      </c>
      <c r="V95" s="70">
        <f>IFERROR(V94/V93,"")</f>
        <v/>
      </c>
      <c r="W95" s="70">
        <f>IFERROR(W94/W93,"")</f>
        <v/>
      </c>
      <c r="X95" s="70">
        <f>IFERROR(X94/X93,"")</f>
        <v/>
      </c>
      <c r="Y95" s="70">
        <f>IFERROR(Y94/Y93,"")</f>
        <v/>
      </c>
      <c r="Z95" s="70">
        <f>IFERROR(Z94/Z93,"")</f>
        <v/>
      </c>
      <c r="AA95" s="70">
        <f>IFERROR(AA94/AA93,"")</f>
        <v/>
      </c>
      <c r="AB95" s="70">
        <f>IFERROR(AB94/AB93,"")</f>
        <v/>
      </c>
      <c r="AC95" s="70">
        <f>IFERROR(AC94/AC93,"")</f>
        <v/>
      </c>
      <c r="AD95" s="70">
        <f>IFERROR(AD94/AD93,"")</f>
        <v/>
      </c>
      <c r="AE95" s="70">
        <f>IFERROR(AE94/AE93,"")</f>
        <v/>
      </c>
      <c r="AF95" s="70">
        <f>IFERROR(AF94/AF93,"")</f>
        <v/>
      </c>
      <c r="AG95" s="70">
        <f>IFERROR(AG94/AG93,"")</f>
        <v/>
      </c>
      <c r="AH95" s="70">
        <f>IFERROR(AH94/AH93,"")</f>
        <v/>
      </c>
      <c r="AI95" s="70">
        <f>IFERROR(AI94/AI93,"")</f>
        <v/>
      </c>
      <c r="AJ95" s="70">
        <f>IFERROR(AJ94/AJ93,"")</f>
        <v/>
      </c>
      <c r="AK95" s="70">
        <f>IFERROR(AK94/AK93,"")</f>
        <v/>
      </c>
      <c r="AL95" s="70">
        <f>IFERROR(AL94/AL93,"")</f>
        <v/>
      </c>
      <c r="AM95" s="70">
        <f>IFERROR(AM94/AM93,"")</f>
        <v/>
      </c>
      <c r="AN95" s="70">
        <f>IFERROR(AN94/AN93,"")</f>
        <v/>
      </c>
      <c r="AO95" s="70">
        <f>IFERROR(AO94/AO93,"")</f>
        <v/>
      </c>
      <c r="AP95" s="70">
        <f>IFERROR(AP94/AP93,"")</f>
        <v/>
      </c>
      <c r="AQ95" s="70">
        <f>IFERROR(AQ94/AQ93,"")</f>
        <v/>
      </c>
      <c r="AR95" s="70">
        <f>IFERROR(AR94/AR93,"")</f>
        <v/>
      </c>
      <c r="AS95" s="70">
        <f>IFERROR(AS94/AS93,"")</f>
        <v/>
      </c>
      <c r="AT95" s="70">
        <f>IFERROR(AT94/AT93,"")</f>
        <v/>
      </c>
      <c r="AU95" s="70">
        <f>IFERROR(AU94/AU93,"")</f>
        <v/>
      </c>
      <c r="AV95" s="70">
        <f>IFERROR(AV94/AV93,"")</f>
        <v/>
      </c>
      <c r="AW95" s="70">
        <f>IFERROR(AW94/AW93,"")</f>
        <v/>
      </c>
      <c r="AX95" s="70">
        <f>IFERROR(AX94/AX93,"")</f>
        <v/>
      </c>
      <c r="AY95" s="70">
        <f>IFERROR(AY94/AY93,"")</f>
        <v/>
      </c>
      <c r="AZ95" s="70">
        <f>IFERROR(AZ94/AZ93,"")</f>
        <v/>
      </c>
      <c r="BA95" s="70">
        <f>IFERROR(BA94/BA93,"")</f>
        <v/>
      </c>
      <c r="BB95" s="70">
        <f>IFERROR(BB94/BB93,"")</f>
        <v/>
      </c>
      <c r="BC95" s="70">
        <f>IFERROR(BC94/BC93,"")</f>
        <v/>
      </c>
      <c r="BD95" s="70">
        <f>IFERROR(BD94/BD93,"")</f>
        <v/>
      </c>
      <c r="BE95" s="70">
        <f>IFERROR(BE94/BE93,"")</f>
        <v/>
      </c>
      <c r="BF95" s="70">
        <f>IFERROR(BF94/BF93,"")</f>
        <v/>
      </c>
      <c r="BG95" s="70">
        <f>IFERROR(BG94/BG93,"")</f>
        <v/>
      </c>
      <c r="BH95" s="70">
        <f>IFERROR(BH94/BH93,"")</f>
        <v/>
      </c>
      <c r="BI95" s="70">
        <f>IFERROR(BI94/BI93,"")</f>
        <v/>
      </c>
      <c r="BJ95" s="70">
        <f>IFERROR(BJ94/BJ93,"")</f>
        <v/>
      </c>
      <c r="BK95" s="70">
        <f>IFERROR(BK94/BK93,"")</f>
        <v/>
      </c>
      <c r="BL95" s="70">
        <f>IFERROR(BL94/BL93,"")</f>
        <v/>
      </c>
      <c r="BM95" s="70">
        <f>IFERROR(BM94/BM93,"")</f>
        <v/>
      </c>
      <c r="BN95" s="70">
        <f>IFERROR(BN94/BN93,"")</f>
        <v/>
      </c>
      <c r="BO95" s="70">
        <f>IFERROR(BO94/BO93,"")</f>
        <v/>
      </c>
    </row>
    <row r="96">
      <c r="A96" s="61">
        <f>IFERROR(INDEX(Team_Master!$C$6:$C$20,7),"")</f>
        <v/>
      </c>
      <c r="B96" s="62">
        <f>IFERROR(INDEX(Team_Master!$G$6:$G$20,7),"")</f>
        <v/>
      </c>
      <c r="C96" s="63" t="inlineStr">
        <is>
          <t>K1</t>
        </is>
      </c>
      <c r="D96" s="11" t="inlineStr">
        <is>
          <t>Invoiced Value</t>
        </is>
      </c>
      <c r="E96" s="64" t="inlineStr">
        <is>
          <t>MVND</t>
        </is>
      </c>
      <c r="F96" s="65" t="inlineStr">
        <is>
          <t>Phasing</t>
        </is>
      </c>
      <c r="G96" s="56">
        <f>SUM(H96:BO96)</f>
        <v/>
      </c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  <c r="AL96" s="52" t="n"/>
      <c r="AM96" s="52" t="n"/>
      <c r="AN96" s="52" t="n"/>
      <c r="AO96" s="52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  <c r="BB96" s="52" t="n"/>
      <c r="BC96" s="52" t="n"/>
      <c r="BD96" s="52" t="n"/>
      <c r="BE96" s="52" t="n"/>
      <c r="BF96" s="52" t="n"/>
      <c r="BG96" s="52" t="n"/>
      <c r="BH96" s="52" t="n"/>
      <c r="BI96" s="52" t="n"/>
      <c r="BJ96" s="52" t="n"/>
      <c r="BK96" s="52" t="n"/>
      <c r="BL96" s="52" t="n"/>
      <c r="BM96" s="52" t="n"/>
      <c r="BN96" s="52" t="n"/>
      <c r="BO96" s="52" t="n"/>
    </row>
    <row r="97">
      <c r="A97" s="66" t="n"/>
      <c r="B97" s="66" t="n"/>
      <c r="C97" s="66" t="n"/>
      <c r="D97" s="66" t="n"/>
      <c r="E97" s="66" t="n"/>
      <c r="F97" s="65" t="inlineStr">
        <is>
          <t>Actual</t>
        </is>
      </c>
      <c r="G97" s="56">
        <f>SUM(H97:BO97)</f>
        <v/>
      </c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  <c r="AL97" s="52" t="n"/>
      <c r="AM97" s="52" t="n"/>
      <c r="AN97" s="52" t="n"/>
      <c r="AO97" s="52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  <c r="BB97" s="52" t="n"/>
      <c r="BC97" s="52" t="n"/>
      <c r="BD97" s="52" t="n"/>
      <c r="BE97" s="52" t="n"/>
      <c r="BF97" s="52" t="n"/>
      <c r="BG97" s="52" t="n"/>
      <c r="BH97" s="52" t="n"/>
      <c r="BI97" s="52" t="n"/>
      <c r="BJ97" s="52" t="n"/>
      <c r="BK97" s="52" t="n"/>
      <c r="BL97" s="52" t="n"/>
      <c r="BM97" s="52" t="n"/>
      <c r="BN97" s="52" t="n"/>
      <c r="BO97" s="52" t="n"/>
    </row>
    <row r="98">
      <c r="A98" s="66" t="n"/>
      <c r="B98" s="66" t="n"/>
      <c r="C98" s="67" t="n"/>
      <c r="D98" s="67" t="n"/>
      <c r="E98" s="67" t="n"/>
      <c r="F98" s="68" t="inlineStr">
        <is>
          <t>% Achieved</t>
        </is>
      </c>
      <c r="G98" s="69">
        <f>IFERROR(G97/G96,"")</f>
        <v/>
      </c>
      <c r="H98" s="70">
        <f>IFERROR(H97/H96,"")</f>
        <v/>
      </c>
      <c r="I98" s="70">
        <f>IFERROR(I97/I96,"")</f>
        <v/>
      </c>
      <c r="J98" s="70">
        <f>IFERROR(J97/J96,"")</f>
        <v/>
      </c>
      <c r="K98" s="70">
        <f>IFERROR(K97/K96,"")</f>
        <v/>
      </c>
      <c r="L98" s="70">
        <f>IFERROR(L97/L96,"")</f>
        <v/>
      </c>
      <c r="M98" s="70">
        <f>IFERROR(M97/M96,"")</f>
        <v/>
      </c>
      <c r="N98" s="70">
        <f>IFERROR(N97/N96,"")</f>
        <v/>
      </c>
      <c r="O98" s="70">
        <f>IFERROR(O97/O96,"")</f>
        <v/>
      </c>
      <c r="P98" s="70">
        <f>IFERROR(P97/P96,"")</f>
        <v/>
      </c>
      <c r="Q98" s="70">
        <f>IFERROR(Q97/Q96,"")</f>
        <v/>
      </c>
      <c r="R98" s="70">
        <f>IFERROR(R97/R96,"")</f>
        <v/>
      </c>
      <c r="S98" s="70">
        <f>IFERROR(S97/S96,"")</f>
        <v/>
      </c>
      <c r="T98" s="70">
        <f>IFERROR(T97/T96,"")</f>
        <v/>
      </c>
      <c r="U98" s="70">
        <f>IFERROR(U97/U96,"")</f>
        <v/>
      </c>
      <c r="V98" s="70">
        <f>IFERROR(V97/V96,"")</f>
        <v/>
      </c>
      <c r="W98" s="70">
        <f>IFERROR(W97/W96,"")</f>
        <v/>
      </c>
      <c r="X98" s="70">
        <f>IFERROR(X97/X96,"")</f>
        <v/>
      </c>
      <c r="Y98" s="70">
        <f>IFERROR(Y97/Y96,"")</f>
        <v/>
      </c>
      <c r="Z98" s="70">
        <f>IFERROR(Z97/Z96,"")</f>
        <v/>
      </c>
      <c r="AA98" s="70">
        <f>IFERROR(AA97/AA96,"")</f>
        <v/>
      </c>
      <c r="AB98" s="70">
        <f>IFERROR(AB97/AB96,"")</f>
        <v/>
      </c>
      <c r="AC98" s="70">
        <f>IFERROR(AC97/AC96,"")</f>
        <v/>
      </c>
      <c r="AD98" s="70">
        <f>IFERROR(AD97/AD96,"")</f>
        <v/>
      </c>
      <c r="AE98" s="70">
        <f>IFERROR(AE97/AE96,"")</f>
        <v/>
      </c>
      <c r="AF98" s="70">
        <f>IFERROR(AF97/AF96,"")</f>
        <v/>
      </c>
      <c r="AG98" s="70">
        <f>IFERROR(AG97/AG96,"")</f>
        <v/>
      </c>
      <c r="AH98" s="70">
        <f>IFERROR(AH97/AH96,"")</f>
        <v/>
      </c>
      <c r="AI98" s="70">
        <f>IFERROR(AI97/AI96,"")</f>
        <v/>
      </c>
      <c r="AJ98" s="70">
        <f>IFERROR(AJ97/AJ96,"")</f>
        <v/>
      </c>
      <c r="AK98" s="70">
        <f>IFERROR(AK97/AK96,"")</f>
        <v/>
      </c>
      <c r="AL98" s="70">
        <f>IFERROR(AL97/AL96,"")</f>
        <v/>
      </c>
      <c r="AM98" s="70">
        <f>IFERROR(AM97/AM96,"")</f>
        <v/>
      </c>
      <c r="AN98" s="70">
        <f>IFERROR(AN97/AN96,"")</f>
        <v/>
      </c>
      <c r="AO98" s="70">
        <f>IFERROR(AO97/AO96,"")</f>
        <v/>
      </c>
      <c r="AP98" s="70">
        <f>IFERROR(AP97/AP96,"")</f>
        <v/>
      </c>
      <c r="AQ98" s="70">
        <f>IFERROR(AQ97/AQ96,"")</f>
        <v/>
      </c>
      <c r="AR98" s="70">
        <f>IFERROR(AR97/AR96,"")</f>
        <v/>
      </c>
      <c r="AS98" s="70">
        <f>IFERROR(AS97/AS96,"")</f>
        <v/>
      </c>
      <c r="AT98" s="70">
        <f>IFERROR(AT97/AT96,"")</f>
        <v/>
      </c>
      <c r="AU98" s="70">
        <f>IFERROR(AU97/AU96,"")</f>
        <v/>
      </c>
      <c r="AV98" s="70">
        <f>IFERROR(AV97/AV96,"")</f>
        <v/>
      </c>
      <c r="AW98" s="70">
        <f>IFERROR(AW97/AW96,"")</f>
        <v/>
      </c>
      <c r="AX98" s="70">
        <f>IFERROR(AX97/AX96,"")</f>
        <v/>
      </c>
      <c r="AY98" s="70">
        <f>IFERROR(AY97/AY96,"")</f>
        <v/>
      </c>
      <c r="AZ98" s="70">
        <f>IFERROR(AZ97/AZ96,"")</f>
        <v/>
      </c>
      <c r="BA98" s="70">
        <f>IFERROR(BA97/BA96,"")</f>
        <v/>
      </c>
      <c r="BB98" s="70">
        <f>IFERROR(BB97/BB96,"")</f>
        <v/>
      </c>
      <c r="BC98" s="70">
        <f>IFERROR(BC97/BC96,"")</f>
        <v/>
      </c>
      <c r="BD98" s="70">
        <f>IFERROR(BD97/BD96,"")</f>
        <v/>
      </c>
      <c r="BE98" s="70">
        <f>IFERROR(BE97/BE96,"")</f>
        <v/>
      </c>
      <c r="BF98" s="70">
        <f>IFERROR(BF97/BF96,"")</f>
        <v/>
      </c>
      <c r="BG98" s="70">
        <f>IFERROR(BG97/BG96,"")</f>
        <v/>
      </c>
      <c r="BH98" s="70">
        <f>IFERROR(BH97/BH96,"")</f>
        <v/>
      </c>
      <c r="BI98" s="70">
        <f>IFERROR(BI97/BI96,"")</f>
        <v/>
      </c>
      <c r="BJ98" s="70">
        <f>IFERROR(BJ97/BJ96,"")</f>
        <v/>
      </c>
      <c r="BK98" s="70">
        <f>IFERROR(BK97/BK96,"")</f>
        <v/>
      </c>
      <c r="BL98" s="70">
        <f>IFERROR(BL97/BL96,"")</f>
        <v/>
      </c>
      <c r="BM98" s="70">
        <f>IFERROR(BM97/BM96,"")</f>
        <v/>
      </c>
      <c r="BN98" s="70">
        <f>IFERROR(BN97/BN96,"")</f>
        <v/>
      </c>
      <c r="BO98" s="70">
        <f>IFERROR(BO97/BO96,"")</f>
        <v/>
      </c>
    </row>
    <row r="99">
      <c r="A99" s="66" t="n"/>
      <c r="B99" s="66" t="n"/>
      <c r="C99" s="63" t="inlineStr">
        <is>
          <t>K2</t>
        </is>
      </c>
      <c r="D99" s="11" t="inlineStr">
        <is>
          <t>Key account approach / Site check</t>
        </is>
      </c>
      <c r="E99" s="64" t="inlineStr">
        <is>
          <t>Roadshow</t>
        </is>
      </c>
      <c r="F99" s="65" t="inlineStr">
        <is>
          <t>Phasing</t>
        </is>
      </c>
      <c r="G99" s="56">
        <f>SUM(H99:BO99)</f>
        <v/>
      </c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  <c r="BF99" s="52" t="n"/>
      <c r="BG99" s="52" t="n"/>
      <c r="BH99" s="52" t="n"/>
      <c r="BI99" s="52" t="n"/>
      <c r="BJ99" s="52" t="n"/>
      <c r="BK99" s="52" t="n"/>
      <c r="BL99" s="52" t="n"/>
      <c r="BM99" s="52" t="n"/>
      <c r="BN99" s="52" t="n"/>
      <c r="BO99" s="52" t="n"/>
    </row>
    <row r="100">
      <c r="A100" s="66" t="n"/>
      <c r="B100" s="66" t="n"/>
      <c r="C100" s="66" t="n"/>
      <c r="D100" s="66" t="n"/>
      <c r="E100" s="66" t="n"/>
      <c r="F100" s="65" t="inlineStr">
        <is>
          <t>Actual</t>
        </is>
      </c>
      <c r="G100" s="56">
        <f>SUM(H100:BO100)</f>
        <v/>
      </c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  <c r="BF100" s="52" t="n"/>
      <c r="BG100" s="52" t="n"/>
      <c r="BH100" s="52" t="n"/>
      <c r="BI100" s="52" t="n"/>
      <c r="BJ100" s="52" t="n"/>
      <c r="BK100" s="52" t="n"/>
      <c r="BL100" s="52" t="n"/>
      <c r="BM100" s="52" t="n"/>
      <c r="BN100" s="52" t="n"/>
      <c r="BO100" s="52" t="n"/>
    </row>
    <row r="101">
      <c r="A101" s="66" t="n"/>
      <c r="B101" s="66" t="n"/>
      <c r="C101" s="67" t="n"/>
      <c r="D101" s="67" t="n"/>
      <c r="E101" s="67" t="n"/>
      <c r="F101" s="68" t="inlineStr">
        <is>
          <t>% Achieved</t>
        </is>
      </c>
      <c r="G101" s="69">
        <f>IFERROR(G100/G99,"")</f>
        <v/>
      </c>
      <c r="H101" s="70">
        <f>IFERROR(H100/H99,"")</f>
        <v/>
      </c>
      <c r="I101" s="70">
        <f>IFERROR(I100/I99,"")</f>
        <v/>
      </c>
      <c r="J101" s="70">
        <f>IFERROR(J100/J99,"")</f>
        <v/>
      </c>
      <c r="K101" s="70">
        <f>IFERROR(K100/K99,"")</f>
        <v/>
      </c>
      <c r="L101" s="70">
        <f>IFERROR(L100/L99,"")</f>
        <v/>
      </c>
      <c r="M101" s="70">
        <f>IFERROR(M100/M99,"")</f>
        <v/>
      </c>
      <c r="N101" s="70">
        <f>IFERROR(N100/N99,"")</f>
        <v/>
      </c>
      <c r="O101" s="70">
        <f>IFERROR(O100/O99,"")</f>
        <v/>
      </c>
      <c r="P101" s="70">
        <f>IFERROR(P100/P99,"")</f>
        <v/>
      </c>
      <c r="Q101" s="70">
        <f>IFERROR(Q100/Q99,"")</f>
        <v/>
      </c>
      <c r="R101" s="70">
        <f>IFERROR(R100/R99,"")</f>
        <v/>
      </c>
      <c r="S101" s="70">
        <f>IFERROR(S100/S99,"")</f>
        <v/>
      </c>
      <c r="T101" s="70">
        <f>IFERROR(T100/T99,"")</f>
        <v/>
      </c>
      <c r="U101" s="70">
        <f>IFERROR(U100/U99,"")</f>
        <v/>
      </c>
      <c r="V101" s="70">
        <f>IFERROR(V100/V99,"")</f>
        <v/>
      </c>
      <c r="W101" s="70">
        <f>IFERROR(W100/W99,"")</f>
        <v/>
      </c>
      <c r="X101" s="70">
        <f>IFERROR(X100/X99,"")</f>
        <v/>
      </c>
      <c r="Y101" s="70">
        <f>IFERROR(Y100/Y99,"")</f>
        <v/>
      </c>
      <c r="Z101" s="70">
        <f>IFERROR(Z100/Z99,"")</f>
        <v/>
      </c>
      <c r="AA101" s="70">
        <f>IFERROR(AA100/AA99,"")</f>
        <v/>
      </c>
      <c r="AB101" s="70">
        <f>IFERROR(AB100/AB99,"")</f>
        <v/>
      </c>
      <c r="AC101" s="70">
        <f>IFERROR(AC100/AC99,"")</f>
        <v/>
      </c>
      <c r="AD101" s="70">
        <f>IFERROR(AD100/AD99,"")</f>
        <v/>
      </c>
      <c r="AE101" s="70">
        <f>IFERROR(AE100/AE99,"")</f>
        <v/>
      </c>
      <c r="AF101" s="70">
        <f>IFERROR(AF100/AF99,"")</f>
        <v/>
      </c>
      <c r="AG101" s="70">
        <f>IFERROR(AG100/AG99,"")</f>
        <v/>
      </c>
      <c r="AH101" s="70">
        <f>IFERROR(AH100/AH99,"")</f>
        <v/>
      </c>
      <c r="AI101" s="70">
        <f>IFERROR(AI100/AI99,"")</f>
        <v/>
      </c>
      <c r="AJ101" s="70">
        <f>IFERROR(AJ100/AJ99,"")</f>
        <v/>
      </c>
      <c r="AK101" s="70">
        <f>IFERROR(AK100/AK99,"")</f>
        <v/>
      </c>
      <c r="AL101" s="70">
        <f>IFERROR(AL100/AL99,"")</f>
        <v/>
      </c>
      <c r="AM101" s="70">
        <f>IFERROR(AM100/AM99,"")</f>
        <v/>
      </c>
      <c r="AN101" s="70">
        <f>IFERROR(AN100/AN99,"")</f>
        <v/>
      </c>
      <c r="AO101" s="70">
        <f>IFERROR(AO100/AO99,"")</f>
        <v/>
      </c>
      <c r="AP101" s="70">
        <f>IFERROR(AP100/AP99,"")</f>
        <v/>
      </c>
      <c r="AQ101" s="70">
        <f>IFERROR(AQ100/AQ99,"")</f>
        <v/>
      </c>
      <c r="AR101" s="70">
        <f>IFERROR(AR100/AR99,"")</f>
        <v/>
      </c>
      <c r="AS101" s="70">
        <f>IFERROR(AS100/AS99,"")</f>
        <v/>
      </c>
      <c r="AT101" s="70">
        <f>IFERROR(AT100/AT99,"")</f>
        <v/>
      </c>
      <c r="AU101" s="70">
        <f>IFERROR(AU100/AU99,"")</f>
        <v/>
      </c>
      <c r="AV101" s="70">
        <f>IFERROR(AV100/AV99,"")</f>
        <v/>
      </c>
      <c r="AW101" s="70">
        <f>IFERROR(AW100/AW99,"")</f>
        <v/>
      </c>
      <c r="AX101" s="70">
        <f>IFERROR(AX100/AX99,"")</f>
        <v/>
      </c>
      <c r="AY101" s="70">
        <f>IFERROR(AY100/AY99,"")</f>
        <v/>
      </c>
      <c r="AZ101" s="70">
        <f>IFERROR(AZ100/AZ99,"")</f>
        <v/>
      </c>
      <c r="BA101" s="70">
        <f>IFERROR(BA100/BA99,"")</f>
        <v/>
      </c>
      <c r="BB101" s="70">
        <f>IFERROR(BB100/BB99,"")</f>
        <v/>
      </c>
      <c r="BC101" s="70">
        <f>IFERROR(BC100/BC99,"")</f>
        <v/>
      </c>
      <c r="BD101" s="70">
        <f>IFERROR(BD100/BD99,"")</f>
        <v/>
      </c>
      <c r="BE101" s="70">
        <f>IFERROR(BE100/BE99,"")</f>
        <v/>
      </c>
      <c r="BF101" s="70">
        <f>IFERROR(BF100/BF99,"")</f>
        <v/>
      </c>
      <c r="BG101" s="70">
        <f>IFERROR(BG100/BG99,"")</f>
        <v/>
      </c>
      <c r="BH101" s="70">
        <f>IFERROR(BH100/BH99,"")</f>
        <v/>
      </c>
      <c r="BI101" s="70">
        <f>IFERROR(BI100/BI99,"")</f>
        <v/>
      </c>
      <c r="BJ101" s="70">
        <f>IFERROR(BJ100/BJ99,"")</f>
        <v/>
      </c>
      <c r="BK101" s="70">
        <f>IFERROR(BK100/BK99,"")</f>
        <v/>
      </c>
      <c r="BL101" s="70">
        <f>IFERROR(BL100/BL99,"")</f>
        <v/>
      </c>
      <c r="BM101" s="70">
        <f>IFERROR(BM100/BM99,"")</f>
        <v/>
      </c>
      <c r="BN101" s="70">
        <f>IFERROR(BN100/BN99,"")</f>
        <v/>
      </c>
      <c r="BO101" s="70">
        <f>IFERROR(BO100/BO99,"")</f>
        <v/>
      </c>
    </row>
    <row r="102">
      <c r="A102" s="66" t="n"/>
      <c r="B102" s="66" t="n"/>
      <c r="C102" s="71" t="inlineStr">
        <is>
          <t>K3</t>
        </is>
      </c>
      <c r="D102" s="37" t="inlineStr">
        <is>
          <t>Spec-in Value</t>
        </is>
      </c>
      <c r="E102" s="72" t="inlineStr">
        <is>
          <t>MVND</t>
        </is>
      </c>
      <c r="F102" s="65" t="inlineStr">
        <is>
          <t>Phasing</t>
        </is>
      </c>
      <c r="G102" s="56">
        <f>SUM(H102:BO102)</f>
        <v/>
      </c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  <c r="AL102" s="52" t="n"/>
      <c r="AM102" s="52" t="n"/>
      <c r="AN102" s="52" t="n"/>
      <c r="AO102" s="52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  <c r="BB102" s="52" t="n"/>
      <c r="BC102" s="52" t="n"/>
      <c r="BD102" s="52" t="n"/>
      <c r="BE102" s="52" t="n"/>
      <c r="BF102" s="52" t="n"/>
      <c r="BG102" s="52" t="n"/>
      <c r="BH102" s="52" t="n"/>
      <c r="BI102" s="52" t="n"/>
      <c r="BJ102" s="52" t="n"/>
      <c r="BK102" s="52" t="n"/>
      <c r="BL102" s="52" t="n"/>
      <c r="BM102" s="52" t="n"/>
      <c r="BN102" s="52" t="n"/>
      <c r="BO102" s="52" t="n"/>
    </row>
    <row r="103">
      <c r="A103" s="66" t="n"/>
      <c r="B103" s="66" t="n"/>
      <c r="C103" s="66" t="n"/>
      <c r="D103" s="66" t="n"/>
      <c r="E103" s="66" t="n"/>
      <c r="F103" s="65" t="inlineStr">
        <is>
          <t>Actual</t>
        </is>
      </c>
      <c r="G103" s="56">
        <f>SUM(H103:BO103)</f>
        <v/>
      </c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  <c r="BB103" s="52" t="n"/>
      <c r="BC103" s="52" t="n"/>
      <c r="BD103" s="52" t="n"/>
      <c r="BE103" s="52" t="n"/>
      <c r="BF103" s="52" t="n"/>
      <c r="BG103" s="52" t="n"/>
      <c r="BH103" s="52" t="n"/>
      <c r="BI103" s="52" t="n"/>
      <c r="BJ103" s="52" t="n"/>
      <c r="BK103" s="52" t="n"/>
      <c r="BL103" s="52" t="n"/>
      <c r="BM103" s="52" t="n"/>
      <c r="BN103" s="52" t="n"/>
      <c r="BO103" s="52" t="n"/>
    </row>
    <row r="104">
      <c r="A104" s="66" t="n"/>
      <c r="B104" s="66" t="n"/>
      <c r="C104" s="67" t="n"/>
      <c r="D104" s="67" t="n"/>
      <c r="E104" s="67" t="n"/>
      <c r="F104" s="68" t="inlineStr">
        <is>
          <t>% Achieved</t>
        </is>
      </c>
      <c r="G104" s="69">
        <f>IFERROR(G103/G102,"")</f>
        <v/>
      </c>
      <c r="H104" s="70">
        <f>IFERROR(H103/H102,"")</f>
        <v/>
      </c>
      <c r="I104" s="70">
        <f>IFERROR(I103/I102,"")</f>
        <v/>
      </c>
      <c r="J104" s="70">
        <f>IFERROR(J103/J102,"")</f>
        <v/>
      </c>
      <c r="K104" s="70">
        <f>IFERROR(K103/K102,"")</f>
        <v/>
      </c>
      <c r="L104" s="70">
        <f>IFERROR(L103/L102,"")</f>
        <v/>
      </c>
      <c r="M104" s="70">
        <f>IFERROR(M103/M102,"")</f>
        <v/>
      </c>
      <c r="N104" s="70">
        <f>IFERROR(N103/N102,"")</f>
        <v/>
      </c>
      <c r="O104" s="70">
        <f>IFERROR(O103/O102,"")</f>
        <v/>
      </c>
      <c r="P104" s="70">
        <f>IFERROR(P103/P102,"")</f>
        <v/>
      </c>
      <c r="Q104" s="70">
        <f>IFERROR(Q103/Q102,"")</f>
        <v/>
      </c>
      <c r="R104" s="70">
        <f>IFERROR(R103/R102,"")</f>
        <v/>
      </c>
      <c r="S104" s="70">
        <f>IFERROR(S103/S102,"")</f>
        <v/>
      </c>
      <c r="T104" s="70">
        <f>IFERROR(T103/T102,"")</f>
        <v/>
      </c>
      <c r="U104" s="70">
        <f>IFERROR(U103/U102,"")</f>
        <v/>
      </c>
      <c r="V104" s="70">
        <f>IFERROR(V103/V102,"")</f>
        <v/>
      </c>
      <c r="W104" s="70">
        <f>IFERROR(W103/W102,"")</f>
        <v/>
      </c>
      <c r="X104" s="70">
        <f>IFERROR(X103/X102,"")</f>
        <v/>
      </c>
      <c r="Y104" s="70">
        <f>IFERROR(Y103/Y102,"")</f>
        <v/>
      </c>
      <c r="Z104" s="70">
        <f>IFERROR(Z103/Z102,"")</f>
        <v/>
      </c>
      <c r="AA104" s="70">
        <f>IFERROR(AA103/AA102,"")</f>
        <v/>
      </c>
      <c r="AB104" s="70">
        <f>IFERROR(AB103/AB102,"")</f>
        <v/>
      </c>
      <c r="AC104" s="70">
        <f>IFERROR(AC103/AC102,"")</f>
        <v/>
      </c>
      <c r="AD104" s="70">
        <f>IFERROR(AD103/AD102,"")</f>
        <v/>
      </c>
      <c r="AE104" s="70">
        <f>IFERROR(AE103/AE102,"")</f>
        <v/>
      </c>
      <c r="AF104" s="70">
        <f>IFERROR(AF103/AF102,"")</f>
        <v/>
      </c>
      <c r="AG104" s="70">
        <f>IFERROR(AG103/AG102,"")</f>
        <v/>
      </c>
      <c r="AH104" s="70">
        <f>IFERROR(AH103/AH102,"")</f>
        <v/>
      </c>
      <c r="AI104" s="70">
        <f>IFERROR(AI103/AI102,"")</f>
        <v/>
      </c>
      <c r="AJ104" s="70">
        <f>IFERROR(AJ103/AJ102,"")</f>
        <v/>
      </c>
      <c r="AK104" s="70">
        <f>IFERROR(AK103/AK102,"")</f>
        <v/>
      </c>
      <c r="AL104" s="70">
        <f>IFERROR(AL103/AL102,"")</f>
        <v/>
      </c>
      <c r="AM104" s="70">
        <f>IFERROR(AM103/AM102,"")</f>
        <v/>
      </c>
      <c r="AN104" s="70">
        <f>IFERROR(AN103/AN102,"")</f>
        <v/>
      </c>
      <c r="AO104" s="70">
        <f>IFERROR(AO103/AO102,"")</f>
        <v/>
      </c>
      <c r="AP104" s="70">
        <f>IFERROR(AP103/AP102,"")</f>
        <v/>
      </c>
      <c r="AQ104" s="70">
        <f>IFERROR(AQ103/AQ102,"")</f>
        <v/>
      </c>
      <c r="AR104" s="70">
        <f>IFERROR(AR103/AR102,"")</f>
        <v/>
      </c>
      <c r="AS104" s="70">
        <f>IFERROR(AS103/AS102,"")</f>
        <v/>
      </c>
      <c r="AT104" s="70">
        <f>IFERROR(AT103/AT102,"")</f>
        <v/>
      </c>
      <c r="AU104" s="70">
        <f>IFERROR(AU103/AU102,"")</f>
        <v/>
      </c>
      <c r="AV104" s="70">
        <f>IFERROR(AV103/AV102,"")</f>
        <v/>
      </c>
      <c r="AW104" s="70">
        <f>IFERROR(AW103/AW102,"")</f>
        <v/>
      </c>
      <c r="AX104" s="70">
        <f>IFERROR(AX103/AX102,"")</f>
        <v/>
      </c>
      <c r="AY104" s="70">
        <f>IFERROR(AY103/AY102,"")</f>
        <v/>
      </c>
      <c r="AZ104" s="70">
        <f>IFERROR(AZ103/AZ102,"")</f>
        <v/>
      </c>
      <c r="BA104" s="70">
        <f>IFERROR(BA103/BA102,"")</f>
        <v/>
      </c>
      <c r="BB104" s="70">
        <f>IFERROR(BB103/BB102,"")</f>
        <v/>
      </c>
      <c r="BC104" s="70">
        <f>IFERROR(BC103/BC102,"")</f>
        <v/>
      </c>
      <c r="BD104" s="70">
        <f>IFERROR(BD103/BD102,"")</f>
        <v/>
      </c>
      <c r="BE104" s="70">
        <f>IFERROR(BE103/BE102,"")</f>
        <v/>
      </c>
      <c r="BF104" s="70">
        <f>IFERROR(BF103/BF102,"")</f>
        <v/>
      </c>
      <c r="BG104" s="70">
        <f>IFERROR(BG103/BG102,"")</f>
        <v/>
      </c>
      <c r="BH104" s="70">
        <f>IFERROR(BH103/BH102,"")</f>
        <v/>
      </c>
      <c r="BI104" s="70">
        <f>IFERROR(BI103/BI102,"")</f>
        <v/>
      </c>
      <c r="BJ104" s="70">
        <f>IFERROR(BJ103/BJ102,"")</f>
        <v/>
      </c>
      <c r="BK104" s="70">
        <f>IFERROR(BK103/BK102,"")</f>
        <v/>
      </c>
      <c r="BL104" s="70">
        <f>IFERROR(BL103/BL102,"")</f>
        <v/>
      </c>
      <c r="BM104" s="70">
        <f>IFERROR(BM103/BM102,"")</f>
        <v/>
      </c>
      <c r="BN104" s="70">
        <f>IFERROR(BN103/BN102,"")</f>
        <v/>
      </c>
      <c r="BO104" s="70">
        <f>IFERROR(BO103/BO102,"")</f>
        <v/>
      </c>
    </row>
    <row r="105">
      <c r="A105" s="66" t="n"/>
      <c r="B105" s="66" t="n"/>
      <c r="C105" s="71" t="inlineStr">
        <is>
          <t>K4</t>
        </is>
      </c>
      <c r="D105" s="37" t="inlineStr">
        <is>
          <t>Engaged Architect (Submit Design)</t>
        </is>
      </c>
      <c r="E105" s="72" t="inlineStr">
        <is>
          <t>D&amp;B</t>
        </is>
      </c>
      <c r="F105" s="65" t="inlineStr">
        <is>
          <t>Phasing</t>
        </is>
      </c>
      <c r="G105" s="56">
        <f>SUM(H105:BO105)</f>
        <v/>
      </c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  <c r="AL105" s="52" t="n"/>
      <c r="AM105" s="52" t="n"/>
      <c r="AN105" s="52" t="n"/>
      <c r="AO105" s="52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  <c r="BB105" s="52" t="n"/>
      <c r="BC105" s="52" t="n"/>
      <c r="BD105" s="52" t="n"/>
      <c r="BE105" s="52" t="n"/>
      <c r="BF105" s="52" t="n"/>
      <c r="BG105" s="52" t="n"/>
      <c r="BH105" s="52" t="n"/>
      <c r="BI105" s="52" t="n"/>
      <c r="BJ105" s="52" t="n"/>
      <c r="BK105" s="52" t="n"/>
      <c r="BL105" s="52" t="n"/>
      <c r="BM105" s="52" t="n"/>
      <c r="BN105" s="52" t="n"/>
      <c r="BO105" s="52" t="n"/>
    </row>
    <row r="106">
      <c r="A106" s="66" t="n"/>
      <c r="B106" s="66" t="n"/>
      <c r="C106" s="66" t="n"/>
      <c r="D106" s="66" t="n"/>
      <c r="E106" s="66" t="n"/>
      <c r="F106" s="65" t="inlineStr">
        <is>
          <t>Actual</t>
        </is>
      </c>
      <c r="G106" s="56">
        <f>SUM(H106:BO106)</f>
        <v/>
      </c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  <c r="BF106" s="52" t="n"/>
      <c r="BG106" s="52" t="n"/>
      <c r="BH106" s="52" t="n"/>
      <c r="BI106" s="52" t="n"/>
      <c r="BJ106" s="52" t="n"/>
      <c r="BK106" s="52" t="n"/>
      <c r="BL106" s="52" t="n"/>
      <c r="BM106" s="52" t="n"/>
      <c r="BN106" s="52" t="n"/>
      <c r="BO106" s="52" t="n"/>
    </row>
    <row r="107">
      <c r="A107" s="66" t="n"/>
      <c r="B107" s="66" t="n"/>
      <c r="C107" s="67" t="n"/>
      <c r="D107" s="67" t="n"/>
      <c r="E107" s="67" t="n"/>
      <c r="F107" s="68" t="inlineStr">
        <is>
          <t>% Achieved</t>
        </is>
      </c>
      <c r="G107" s="69">
        <f>IFERROR(G106/G105,"")</f>
        <v/>
      </c>
      <c r="H107" s="70">
        <f>IFERROR(H106/H105,"")</f>
        <v/>
      </c>
      <c r="I107" s="70">
        <f>IFERROR(I106/I105,"")</f>
        <v/>
      </c>
      <c r="J107" s="70">
        <f>IFERROR(J106/J105,"")</f>
        <v/>
      </c>
      <c r="K107" s="70">
        <f>IFERROR(K106/K105,"")</f>
        <v/>
      </c>
      <c r="L107" s="70">
        <f>IFERROR(L106/L105,"")</f>
        <v/>
      </c>
      <c r="M107" s="70">
        <f>IFERROR(M106/M105,"")</f>
        <v/>
      </c>
      <c r="N107" s="70">
        <f>IFERROR(N106/N105,"")</f>
        <v/>
      </c>
      <c r="O107" s="70">
        <f>IFERROR(O106/O105,"")</f>
        <v/>
      </c>
      <c r="P107" s="70">
        <f>IFERROR(P106/P105,"")</f>
        <v/>
      </c>
      <c r="Q107" s="70">
        <f>IFERROR(Q106/Q105,"")</f>
        <v/>
      </c>
      <c r="R107" s="70">
        <f>IFERROR(R106/R105,"")</f>
        <v/>
      </c>
      <c r="S107" s="70">
        <f>IFERROR(S106/S105,"")</f>
        <v/>
      </c>
      <c r="T107" s="70">
        <f>IFERROR(T106/T105,"")</f>
        <v/>
      </c>
      <c r="U107" s="70">
        <f>IFERROR(U106/U105,"")</f>
        <v/>
      </c>
      <c r="V107" s="70">
        <f>IFERROR(V106/V105,"")</f>
        <v/>
      </c>
      <c r="W107" s="70">
        <f>IFERROR(W106/W105,"")</f>
        <v/>
      </c>
      <c r="X107" s="70">
        <f>IFERROR(X106/X105,"")</f>
        <v/>
      </c>
      <c r="Y107" s="70">
        <f>IFERROR(Y106/Y105,"")</f>
        <v/>
      </c>
      <c r="Z107" s="70">
        <f>IFERROR(Z106/Z105,"")</f>
        <v/>
      </c>
      <c r="AA107" s="70">
        <f>IFERROR(AA106/AA105,"")</f>
        <v/>
      </c>
      <c r="AB107" s="70">
        <f>IFERROR(AB106/AB105,"")</f>
        <v/>
      </c>
      <c r="AC107" s="70">
        <f>IFERROR(AC106/AC105,"")</f>
        <v/>
      </c>
      <c r="AD107" s="70">
        <f>IFERROR(AD106/AD105,"")</f>
        <v/>
      </c>
      <c r="AE107" s="70">
        <f>IFERROR(AE106/AE105,"")</f>
        <v/>
      </c>
      <c r="AF107" s="70">
        <f>IFERROR(AF106/AF105,"")</f>
        <v/>
      </c>
      <c r="AG107" s="70">
        <f>IFERROR(AG106/AG105,"")</f>
        <v/>
      </c>
      <c r="AH107" s="70">
        <f>IFERROR(AH106/AH105,"")</f>
        <v/>
      </c>
      <c r="AI107" s="70">
        <f>IFERROR(AI106/AI105,"")</f>
        <v/>
      </c>
      <c r="AJ107" s="70">
        <f>IFERROR(AJ106/AJ105,"")</f>
        <v/>
      </c>
      <c r="AK107" s="70">
        <f>IFERROR(AK106/AK105,"")</f>
        <v/>
      </c>
      <c r="AL107" s="70">
        <f>IFERROR(AL106/AL105,"")</f>
        <v/>
      </c>
      <c r="AM107" s="70">
        <f>IFERROR(AM106/AM105,"")</f>
        <v/>
      </c>
      <c r="AN107" s="70">
        <f>IFERROR(AN106/AN105,"")</f>
        <v/>
      </c>
      <c r="AO107" s="70">
        <f>IFERROR(AO106/AO105,"")</f>
        <v/>
      </c>
      <c r="AP107" s="70">
        <f>IFERROR(AP106/AP105,"")</f>
        <v/>
      </c>
      <c r="AQ107" s="70">
        <f>IFERROR(AQ106/AQ105,"")</f>
        <v/>
      </c>
      <c r="AR107" s="70">
        <f>IFERROR(AR106/AR105,"")</f>
        <v/>
      </c>
      <c r="AS107" s="70">
        <f>IFERROR(AS106/AS105,"")</f>
        <v/>
      </c>
      <c r="AT107" s="70">
        <f>IFERROR(AT106/AT105,"")</f>
        <v/>
      </c>
      <c r="AU107" s="70">
        <f>IFERROR(AU106/AU105,"")</f>
        <v/>
      </c>
      <c r="AV107" s="70">
        <f>IFERROR(AV106/AV105,"")</f>
        <v/>
      </c>
      <c r="AW107" s="70">
        <f>IFERROR(AW106/AW105,"")</f>
        <v/>
      </c>
      <c r="AX107" s="70">
        <f>IFERROR(AX106/AX105,"")</f>
        <v/>
      </c>
      <c r="AY107" s="70">
        <f>IFERROR(AY106/AY105,"")</f>
        <v/>
      </c>
      <c r="AZ107" s="70">
        <f>IFERROR(AZ106/AZ105,"")</f>
        <v/>
      </c>
      <c r="BA107" s="70">
        <f>IFERROR(BA106/BA105,"")</f>
        <v/>
      </c>
      <c r="BB107" s="70">
        <f>IFERROR(BB106/BB105,"")</f>
        <v/>
      </c>
      <c r="BC107" s="70">
        <f>IFERROR(BC106/BC105,"")</f>
        <v/>
      </c>
      <c r="BD107" s="70">
        <f>IFERROR(BD106/BD105,"")</f>
        <v/>
      </c>
      <c r="BE107" s="70">
        <f>IFERROR(BE106/BE105,"")</f>
        <v/>
      </c>
      <c r="BF107" s="70">
        <f>IFERROR(BF106/BF105,"")</f>
        <v/>
      </c>
      <c r="BG107" s="70">
        <f>IFERROR(BG106/BG105,"")</f>
        <v/>
      </c>
      <c r="BH107" s="70">
        <f>IFERROR(BH106/BH105,"")</f>
        <v/>
      </c>
      <c r="BI107" s="70">
        <f>IFERROR(BI106/BI105,"")</f>
        <v/>
      </c>
      <c r="BJ107" s="70">
        <f>IFERROR(BJ106/BJ105,"")</f>
        <v/>
      </c>
      <c r="BK107" s="70">
        <f>IFERROR(BK106/BK105,"")</f>
        <v/>
      </c>
      <c r="BL107" s="70">
        <f>IFERROR(BL106/BL105,"")</f>
        <v/>
      </c>
      <c r="BM107" s="70">
        <f>IFERROR(BM106/BM105,"")</f>
        <v/>
      </c>
      <c r="BN107" s="70">
        <f>IFERROR(BN106/BN105,"")</f>
        <v/>
      </c>
      <c r="BO107" s="70">
        <f>IFERROR(BO106/BO105,"")</f>
        <v/>
      </c>
    </row>
    <row r="108">
      <c r="A108" s="66" t="n"/>
      <c r="B108" s="66" t="n"/>
      <c r="C108" s="73" t="inlineStr">
        <is>
          <t>K5</t>
        </is>
      </c>
      <c r="D108" s="41" t="inlineStr">
        <is>
          <t>Spec-in Design (submitted design)</t>
        </is>
      </c>
      <c r="E108" s="74" t="inlineStr">
        <is>
          <t>Designs</t>
        </is>
      </c>
      <c r="F108" s="65" t="inlineStr">
        <is>
          <t>Phasing</t>
        </is>
      </c>
      <c r="G108" s="56">
        <f>SUM(H108:BO108)</f>
        <v/>
      </c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  <c r="AL108" s="52" t="n"/>
      <c r="AM108" s="52" t="n"/>
      <c r="AN108" s="52" t="n"/>
      <c r="AO108" s="52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  <c r="BB108" s="52" t="n"/>
      <c r="BC108" s="52" t="n"/>
      <c r="BD108" s="52" t="n"/>
      <c r="BE108" s="52" t="n"/>
      <c r="BF108" s="52" t="n"/>
      <c r="BG108" s="52" t="n"/>
      <c r="BH108" s="52" t="n"/>
      <c r="BI108" s="52" t="n"/>
      <c r="BJ108" s="52" t="n"/>
      <c r="BK108" s="52" t="n"/>
      <c r="BL108" s="52" t="n"/>
      <c r="BM108" s="52" t="n"/>
      <c r="BN108" s="52" t="n"/>
      <c r="BO108" s="52" t="n"/>
    </row>
    <row r="109">
      <c r="A109" s="66" t="n"/>
      <c r="B109" s="66" t="n"/>
      <c r="C109" s="66" t="n"/>
      <c r="D109" s="66" t="n"/>
      <c r="E109" s="66" t="n"/>
      <c r="F109" s="65" t="inlineStr">
        <is>
          <t>Actual</t>
        </is>
      </c>
      <c r="G109" s="56">
        <f>SUM(H109:BO109)</f>
        <v/>
      </c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  <c r="BF109" s="52" t="n"/>
      <c r="BG109" s="52" t="n"/>
      <c r="BH109" s="52" t="n"/>
      <c r="BI109" s="52" t="n"/>
      <c r="BJ109" s="52" t="n"/>
      <c r="BK109" s="52" t="n"/>
      <c r="BL109" s="52" t="n"/>
      <c r="BM109" s="52" t="n"/>
      <c r="BN109" s="52" t="n"/>
      <c r="BO109" s="52" t="n"/>
    </row>
    <row r="110">
      <c r="A110" s="67" t="n"/>
      <c r="B110" s="67" t="n"/>
      <c r="C110" s="67" t="n"/>
      <c r="D110" s="67" t="n"/>
      <c r="E110" s="67" t="n"/>
      <c r="F110" s="68" t="inlineStr">
        <is>
          <t>% Achieved</t>
        </is>
      </c>
      <c r="G110" s="69">
        <f>IFERROR(G109/G108,"")</f>
        <v/>
      </c>
      <c r="H110" s="70">
        <f>IFERROR(H109/H108,"")</f>
        <v/>
      </c>
      <c r="I110" s="70">
        <f>IFERROR(I109/I108,"")</f>
        <v/>
      </c>
      <c r="J110" s="70">
        <f>IFERROR(J109/J108,"")</f>
        <v/>
      </c>
      <c r="K110" s="70">
        <f>IFERROR(K109/K108,"")</f>
        <v/>
      </c>
      <c r="L110" s="70">
        <f>IFERROR(L109/L108,"")</f>
        <v/>
      </c>
      <c r="M110" s="70">
        <f>IFERROR(M109/M108,"")</f>
        <v/>
      </c>
      <c r="N110" s="70">
        <f>IFERROR(N109/N108,"")</f>
        <v/>
      </c>
      <c r="O110" s="70">
        <f>IFERROR(O109/O108,"")</f>
        <v/>
      </c>
      <c r="P110" s="70">
        <f>IFERROR(P109/P108,"")</f>
        <v/>
      </c>
      <c r="Q110" s="70">
        <f>IFERROR(Q109/Q108,"")</f>
        <v/>
      </c>
      <c r="R110" s="70">
        <f>IFERROR(R109/R108,"")</f>
        <v/>
      </c>
      <c r="S110" s="70">
        <f>IFERROR(S109/S108,"")</f>
        <v/>
      </c>
      <c r="T110" s="70">
        <f>IFERROR(T109/T108,"")</f>
        <v/>
      </c>
      <c r="U110" s="70">
        <f>IFERROR(U109/U108,"")</f>
        <v/>
      </c>
      <c r="V110" s="70">
        <f>IFERROR(V109/V108,"")</f>
        <v/>
      </c>
      <c r="W110" s="70">
        <f>IFERROR(W109/W108,"")</f>
        <v/>
      </c>
      <c r="X110" s="70">
        <f>IFERROR(X109/X108,"")</f>
        <v/>
      </c>
      <c r="Y110" s="70">
        <f>IFERROR(Y109/Y108,"")</f>
        <v/>
      </c>
      <c r="Z110" s="70">
        <f>IFERROR(Z109/Z108,"")</f>
        <v/>
      </c>
      <c r="AA110" s="70">
        <f>IFERROR(AA109/AA108,"")</f>
        <v/>
      </c>
      <c r="AB110" s="70">
        <f>IFERROR(AB109/AB108,"")</f>
        <v/>
      </c>
      <c r="AC110" s="70">
        <f>IFERROR(AC109/AC108,"")</f>
        <v/>
      </c>
      <c r="AD110" s="70">
        <f>IFERROR(AD109/AD108,"")</f>
        <v/>
      </c>
      <c r="AE110" s="70">
        <f>IFERROR(AE109/AE108,"")</f>
        <v/>
      </c>
      <c r="AF110" s="70">
        <f>IFERROR(AF109/AF108,"")</f>
        <v/>
      </c>
      <c r="AG110" s="70">
        <f>IFERROR(AG109/AG108,"")</f>
        <v/>
      </c>
      <c r="AH110" s="70">
        <f>IFERROR(AH109/AH108,"")</f>
        <v/>
      </c>
      <c r="AI110" s="70">
        <f>IFERROR(AI109/AI108,"")</f>
        <v/>
      </c>
      <c r="AJ110" s="70">
        <f>IFERROR(AJ109/AJ108,"")</f>
        <v/>
      </c>
      <c r="AK110" s="70">
        <f>IFERROR(AK109/AK108,"")</f>
        <v/>
      </c>
      <c r="AL110" s="70">
        <f>IFERROR(AL109/AL108,"")</f>
        <v/>
      </c>
      <c r="AM110" s="70">
        <f>IFERROR(AM109/AM108,"")</f>
        <v/>
      </c>
      <c r="AN110" s="70">
        <f>IFERROR(AN109/AN108,"")</f>
        <v/>
      </c>
      <c r="AO110" s="70">
        <f>IFERROR(AO109/AO108,"")</f>
        <v/>
      </c>
      <c r="AP110" s="70">
        <f>IFERROR(AP109/AP108,"")</f>
        <v/>
      </c>
      <c r="AQ110" s="70">
        <f>IFERROR(AQ109/AQ108,"")</f>
        <v/>
      </c>
      <c r="AR110" s="70">
        <f>IFERROR(AR109/AR108,"")</f>
        <v/>
      </c>
      <c r="AS110" s="70">
        <f>IFERROR(AS109/AS108,"")</f>
        <v/>
      </c>
      <c r="AT110" s="70">
        <f>IFERROR(AT109/AT108,"")</f>
        <v/>
      </c>
      <c r="AU110" s="70">
        <f>IFERROR(AU109/AU108,"")</f>
        <v/>
      </c>
      <c r="AV110" s="70">
        <f>IFERROR(AV109/AV108,"")</f>
        <v/>
      </c>
      <c r="AW110" s="70">
        <f>IFERROR(AW109/AW108,"")</f>
        <v/>
      </c>
      <c r="AX110" s="70">
        <f>IFERROR(AX109/AX108,"")</f>
        <v/>
      </c>
      <c r="AY110" s="70">
        <f>IFERROR(AY109/AY108,"")</f>
        <v/>
      </c>
      <c r="AZ110" s="70">
        <f>IFERROR(AZ109/AZ108,"")</f>
        <v/>
      </c>
      <c r="BA110" s="70">
        <f>IFERROR(BA109/BA108,"")</f>
        <v/>
      </c>
      <c r="BB110" s="70">
        <f>IFERROR(BB109/BB108,"")</f>
        <v/>
      </c>
      <c r="BC110" s="70">
        <f>IFERROR(BC109/BC108,"")</f>
        <v/>
      </c>
      <c r="BD110" s="70">
        <f>IFERROR(BD109/BD108,"")</f>
        <v/>
      </c>
      <c r="BE110" s="70">
        <f>IFERROR(BE109/BE108,"")</f>
        <v/>
      </c>
      <c r="BF110" s="70">
        <f>IFERROR(BF109/BF108,"")</f>
        <v/>
      </c>
      <c r="BG110" s="70">
        <f>IFERROR(BG109/BG108,"")</f>
        <v/>
      </c>
      <c r="BH110" s="70">
        <f>IFERROR(BH109/BH108,"")</f>
        <v/>
      </c>
      <c r="BI110" s="70">
        <f>IFERROR(BI109/BI108,"")</f>
        <v/>
      </c>
      <c r="BJ110" s="70">
        <f>IFERROR(BJ109/BJ108,"")</f>
        <v/>
      </c>
      <c r="BK110" s="70">
        <f>IFERROR(BK109/BK108,"")</f>
        <v/>
      </c>
      <c r="BL110" s="70">
        <f>IFERROR(BL109/BL108,"")</f>
        <v/>
      </c>
      <c r="BM110" s="70">
        <f>IFERROR(BM109/BM108,"")</f>
        <v/>
      </c>
      <c r="BN110" s="70">
        <f>IFERROR(BN109/BN108,"")</f>
        <v/>
      </c>
      <c r="BO110" s="70">
        <f>IFERROR(BO109/BO108,"")</f>
        <v/>
      </c>
    </row>
    <row r="111">
      <c r="A111" s="61">
        <f>IFERROR(INDEX(Team_Master!$C$6:$C$20,8),"")</f>
        <v/>
      </c>
      <c r="B111" s="62">
        <f>IFERROR(INDEX(Team_Master!$G$6:$G$20,8),"")</f>
        <v/>
      </c>
      <c r="C111" s="63" t="inlineStr">
        <is>
          <t>K1</t>
        </is>
      </c>
      <c r="D111" s="11" t="inlineStr">
        <is>
          <t>Invoiced Value</t>
        </is>
      </c>
      <c r="E111" s="64" t="inlineStr">
        <is>
          <t>MVND</t>
        </is>
      </c>
      <c r="F111" s="75" t="inlineStr">
        <is>
          <t>Phasing</t>
        </is>
      </c>
      <c r="G111" s="56">
        <f>SUM(H111:BO111)</f>
        <v/>
      </c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  <c r="AL111" s="52" t="n"/>
      <c r="AM111" s="52" t="n"/>
      <c r="AN111" s="52" t="n"/>
      <c r="AO111" s="52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  <c r="BB111" s="52" t="n"/>
      <c r="BC111" s="52" t="n"/>
      <c r="BD111" s="52" t="n"/>
      <c r="BE111" s="52" t="n"/>
      <c r="BF111" s="52" t="n"/>
      <c r="BG111" s="52" t="n"/>
      <c r="BH111" s="52" t="n"/>
      <c r="BI111" s="52" t="n"/>
      <c r="BJ111" s="52" t="n"/>
      <c r="BK111" s="52" t="n"/>
      <c r="BL111" s="52" t="n"/>
      <c r="BM111" s="52" t="n"/>
      <c r="BN111" s="52" t="n"/>
      <c r="BO111" s="52" t="n"/>
    </row>
    <row r="112">
      <c r="A112" s="66" t="n"/>
      <c r="B112" s="66" t="n"/>
      <c r="C112" s="66" t="n"/>
      <c r="D112" s="66" t="n"/>
      <c r="E112" s="66" t="n"/>
      <c r="F112" s="75" t="inlineStr">
        <is>
          <t>Actual</t>
        </is>
      </c>
      <c r="G112" s="56">
        <f>SUM(H112:BO112)</f>
        <v/>
      </c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  <c r="AL112" s="52" t="n"/>
      <c r="AM112" s="52" t="n"/>
      <c r="AN112" s="52" t="n"/>
      <c r="AO112" s="52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  <c r="BB112" s="52" t="n"/>
      <c r="BC112" s="52" t="n"/>
      <c r="BD112" s="52" t="n"/>
      <c r="BE112" s="52" t="n"/>
      <c r="BF112" s="52" t="n"/>
      <c r="BG112" s="52" t="n"/>
      <c r="BH112" s="52" t="n"/>
      <c r="BI112" s="52" t="n"/>
      <c r="BJ112" s="52" t="n"/>
      <c r="BK112" s="52" t="n"/>
      <c r="BL112" s="52" t="n"/>
      <c r="BM112" s="52" t="n"/>
      <c r="BN112" s="52" t="n"/>
      <c r="BO112" s="52" t="n"/>
    </row>
    <row r="113">
      <c r="A113" s="66" t="n"/>
      <c r="B113" s="66" t="n"/>
      <c r="C113" s="67" t="n"/>
      <c r="D113" s="67" t="n"/>
      <c r="E113" s="67" t="n"/>
      <c r="F113" s="68" t="inlineStr">
        <is>
          <t>% Achieved</t>
        </is>
      </c>
      <c r="G113" s="69">
        <f>IFERROR(G112/G111,"")</f>
        <v/>
      </c>
      <c r="H113" s="70">
        <f>IFERROR(H112/H111,"")</f>
        <v/>
      </c>
      <c r="I113" s="70">
        <f>IFERROR(I112/I111,"")</f>
        <v/>
      </c>
      <c r="J113" s="70">
        <f>IFERROR(J112/J111,"")</f>
        <v/>
      </c>
      <c r="K113" s="70">
        <f>IFERROR(K112/K111,"")</f>
        <v/>
      </c>
      <c r="L113" s="70">
        <f>IFERROR(L112/L111,"")</f>
        <v/>
      </c>
      <c r="M113" s="70">
        <f>IFERROR(M112/M111,"")</f>
        <v/>
      </c>
      <c r="N113" s="70">
        <f>IFERROR(N112/N111,"")</f>
        <v/>
      </c>
      <c r="O113" s="70">
        <f>IFERROR(O112/O111,"")</f>
        <v/>
      </c>
      <c r="P113" s="70">
        <f>IFERROR(P112/P111,"")</f>
        <v/>
      </c>
      <c r="Q113" s="70">
        <f>IFERROR(Q112/Q111,"")</f>
        <v/>
      </c>
      <c r="R113" s="70">
        <f>IFERROR(R112/R111,"")</f>
        <v/>
      </c>
      <c r="S113" s="70">
        <f>IFERROR(S112/S111,"")</f>
        <v/>
      </c>
      <c r="T113" s="70">
        <f>IFERROR(T112/T111,"")</f>
        <v/>
      </c>
      <c r="U113" s="70">
        <f>IFERROR(U112/U111,"")</f>
        <v/>
      </c>
      <c r="V113" s="70">
        <f>IFERROR(V112/V111,"")</f>
        <v/>
      </c>
      <c r="W113" s="70">
        <f>IFERROR(W112/W111,"")</f>
        <v/>
      </c>
      <c r="X113" s="70">
        <f>IFERROR(X112/X111,"")</f>
        <v/>
      </c>
      <c r="Y113" s="70">
        <f>IFERROR(Y112/Y111,"")</f>
        <v/>
      </c>
      <c r="Z113" s="70">
        <f>IFERROR(Z112/Z111,"")</f>
        <v/>
      </c>
      <c r="AA113" s="70">
        <f>IFERROR(AA112/AA111,"")</f>
        <v/>
      </c>
      <c r="AB113" s="70">
        <f>IFERROR(AB112/AB111,"")</f>
        <v/>
      </c>
      <c r="AC113" s="70">
        <f>IFERROR(AC112/AC111,"")</f>
        <v/>
      </c>
      <c r="AD113" s="70">
        <f>IFERROR(AD112/AD111,"")</f>
        <v/>
      </c>
      <c r="AE113" s="70">
        <f>IFERROR(AE112/AE111,"")</f>
        <v/>
      </c>
      <c r="AF113" s="70">
        <f>IFERROR(AF112/AF111,"")</f>
        <v/>
      </c>
      <c r="AG113" s="70">
        <f>IFERROR(AG112/AG111,"")</f>
        <v/>
      </c>
      <c r="AH113" s="70">
        <f>IFERROR(AH112/AH111,"")</f>
        <v/>
      </c>
      <c r="AI113" s="70">
        <f>IFERROR(AI112/AI111,"")</f>
        <v/>
      </c>
      <c r="AJ113" s="70">
        <f>IFERROR(AJ112/AJ111,"")</f>
        <v/>
      </c>
      <c r="AK113" s="70">
        <f>IFERROR(AK112/AK111,"")</f>
        <v/>
      </c>
      <c r="AL113" s="70">
        <f>IFERROR(AL112/AL111,"")</f>
        <v/>
      </c>
      <c r="AM113" s="70">
        <f>IFERROR(AM112/AM111,"")</f>
        <v/>
      </c>
      <c r="AN113" s="70">
        <f>IFERROR(AN112/AN111,"")</f>
        <v/>
      </c>
      <c r="AO113" s="70">
        <f>IFERROR(AO112/AO111,"")</f>
        <v/>
      </c>
      <c r="AP113" s="70">
        <f>IFERROR(AP112/AP111,"")</f>
        <v/>
      </c>
      <c r="AQ113" s="70">
        <f>IFERROR(AQ112/AQ111,"")</f>
        <v/>
      </c>
      <c r="AR113" s="70">
        <f>IFERROR(AR112/AR111,"")</f>
        <v/>
      </c>
      <c r="AS113" s="70">
        <f>IFERROR(AS112/AS111,"")</f>
        <v/>
      </c>
      <c r="AT113" s="70">
        <f>IFERROR(AT112/AT111,"")</f>
        <v/>
      </c>
      <c r="AU113" s="70">
        <f>IFERROR(AU112/AU111,"")</f>
        <v/>
      </c>
      <c r="AV113" s="70">
        <f>IFERROR(AV112/AV111,"")</f>
        <v/>
      </c>
      <c r="AW113" s="70">
        <f>IFERROR(AW112/AW111,"")</f>
        <v/>
      </c>
      <c r="AX113" s="70">
        <f>IFERROR(AX112/AX111,"")</f>
        <v/>
      </c>
      <c r="AY113" s="70">
        <f>IFERROR(AY112/AY111,"")</f>
        <v/>
      </c>
      <c r="AZ113" s="70">
        <f>IFERROR(AZ112/AZ111,"")</f>
        <v/>
      </c>
      <c r="BA113" s="70">
        <f>IFERROR(BA112/BA111,"")</f>
        <v/>
      </c>
      <c r="BB113" s="70">
        <f>IFERROR(BB112/BB111,"")</f>
        <v/>
      </c>
      <c r="BC113" s="70">
        <f>IFERROR(BC112/BC111,"")</f>
        <v/>
      </c>
      <c r="BD113" s="70">
        <f>IFERROR(BD112/BD111,"")</f>
        <v/>
      </c>
      <c r="BE113" s="70">
        <f>IFERROR(BE112/BE111,"")</f>
        <v/>
      </c>
      <c r="BF113" s="70">
        <f>IFERROR(BF112/BF111,"")</f>
        <v/>
      </c>
      <c r="BG113" s="70">
        <f>IFERROR(BG112/BG111,"")</f>
        <v/>
      </c>
      <c r="BH113" s="70">
        <f>IFERROR(BH112/BH111,"")</f>
        <v/>
      </c>
      <c r="BI113" s="70">
        <f>IFERROR(BI112/BI111,"")</f>
        <v/>
      </c>
      <c r="BJ113" s="70">
        <f>IFERROR(BJ112/BJ111,"")</f>
        <v/>
      </c>
      <c r="BK113" s="70">
        <f>IFERROR(BK112/BK111,"")</f>
        <v/>
      </c>
      <c r="BL113" s="70">
        <f>IFERROR(BL112/BL111,"")</f>
        <v/>
      </c>
      <c r="BM113" s="70">
        <f>IFERROR(BM112/BM111,"")</f>
        <v/>
      </c>
      <c r="BN113" s="70">
        <f>IFERROR(BN112/BN111,"")</f>
        <v/>
      </c>
      <c r="BO113" s="70">
        <f>IFERROR(BO112/BO111,"")</f>
        <v/>
      </c>
    </row>
    <row r="114">
      <c r="A114" s="66" t="n"/>
      <c r="B114" s="66" t="n"/>
      <c r="C114" s="63" t="inlineStr">
        <is>
          <t>K2</t>
        </is>
      </c>
      <c r="D114" s="11" t="inlineStr">
        <is>
          <t>Key account approach / Site check</t>
        </is>
      </c>
      <c r="E114" s="64" t="inlineStr">
        <is>
          <t>Roadshow</t>
        </is>
      </c>
      <c r="F114" s="75" t="inlineStr">
        <is>
          <t>Phasing</t>
        </is>
      </c>
      <c r="G114" s="56">
        <f>SUM(H114:BO114)</f>
        <v/>
      </c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  <c r="BF114" s="52" t="n"/>
      <c r="BG114" s="52" t="n"/>
      <c r="BH114" s="52" t="n"/>
      <c r="BI114" s="52" t="n"/>
      <c r="BJ114" s="52" t="n"/>
      <c r="BK114" s="52" t="n"/>
      <c r="BL114" s="52" t="n"/>
      <c r="BM114" s="52" t="n"/>
      <c r="BN114" s="52" t="n"/>
      <c r="BO114" s="52" t="n"/>
    </row>
    <row r="115">
      <c r="A115" s="66" t="n"/>
      <c r="B115" s="66" t="n"/>
      <c r="C115" s="66" t="n"/>
      <c r="D115" s="66" t="n"/>
      <c r="E115" s="66" t="n"/>
      <c r="F115" s="75" t="inlineStr">
        <is>
          <t>Actual</t>
        </is>
      </c>
      <c r="G115" s="56">
        <f>SUM(H115:BO115)</f>
        <v/>
      </c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  <c r="AL115" s="52" t="n"/>
      <c r="AM115" s="52" t="n"/>
      <c r="AN115" s="52" t="n"/>
      <c r="AO115" s="52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  <c r="BB115" s="52" t="n"/>
      <c r="BC115" s="52" t="n"/>
      <c r="BD115" s="52" t="n"/>
      <c r="BE115" s="52" t="n"/>
      <c r="BF115" s="52" t="n"/>
      <c r="BG115" s="52" t="n"/>
      <c r="BH115" s="52" t="n"/>
      <c r="BI115" s="52" t="n"/>
      <c r="BJ115" s="52" t="n"/>
      <c r="BK115" s="52" t="n"/>
      <c r="BL115" s="52" t="n"/>
      <c r="BM115" s="52" t="n"/>
      <c r="BN115" s="52" t="n"/>
      <c r="BO115" s="52" t="n"/>
    </row>
    <row r="116">
      <c r="A116" s="66" t="n"/>
      <c r="B116" s="66" t="n"/>
      <c r="C116" s="67" t="n"/>
      <c r="D116" s="67" t="n"/>
      <c r="E116" s="67" t="n"/>
      <c r="F116" s="68" t="inlineStr">
        <is>
          <t>% Achieved</t>
        </is>
      </c>
      <c r="G116" s="69">
        <f>IFERROR(G115/G114,"")</f>
        <v/>
      </c>
      <c r="H116" s="70">
        <f>IFERROR(H115/H114,"")</f>
        <v/>
      </c>
      <c r="I116" s="70">
        <f>IFERROR(I115/I114,"")</f>
        <v/>
      </c>
      <c r="J116" s="70">
        <f>IFERROR(J115/J114,"")</f>
        <v/>
      </c>
      <c r="K116" s="70">
        <f>IFERROR(K115/K114,"")</f>
        <v/>
      </c>
      <c r="L116" s="70">
        <f>IFERROR(L115/L114,"")</f>
        <v/>
      </c>
      <c r="M116" s="70">
        <f>IFERROR(M115/M114,"")</f>
        <v/>
      </c>
      <c r="N116" s="70">
        <f>IFERROR(N115/N114,"")</f>
        <v/>
      </c>
      <c r="O116" s="70">
        <f>IFERROR(O115/O114,"")</f>
        <v/>
      </c>
      <c r="P116" s="70">
        <f>IFERROR(P115/P114,"")</f>
        <v/>
      </c>
      <c r="Q116" s="70">
        <f>IFERROR(Q115/Q114,"")</f>
        <v/>
      </c>
      <c r="R116" s="70">
        <f>IFERROR(R115/R114,"")</f>
        <v/>
      </c>
      <c r="S116" s="70">
        <f>IFERROR(S115/S114,"")</f>
        <v/>
      </c>
      <c r="T116" s="70">
        <f>IFERROR(T115/T114,"")</f>
        <v/>
      </c>
      <c r="U116" s="70">
        <f>IFERROR(U115/U114,"")</f>
        <v/>
      </c>
      <c r="V116" s="70">
        <f>IFERROR(V115/V114,"")</f>
        <v/>
      </c>
      <c r="W116" s="70">
        <f>IFERROR(W115/W114,"")</f>
        <v/>
      </c>
      <c r="X116" s="70">
        <f>IFERROR(X115/X114,"")</f>
        <v/>
      </c>
      <c r="Y116" s="70">
        <f>IFERROR(Y115/Y114,"")</f>
        <v/>
      </c>
      <c r="Z116" s="70">
        <f>IFERROR(Z115/Z114,"")</f>
        <v/>
      </c>
      <c r="AA116" s="70">
        <f>IFERROR(AA115/AA114,"")</f>
        <v/>
      </c>
      <c r="AB116" s="70">
        <f>IFERROR(AB115/AB114,"")</f>
        <v/>
      </c>
      <c r="AC116" s="70">
        <f>IFERROR(AC115/AC114,"")</f>
        <v/>
      </c>
      <c r="AD116" s="70">
        <f>IFERROR(AD115/AD114,"")</f>
        <v/>
      </c>
      <c r="AE116" s="70">
        <f>IFERROR(AE115/AE114,"")</f>
        <v/>
      </c>
      <c r="AF116" s="70">
        <f>IFERROR(AF115/AF114,"")</f>
        <v/>
      </c>
      <c r="AG116" s="70">
        <f>IFERROR(AG115/AG114,"")</f>
        <v/>
      </c>
      <c r="AH116" s="70">
        <f>IFERROR(AH115/AH114,"")</f>
        <v/>
      </c>
      <c r="AI116" s="70">
        <f>IFERROR(AI115/AI114,"")</f>
        <v/>
      </c>
      <c r="AJ116" s="70">
        <f>IFERROR(AJ115/AJ114,"")</f>
        <v/>
      </c>
      <c r="AK116" s="70">
        <f>IFERROR(AK115/AK114,"")</f>
        <v/>
      </c>
      <c r="AL116" s="70">
        <f>IFERROR(AL115/AL114,"")</f>
        <v/>
      </c>
      <c r="AM116" s="70">
        <f>IFERROR(AM115/AM114,"")</f>
        <v/>
      </c>
      <c r="AN116" s="70">
        <f>IFERROR(AN115/AN114,"")</f>
        <v/>
      </c>
      <c r="AO116" s="70">
        <f>IFERROR(AO115/AO114,"")</f>
        <v/>
      </c>
      <c r="AP116" s="70">
        <f>IFERROR(AP115/AP114,"")</f>
        <v/>
      </c>
      <c r="AQ116" s="70">
        <f>IFERROR(AQ115/AQ114,"")</f>
        <v/>
      </c>
      <c r="AR116" s="70">
        <f>IFERROR(AR115/AR114,"")</f>
        <v/>
      </c>
      <c r="AS116" s="70">
        <f>IFERROR(AS115/AS114,"")</f>
        <v/>
      </c>
      <c r="AT116" s="70">
        <f>IFERROR(AT115/AT114,"")</f>
        <v/>
      </c>
      <c r="AU116" s="70">
        <f>IFERROR(AU115/AU114,"")</f>
        <v/>
      </c>
      <c r="AV116" s="70">
        <f>IFERROR(AV115/AV114,"")</f>
        <v/>
      </c>
      <c r="AW116" s="70">
        <f>IFERROR(AW115/AW114,"")</f>
        <v/>
      </c>
      <c r="AX116" s="70">
        <f>IFERROR(AX115/AX114,"")</f>
        <v/>
      </c>
      <c r="AY116" s="70">
        <f>IFERROR(AY115/AY114,"")</f>
        <v/>
      </c>
      <c r="AZ116" s="70">
        <f>IFERROR(AZ115/AZ114,"")</f>
        <v/>
      </c>
      <c r="BA116" s="70">
        <f>IFERROR(BA115/BA114,"")</f>
        <v/>
      </c>
      <c r="BB116" s="70">
        <f>IFERROR(BB115/BB114,"")</f>
        <v/>
      </c>
      <c r="BC116" s="70">
        <f>IFERROR(BC115/BC114,"")</f>
        <v/>
      </c>
      <c r="BD116" s="70">
        <f>IFERROR(BD115/BD114,"")</f>
        <v/>
      </c>
      <c r="BE116" s="70">
        <f>IFERROR(BE115/BE114,"")</f>
        <v/>
      </c>
      <c r="BF116" s="70">
        <f>IFERROR(BF115/BF114,"")</f>
        <v/>
      </c>
      <c r="BG116" s="70">
        <f>IFERROR(BG115/BG114,"")</f>
        <v/>
      </c>
      <c r="BH116" s="70">
        <f>IFERROR(BH115/BH114,"")</f>
        <v/>
      </c>
      <c r="BI116" s="70">
        <f>IFERROR(BI115/BI114,"")</f>
        <v/>
      </c>
      <c r="BJ116" s="70">
        <f>IFERROR(BJ115/BJ114,"")</f>
        <v/>
      </c>
      <c r="BK116" s="70">
        <f>IFERROR(BK115/BK114,"")</f>
        <v/>
      </c>
      <c r="BL116" s="70">
        <f>IFERROR(BL115/BL114,"")</f>
        <v/>
      </c>
      <c r="BM116" s="70">
        <f>IFERROR(BM115/BM114,"")</f>
        <v/>
      </c>
      <c r="BN116" s="70">
        <f>IFERROR(BN115/BN114,"")</f>
        <v/>
      </c>
      <c r="BO116" s="70">
        <f>IFERROR(BO115/BO114,"")</f>
        <v/>
      </c>
    </row>
    <row r="117">
      <c r="A117" s="66" t="n"/>
      <c r="B117" s="66" t="n"/>
      <c r="C117" s="71" t="inlineStr">
        <is>
          <t>K3</t>
        </is>
      </c>
      <c r="D117" s="37" t="inlineStr">
        <is>
          <t>Spec-in Value</t>
        </is>
      </c>
      <c r="E117" s="72" t="inlineStr">
        <is>
          <t>MVND</t>
        </is>
      </c>
      <c r="F117" s="75" t="inlineStr">
        <is>
          <t>Phasing</t>
        </is>
      </c>
      <c r="G117" s="56">
        <f>SUM(H117:BO117)</f>
        <v/>
      </c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  <c r="AL117" s="52" t="n"/>
      <c r="AM117" s="52" t="n"/>
      <c r="AN117" s="52" t="n"/>
      <c r="AO117" s="52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  <c r="BB117" s="52" t="n"/>
      <c r="BC117" s="52" t="n"/>
      <c r="BD117" s="52" t="n"/>
      <c r="BE117" s="52" t="n"/>
      <c r="BF117" s="52" t="n"/>
      <c r="BG117" s="52" t="n"/>
      <c r="BH117" s="52" t="n"/>
      <c r="BI117" s="52" t="n"/>
      <c r="BJ117" s="52" t="n"/>
      <c r="BK117" s="52" t="n"/>
      <c r="BL117" s="52" t="n"/>
      <c r="BM117" s="52" t="n"/>
      <c r="BN117" s="52" t="n"/>
      <c r="BO117" s="52" t="n"/>
    </row>
    <row r="118">
      <c r="A118" s="66" t="n"/>
      <c r="B118" s="66" t="n"/>
      <c r="C118" s="66" t="n"/>
      <c r="D118" s="66" t="n"/>
      <c r="E118" s="66" t="n"/>
      <c r="F118" s="75" t="inlineStr">
        <is>
          <t>Actual</t>
        </is>
      </c>
      <c r="G118" s="56">
        <f>SUM(H118:BO118)</f>
        <v/>
      </c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  <c r="AL118" s="52" t="n"/>
      <c r="AM118" s="52" t="n"/>
      <c r="AN118" s="52" t="n"/>
      <c r="AO118" s="52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  <c r="BB118" s="52" t="n"/>
      <c r="BC118" s="52" t="n"/>
      <c r="BD118" s="52" t="n"/>
      <c r="BE118" s="52" t="n"/>
      <c r="BF118" s="52" t="n"/>
      <c r="BG118" s="52" t="n"/>
      <c r="BH118" s="52" t="n"/>
      <c r="BI118" s="52" t="n"/>
      <c r="BJ118" s="52" t="n"/>
      <c r="BK118" s="52" t="n"/>
      <c r="BL118" s="52" t="n"/>
      <c r="BM118" s="52" t="n"/>
      <c r="BN118" s="52" t="n"/>
      <c r="BO118" s="52" t="n"/>
    </row>
    <row r="119">
      <c r="A119" s="66" t="n"/>
      <c r="B119" s="66" t="n"/>
      <c r="C119" s="67" t="n"/>
      <c r="D119" s="67" t="n"/>
      <c r="E119" s="67" t="n"/>
      <c r="F119" s="68" t="inlineStr">
        <is>
          <t>% Achieved</t>
        </is>
      </c>
      <c r="G119" s="69">
        <f>IFERROR(G118/G117,"")</f>
        <v/>
      </c>
      <c r="H119" s="70">
        <f>IFERROR(H118/H117,"")</f>
        <v/>
      </c>
      <c r="I119" s="70">
        <f>IFERROR(I118/I117,"")</f>
        <v/>
      </c>
      <c r="J119" s="70">
        <f>IFERROR(J118/J117,"")</f>
        <v/>
      </c>
      <c r="K119" s="70">
        <f>IFERROR(K118/K117,"")</f>
        <v/>
      </c>
      <c r="L119" s="70">
        <f>IFERROR(L118/L117,"")</f>
        <v/>
      </c>
      <c r="M119" s="70">
        <f>IFERROR(M118/M117,"")</f>
        <v/>
      </c>
      <c r="N119" s="70">
        <f>IFERROR(N118/N117,"")</f>
        <v/>
      </c>
      <c r="O119" s="70">
        <f>IFERROR(O118/O117,"")</f>
        <v/>
      </c>
      <c r="P119" s="70">
        <f>IFERROR(P118/P117,"")</f>
        <v/>
      </c>
      <c r="Q119" s="70">
        <f>IFERROR(Q118/Q117,"")</f>
        <v/>
      </c>
      <c r="R119" s="70">
        <f>IFERROR(R118/R117,"")</f>
        <v/>
      </c>
      <c r="S119" s="70">
        <f>IFERROR(S118/S117,"")</f>
        <v/>
      </c>
      <c r="T119" s="70">
        <f>IFERROR(T118/T117,"")</f>
        <v/>
      </c>
      <c r="U119" s="70">
        <f>IFERROR(U118/U117,"")</f>
        <v/>
      </c>
      <c r="V119" s="70">
        <f>IFERROR(V118/V117,"")</f>
        <v/>
      </c>
      <c r="W119" s="70">
        <f>IFERROR(W118/W117,"")</f>
        <v/>
      </c>
      <c r="X119" s="70">
        <f>IFERROR(X118/X117,"")</f>
        <v/>
      </c>
      <c r="Y119" s="70">
        <f>IFERROR(Y118/Y117,"")</f>
        <v/>
      </c>
      <c r="Z119" s="70">
        <f>IFERROR(Z118/Z117,"")</f>
        <v/>
      </c>
      <c r="AA119" s="70">
        <f>IFERROR(AA118/AA117,"")</f>
        <v/>
      </c>
      <c r="AB119" s="70">
        <f>IFERROR(AB118/AB117,"")</f>
        <v/>
      </c>
      <c r="AC119" s="70">
        <f>IFERROR(AC118/AC117,"")</f>
        <v/>
      </c>
      <c r="AD119" s="70">
        <f>IFERROR(AD118/AD117,"")</f>
        <v/>
      </c>
      <c r="AE119" s="70">
        <f>IFERROR(AE118/AE117,"")</f>
        <v/>
      </c>
      <c r="AF119" s="70">
        <f>IFERROR(AF118/AF117,"")</f>
        <v/>
      </c>
      <c r="AG119" s="70">
        <f>IFERROR(AG118/AG117,"")</f>
        <v/>
      </c>
      <c r="AH119" s="70">
        <f>IFERROR(AH118/AH117,"")</f>
        <v/>
      </c>
      <c r="AI119" s="70">
        <f>IFERROR(AI118/AI117,"")</f>
        <v/>
      </c>
      <c r="AJ119" s="70">
        <f>IFERROR(AJ118/AJ117,"")</f>
        <v/>
      </c>
      <c r="AK119" s="70">
        <f>IFERROR(AK118/AK117,"")</f>
        <v/>
      </c>
      <c r="AL119" s="70">
        <f>IFERROR(AL118/AL117,"")</f>
        <v/>
      </c>
      <c r="AM119" s="70">
        <f>IFERROR(AM118/AM117,"")</f>
        <v/>
      </c>
      <c r="AN119" s="70">
        <f>IFERROR(AN118/AN117,"")</f>
        <v/>
      </c>
      <c r="AO119" s="70">
        <f>IFERROR(AO118/AO117,"")</f>
        <v/>
      </c>
      <c r="AP119" s="70">
        <f>IFERROR(AP118/AP117,"")</f>
        <v/>
      </c>
      <c r="AQ119" s="70">
        <f>IFERROR(AQ118/AQ117,"")</f>
        <v/>
      </c>
      <c r="AR119" s="70">
        <f>IFERROR(AR118/AR117,"")</f>
        <v/>
      </c>
      <c r="AS119" s="70">
        <f>IFERROR(AS118/AS117,"")</f>
        <v/>
      </c>
      <c r="AT119" s="70">
        <f>IFERROR(AT118/AT117,"")</f>
        <v/>
      </c>
      <c r="AU119" s="70">
        <f>IFERROR(AU118/AU117,"")</f>
        <v/>
      </c>
      <c r="AV119" s="70">
        <f>IFERROR(AV118/AV117,"")</f>
        <v/>
      </c>
      <c r="AW119" s="70">
        <f>IFERROR(AW118/AW117,"")</f>
        <v/>
      </c>
      <c r="AX119" s="70">
        <f>IFERROR(AX118/AX117,"")</f>
        <v/>
      </c>
      <c r="AY119" s="70">
        <f>IFERROR(AY118/AY117,"")</f>
        <v/>
      </c>
      <c r="AZ119" s="70">
        <f>IFERROR(AZ118/AZ117,"")</f>
        <v/>
      </c>
      <c r="BA119" s="70">
        <f>IFERROR(BA118/BA117,"")</f>
        <v/>
      </c>
      <c r="BB119" s="70">
        <f>IFERROR(BB118/BB117,"")</f>
        <v/>
      </c>
      <c r="BC119" s="70">
        <f>IFERROR(BC118/BC117,"")</f>
        <v/>
      </c>
      <c r="BD119" s="70">
        <f>IFERROR(BD118/BD117,"")</f>
        <v/>
      </c>
      <c r="BE119" s="70">
        <f>IFERROR(BE118/BE117,"")</f>
        <v/>
      </c>
      <c r="BF119" s="70">
        <f>IFERROR(BF118/BF117,"")</f>
        <v/>
      </c>
      <c r="BG119" s="70">
        <f>IFERROR(BG118/BG117,"")</f>
        <v/>
      </c>
      <c r="BH119" s="70">
        <f>IFERROR(BH118/BH117,"")</f>
        <v/>
      </c>
      <c r="BI119" s="70">
        <f>IFERROR(BI118/BI117,"")</f>
        <v/>
      </c>
      <c r="BJ119" s="70">
        <f>IFERROR(BJ118/BJ117,"")</f>
        <v/>
      </c>
      <c r="BK119" s="70">
        <f>IFERROR(BK118/BK117,"")</f>
        <v/>
      </c>
      <c r="BL119" s="70">
        <f>IFERROR(BL118/BL117,"")</f>
        <v/>
      </c>
      <c r="BM119" s="70">
        <f>IFERROR(BM118/BM117,"")</f>
        <v/>
      </c>
      <c r="BN119" s="70">
        <f>IFERROR(BN118/BN117,"")</f>
        <v/>
      </c>
      <c r="BO119" s="70">
        <f>IFERROR(BO118/BO117,"")</f>
        <v/>
      </c>
    </row>
    <row r="120">
      <c r="A120" s="66" t="n"/>
      <c r="B120" s="66" t="n"/>
      <c r="C120" s="71" t="inlineStr">
        <is>
          <t>K4</t>
        </is>
      </c>
      <c r="D120" s="37" t="inlineStr">
        <is>
          <t>Engaged Architect (Submit Design)</t>
        </is>
      </c>
      <c r="E120" s="72" t="inlineStr">
        <is>
          <t>D&amp;B</t>
        </is>
      </c>
      <c r="F120" s="75" t="inlineStr">
        <is>
          <t>Phasing</t>
        </is>
      </c>
      <c r="G120" s="56">
        <f>SUM(H120:BO120)</f>
        <v/>
      </c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  <c r="BF120" s="52" t="n"/>
      <c r="BG120" s="52" t="n"/>
      <c r="BH120" s="52" t="n"/>
      <c r="BI120" s="52" t="n"/>
      <c r="BJ120" s="52" t="n"/>
      <c r="BK120" s="52" t="n"/>
      <c r="BL120" s="52" t="n"/>
      <c r="BM120" s="52" t="n"/>
      <c r="BN120" s="52" t="n"/>
      <c r="BO120" s="52" t="n"/>
    </row>
    <row r="121">
      <c r="A121" s="66" t="n"/>
      <c r="B121" s="66" t="n"/>
      <c r="C121" s="66" t="n"/>
      <c r="D121" s="66" t="n"/>
      <c r="E121" s="66" t="n"/>
      <c r="F121" s="75" t="inlineStr">
        <is>
          <t>Actual</t>
        </is>
      </c>
      <c r="G121" s="56">
        <f>SUM(H121:BO121)</f>
        <v/>
      </c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  <c r="AL121" s="52" t="n"/>
      <c r="AM121" s="52" t="n"/>
      <c r="AN121" s="52" t="n"/>
      <c r="AO121" s="52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  <c r="BB121" s="52" t="n"/>
      <c r="BC121" s="52" t="n"/>
      <c r="BD121" s="52" t="n"/>
      <c r="BE121" s="52" t="n"/>
      <c r="BF121" s="52" t="n"/>
      <c r="BG121" s="52" t="n"/>
      <c r="BH121" s="52" t="n"/>
      <c r="BI121" s="52" t="n"/>
      <c r="BJ121" s="52" t="n"/>
      <c r="BK121" s="52" t="n"/>
      <c r="BL121" s="52" t="n"/>
      <c r="BM121" s="52" t="n"/>
      <c r="BN121" s="52" t="n"/>
      <c r="BO121" s="52" t="n"/>
    </row>
    <row r="122">
      <c r="A122" s="66" t="n"/>
      <c r="B122" s="66" t="n"/>
      <c r="C122" s="67" t="n"/>
      <c r="D122" s="67" t="n"/>
      <c r="E122" s="67" t="n"/>
      <c r="F122" s="68" t="inlineStr">
        <is>
          <t>% Achieved</t>
        </is>
      </c>
      <c r="G122" s="69">
        <f>IFERROR(G121/G120,"")</f>
        <v/>
      </c>
      <c r="H122" s="70">
        <f>IFERROR(H121/H120,"")</f>
        <v/>
      </c>
      <c r="I122" s="70">
        <f>IFERROR(I121/I120,"")</f>
        <v/>
      </c>
      <c r="J122" s="70">
        <f>IFERROR(J121/J120,"")</f>
        <v/>
      </c>
      <c r="K122" s="70">
        <f>IFERROR(K121/K120,"")</f>
        <v/>
      </c>
      <c r="L122" s="70">
        <f>IFERROR(L121/L120,"")</f>
        <v/>
      </c>
      <c r="M122" s="70">
        <f>IFERROR(M121/M120,"")</f>
        <v/>
      </c>
      <c r="N122" s="70">
        <f>IFERROR(N121/N120,"")</f>
        <v/>
      </c>
      <c r="O122" s="70">
        <f>IFERROR(O121/O120,"")</f>
        <v/>
      </c>
      <c r="P122" s="70">
        <f>IFERROR(P121/P120,"")</f>
        <v/>
      </c>
      <c r="Q122" s="70">
        <f>IFERROR(Q121/Q120,"")</f>
        <v/>
      </c>
      <c r="R122" s="70">
        <f>IFERROR(R121/R120,"")</f>
        <v/>
      </c>
      <c r="S122" s="70">
        <f>IFERROR(S121/S120,"")</f>
        <v/>
      </c>
      <c r="T122" s="70">
        <f>IFERROR(T121/T120,"")</f>
        <v/>
      </c>
      <c r="U122" s="70">
        <f>IFERROR(U121/U120,"")</f>
        <v/>
      </c>
      <c r="V122" s="70">
        <f>IFERROR(V121/V120,"")</f>
        <v/>
      </c>
      <c r="W122" s="70">
        <f>IFERROR(W121/W120,"")</f>
        <v/>
      </c>
      <c r="X122" s="70">
        <f>IFERROR(X121/X120,"")</f>
        <v/>
      </c>
      <c r="Y122" s="70">
        <f>IFERROR(Y121/Y120,"")</f>
        <v/>
      </c>
      <c r="Z122" s="70">
        <f>IFERROR(Z121/Z120,"")</f>
        <v/>
      </c>
      <c r="AA122" s="70">
        <f>IFERROR(AA121/AA120,"")</f>
        <v/>
      </c>
      <c r="AB122" s="70">
        <f>IFERROR(AB121/AB120,"")</f>
        <v/>
      </c>
      <c r="AC122" s="70">
        <f>IFERROR(AC121/AC120,"")</f>
        <v/>
      </c>
      <c r="AD122" s="70">
        <f>IFERROR(AD121/AD120,"")</f>
        <v/>
      </c>
      <c r="AE122" s="70">
        <f>IFERROR(AE121/AE120,"")</f>
        <v/>
      </c>
      <c r="AF122" s="70">
        <f>IFERROR(AF121/AF120,"")</f>
        <v/>
      </c>
      <c r="AG122" s="70">
        <f>IFERROR(AG121/AG120,"")</f>
        <v/>
      </c>
      <c r="AH122" s="70">
        <f>IFERROR(AH121/AH120,"")</f>
        <v/>
      </c>
      <c r="AI122" s="70">
        <f>IFERROR(AI121/AI120,"")</f>
        <v/>
      </c>
      <c r="AJ122" s="70">
        <f>IFERROR(AJ121/AJ120,"")</f>
        <v/>
      </c>
      <c r="AK122" s="70">
        <f>IFERROR(AK121/AK120,"")</f>
        <v/>
      </c>
      <c r="AL122" s="70">
        <f>IFERROR(AL121/AL120,"")</f>
        <v/>
      </c>
      <c r="AM122" s="70">
        <f>IFERROR(AM121/AM120,"")</f>
        <v/>
      </c>
      <c r="AN122" s="70">
        <f>IFERROR(AN121/AN120,"")</f>
        <v/>
      </c>
      <c r="AO122" s="70">
        <f>IFERROR(AO121/AO120,"")</f>
        <v/>
      </c>
      <c r="AP122" s="70">
        <f>IFERROR(AP121/AP120,"")</f>
        <v/>
      </c>
      <c r="AQ122" s="70">
        <f>IFERROR(AQ121/AQ120,"")</f>
        <v/>
      </c>
      <c r="AR122" s="70">
        <f>IFERROR(AR121/AR120,"")</f>
        <v/>
      </c>
      <c r="AS122" s="70">
        <f>IFERROR(AS121/AS120,"")</f>
        <v/>
      </c>
      <c r="AT122" s="70">
        <f>IFERROR(AT121/AT120,"")</f>
        <v/>
      </c>
      <c r="AU122" s="70">
        <f>IFERROR(AU121/AU120,"")</f>
        <v/>
      </c>
      <c r="AV122" s="70">
        <f>IFERROR(AV121/AV120,"")</f>
        <v/>
      </c>
      <c r="AW122" s="70">
        <f>IFERROR(AW121/AW120,"")</f>
        <v/>
      </c>
      <c r="AX122" s="70">
        <f>IFERROR(AX121/AX120,"")</f>
        <v/>
      </c>
      <c r="AY122" s="70">
        <f>IFERROR(AY121/AY120,"")</f>
        <v/>
      </c>
      <c r="AZ122" s="70">
        <f>IFERROR(AZ121/AZ120,"")</f>
        <v/>
      </c>
      <c r="BA122" s="70">
        <f>IFERROR(BA121/BA120,"")</f>
        <v/>
      </c>
      <c r="BB122" s="70">
        <f>IFERROR(BB121/BB120,"")</f>
        <v/>
      </c>
      <c r="BC122" s="70">
        <f>IFERROR(BC121/BC120,"")</f>
        <v/>
      </c>
      <c r="BD122" s="70">
        <f>IFERROR(BD121/BD120,"")</f>
        <v/>
      </c>
      <c r="BE122" s="70">
        <f>IFERROR(BE121/BE120,"")</f>
        <v/>
      </c>
      <c r="BF122" s="70">
        <f>IFERROR(BF121/BF120,"")</f>
        <v/>
      </c>
      <c r="BG122" s="70">
        <f>IFERROR(BG121/BG120,"")</f>
        <v/>
      </c>
      <c r="BH122" s="70">
        <f>IFERROR(BH121/BH120,"")</f>
        <v/>
      </c>
      <c r="BI122" s="70">
        <f>IFERROR(BI121/BI120,"")</f>
        <v/>
      </c>
      <c r="BJ122" s="70">
        <f>IFERROR(BJ121/BJ120,"")</f>
        <v/>
      </c>
      <c r="BK122" s="70">
        <f>IFERROR(BK121/BK120,"")</f>
        <v/>
      </c>
      <c r="BL122" s="70">
        <f>IFERROR(BL121/BL120,"")</f>
        <v/>
      </c>
      <c r="BM122" s="70">
        <f>IFERROR(BM121/BM120,"")</f>
        <v/>
      </c>
      <c r="BN122" s="70">
        <f>IFERROR(BN121/BN120,"")</f>
        <v/>
      </c>
      <c r="BO122" s="70">
        <f>IFERROR(BO121/BO120,"")</f>
        <v/>
      </c>
    </row>
    <row r="123">
      <c r="A123" s="66" t="n"/>
      <c r="B123" s="66" t="n"/>
      <c r="C123" s="73" t="inlineStr">
        <is>
          <t>K5</t>
        </is>
      </c>
      <c r="D123" s="41" t="inlineStr">
        <is>
          <t>Spec-in Design (submitted design)</t>
        </is>
      </c>
      <c r="E123" s="74" t="inlineStr">
        <is>
          <t>Designs</t>
        </is>
      </c>
      <c r="F123" s="75" t="inlineStr">
        <is>
          <t>Phasing</t>
        </is>
      </c>
      <c r="G123" s="56">
        <f>SUM(H123:BO123)</f>
        <v/>
      </c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  <c r="AL123" s="52" t="n"/>
      <c r="AM123" s="52" t="n"/>
      <c r="AN123" s="52" t="n"/>
      <c r="AO123" s="52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  <c r="BB123" s="52" t="n"/>
      <c r="BC123" s="52" t="n"/>
      <c r="BD123" s="52" t="n"/>
      <c r="BE123" s="52" t="n"/>
      <c r="BF123" s="52" t="n"/>
      <c r="BG123" s="52" t="n"/>
      <c r="BH123" s="52" t="n"/>
      <c r="BI123" s="52" t="n"/>
      <c r="BJ123" s="52" t="n"/>
      <c r="BK123" s="52" t="n"/>
      <c r="BL123" s="52" t="n"/>
      <c r="BM123" s="52" t="n"/>
      <c r="BN123" s="52" t="n"/>
      <c r="BO123" s="52" t="n"/>
    </row>
    <row r="124">
      <c r="A124" s="66" t="n"/>
      <c r="B124" s="66" t="n"/>
      <c r="C124" s="66" t="n"/>
      <c r="D124" s="66" t="n"/>
      <c r="E124" s="66" t="n"/>
      <c r="F124" s="75" t="inlineStr">
        <is>
          <t>Actual</t>
        </is>
      </c>
      <c r="G124" s="56">
        <f>SUM(H124:BO124)</f>
        <v/>
      </c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  <c r="BF124" s="52" t="n"/>
      <c r="BG124" s="52" t="n"/>
      <c r="BH124" s="52" t="n"/>
      <c r="BI124" s="52" t="n"/>
      <c r="BJ124" s="52" t="n"/>
      <c r="BK124" s="52" t="n"/>
      <c r="BL124" s="52" t="n"/>
      <c r="BM124" s="52" t="n"/>
      <c r="BN124" s="52" t="n"/>
      <c r="BO124" s="52" t="n"/>
    </row>
    <row r="125">
      <c r="A125" s="67" t="n"/>
      <c r="B125" s="67" t="n"/>
      <c r="C125" s="67" t="n"/>
      <c r="D125" s="67" t="n"/>
      <c r="E125" s="67" t="n"/>
      <c r="F125" s="68" t="inlineStr">
        <is>
          <t>% Achieved</t>
        </is>
      </c>
      <c r="G125" s="69">
        <f>IFERROR(G124/G123,"")</f>
        <v/>
      </c>
      <c r="H125" s="70">
        <f>IFERROR(H124/H123,"")</f>
        <v/>
      </c>
      <c r="I125" s="70">
        <f>IFERROR(I124/I123,"")</f>
        <v/>
      </c>
      <c r="J125" s="70">
        <f>IFERROR(J124/J123,"")</f>
        <v/>
      </c>
      <c r="K125" s="70">
        <f>IFERROR(K124/K123,"")</f>
        <v/>
      </c>
      <c r="L125" s="70">
        <f>IFERROR(L124/L123,"")</f>
        <v/>
      </c>
      <c r="M125" s="70">
        <f>IFERROR(M124/M123,"")</f>
        <v/>
      </c>
      <c r="N125" s="70">
        <f>IFERROR(N124/N123,"")</f>
        <v/>
      </c>
      <c r="O125" s="70">
        <f>IFERROR(O124/O123,"")</f>
        <v/>
      </c>
      <c r="P125" s="70">
        <f>IFERROR(P124/P123,"")</f>
        <v/>
      </c>
      <c r="Q125" s="70">
        <f>IFERROR(Q124/Q123,"")</f>
        <v/>
      </c>
      <c r="R125" s="70">
        <f>IFERROR(R124/R123,"")</f>
        <v/>
      </c>
      <c r="S125" s="70">
        <f>IFERROR(S124/S123,"")</f>
        <v/>
      </c>
      <c r="T125" s="70">
        <f>IFERROR(T124/T123,"")</f>
        <v/>
      </c>
      <c r="U125" s="70">
        <f>IFERROR(U124/U123,"")</f>
        <v/>
      </c>
      <c r="V125" s="70">
        <f>IFERROR(V124/V123,"")</f>
        <v/>
      </c>
      <c r="W125" s="70">
        <f>IFERROR(W124/W123,"")</f>
        <v/>
      </c>
      <c r="X125" s="70">
        <f>IFERROR(X124/X123,"")</f>
        <v/>
      </c>
      <c r="Y125" s="70">
        <f>IFERROR(Y124/Y123,"")</f>
        <v/>
      </c>
      <c r="Z125" s="70">
        <f>IFERROR(Z124/Z123,"")</f>
        <v/>
      </c>
      <c r="AA125" s="70">
        <f>IFERROR(AA124/AA123,"")</f>
        <v/>
      </c>
      <c r="AB125" s="70">
        <f>IFERROR(AB124/AB123,"")</f>
        <v/>
      </c>
      <c r="AC125" s="70">
        <f>IFERROR(AC124/AC123,"")</f>
        <v/>
      </c>
      <c r="AD125" s="70">
        <f>IFERROR(AD124/AD123,"")</f>
        <v/>
      </c>
      <c r="AE125" s="70">
        <f>IFERROR(AE124/AE123,"")</f>
        <v/>
      </c>
      <c r="AF125" s="70">
        <f>IFERROR(AF124/AF123,"")</f>
        <v/>
      </c>
      <c r="AG125" s="70">
        <f>IFERROR(AG124/AG123,"")</f>
        <v/>
      </c>
      <c r="AH125" s="70">
        <f>IFERROR(AH124/AH123,"")</f>
        <v/>
      </c>
      <c r="AI125" s="70">
        <f>IFERROR(AI124/AI123,"")</f>
        <v/>
      </c>
      <c r="AJ125" s="70">
        <f>IFERROR(AJ124/AJ123,"")</f>
        <v/>
      </c>
      <c r="AK125" s="70">
        <f>IFERROR(AK124/AK123,"")</f>
        <v/>
      </c>
      <c r="AL125" s="70">
        <f>IFERROR(AL124/AL123,"")</f>
        <v/>
      </c>
      <c r="AM125" s="70">
        <f>IFERROR(AM124/AM123,"")</f>
        <v/>
      </c>
      <c r="AN125" s="70">
        <f>IFERROR(AN124/AN123,"")</f>
        <v/>
      </c>
      <c r="AO125" s="70">
        <f>IFERROR(AO124/AO123,"")</f>
        <v/>
      </c>
      <c r="AP125" s="70">
        <f>IFERROR(AP124/AP123,"")</f>
        <v/>
      </c>
      <c r="AQ125" s="70">
        <f>IFERROR(AQ124/AQ123,"")</f>
        <v/>
      </c>
      <c r="AR125" s="70">
        <f>IFERROR(AR124/AR123,"")</f>
        <v/>
      </c>
      <c r="AS125" s="70">
        <f>IFERROR(AS124/AS123,"")</f>
        <v/>
      </c>
      <c r="AT125" s="70">
        <f>IFERROR(AT124/AT123,"")</f>
        <v/>
      </c>
      <c r="AU125" s="70">
        <f>IFERROR(AU124/AU123,"")</f>
        <v/>
      </c>
      <c r="AV125" s="70">
        <f>IFERROR(AV124/AV123,"")</f>
        <v/>
      </c>
      <c r="AW125" s="70">
        <f>IFERROR(AW124/AW123,"")</f>
        <v/>
      </c>
      <c r="AX125" s="70">
        <f>IFERROR(AX124/AX123,"")</f>
        <v/>
      </c>
      <c r="AY125" s="70">
        <f>IFERROR(AY124/AY123,"")</f>
        <v/>
      </c>
      <c r="AZ125" s="70">
        <f>IFERROR(AZ124/AZ123,"")</f>
        <v/>
      </c>
      <c r="BA125" s="70">
        <f>IFERROR(BA124/BA123,"")</f>
        <v/>
      </c>
      <c r="BB125" s="70">
        <f>IFERROR(BB124/BB123,"")</f>
        <v/>
      </c>
      <c r="BC125" s="70">
        <f>IFERROR(BC124/BC123,"")</f>
        <v/>
      </c>
      <c r="BD125" s="70">
        <f>IFERROR(BD124/BD123,"")</f>
        <v/>
      </c>
      <c r="BE125" s="70">
        <f>IFERROR(BE124/BE123,"")</f>
        <v/>
      </c>
      <c r="BF125" s="70">
        <f>IFERROR(BF124/BF123,"")</f>
        <v/>
      </c>
      <c r="BG125" s="70">
        <f>IFERROR(BG124/BG123,"")</f>
        <v/>
      </c>
      <c r="BH125" s="70">
        <f>IFERROR(BH124/BH123,"")</f>
        <v/>
      </c>
      <c r="BI125" s="70">
        <f>IFERROR(BI124/BI123,"")</f>
        <v/>
      </c>
      <c r="BJ125" s="70">
        <f>IFERROR(BJ124/BJ123,"")</f>
        <v/>
      </c>
      <c r="BK125" s="70">
        <f>IFERROR(BK124/BK123,"")</f>
        <v/>
      </c>
      <c r="BL125" s="70">
        <f>IFERROR(BL124/BL123,"")</f>
        <v/>
      </c>
      <c r="BM125" s="70">
        <f>IFERROR(BM124/BM123,"")</f>
        <v/>
      </c>
      <c r="BN125" s="70">
        <f>IFERROR(BN124/BN123,"")</f>
        <v/>
      </c>
      <c r="BO125" s="70">
        <f>IFERROR(BO124/BO123,"")</f>
        <v/>
      </c>
    </row>
    <row r="126">
      <c r="A126" s="61">
        <f>IFERROR(INDEX(Team_Master!$C$6:$C$20,9),"")</f>
        <v/>
      </c>
      <c r="B126" s="62">
        <f>IFERROR(INDEX(Team_Master!$G$6:$G$20,9),"")</f>
        <v/>
      </c>
      <c r="C126" s="63" t="inlineStr">
        <is>
          <t>K1</t>
        </is>
      </c>
      <c r="D126" s="11" t="inlineStr">
        <is>
          <t>Invoiced Value</t>
        </is>
      </c>
      <c r="E126" s="64" t="inlineStr">
        <is>
          <t>MVND</t>
        </is>
      </c>
      <c r="F126" s="65" t="inlineStr">
        <is>
          <t>Phasing</t>
        </is>
      </c>
      <c r="G126" s="56">
        <f>SUM(H126:BO126)</f>
        <v/>
      </c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  <c r="AL126" s="52" t="n"/>
      <c r="AM126" s="52" t="n"/>
      <c r="AN126" s="52" t="n"/>
      <c r="AO126" s="52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  <c r="BB126" s="52" t="n"/>
      <c r="BC126" s="52" t="n"/>
      <c r="BD126" s="52" t="n"/>
      <c r="BE126" s="52" t="n"/>
      <c r="BF126" s="52" t="n"/>
      <c r="BG126" s="52" t="n"/>
      <c r="BH126" s="52" t="n"/>
      <c r="BI126" s="52" t="n"/>
      <c r="BJ126" s="52" t="n"/>
      <c r="BK126" s="52" t="n"/>
      <c r="BL126" s="52" t="n"/>
      <c r="BM126" s="52" t="n"/>
      <c r="BN126" s="52" t="n"/>
      <c r="BO126" s="52" t="n"/>
    </row>
    <row r="127">
      <c r="A127" s="66" t="n"/>
      <c r="B127" s="66" t="n"/>
      <c r="C127" s="66" t="n"/>
      <c r="D127" s="66" t="n"/>
      <c r="E127" s="66" t="n"/>
      <c r="F127" s="65" t="inlineStr">
        <is>
          <t>Actual</t>
        </is>
      </c>
      <c r="G127" s="56">
        <f>SUM(H127:BO127)</f>
        <v/>
      </c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  <c r="AL127" s="52" t="n"/>
      <c r="AM127" s="52" t="n"/>
      <c r="AN127" s="52" t="n"/>
      <c r="AO127" s="52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  <c r="BB127" s="52" t="n"/>
      <c r="BC127" s="52" t="n"/>
      <c r="BD127" s="52" t="n"/>
      <c r="BE127" s="52" t="n"/>
      <c r="BF127" s="52" t="n"/>
      <c r="BG127" s="52" t="n"/>
      <c r="BH127" s="52" t="n"/>
      <c r="BI127" s="52" t="n"/>
      <c r="BJ127" s="52" t="n"/>
      <c r="BK127" s="52" t="n"/>
      <c r="BL127" s="52" t="n"/>
      <c r="BM127" s="52" t="n"/>
      <c r="BN127" s="52" t="n"/>
      <c r="BO127" s="52" t="n"/>
    </row>
    <row r="128">
      <c r="A128" s="66" t="n"/>
      <c r="B128" s="66" t="n"/>
      <c r="C128" s="67" t="n"/>
      <c r="D128" s="67" t="n"/>
      <c r="E128" s="67" t="n"/>
      <c r="F128" s="68" t="inlineStr">
        <is>
          <t>% Achieved</t>
        </is>
      </c>
      <c r="G128" s="69">
        <f>IFERROR(G127/G126,"")</f>
        <v/>
      </c>
      <c r="H128" s="70">
        <f>IFERROR(H127/H126,"")</f>
        <v/>
      </c>
      <c r="I128" s="70">
        <f>IFERROR(I127/I126,"")</f>
        <v/>
      </c>
      <c r="J128" s="70">
        <f>IFERROR(J127/J126,"")</f>
        <v/>
      </c>
      <c r="K128" s="70">
        <f>IFERROR(K127/K126,"")</f>
        <v/>
      </c>
      <c r="L128" s="70">
        <f>IFERROR(L127/L126,"")</f>
        <v/>
      </c>
      <c r="M128" s="70">
        <f>IFERROR(M127/M126,"")</f>
        <v/>
      </c>
      <c r="N128" s="70">
        <f>IFERROR(N127/N126,"")</f>
        <v/>
      </c>
      <c r="O128" s="70">
        <f>IFERROR(O127/O126,"")</f>
        <v/>
      </c>
      <c r="P128" s="70">
        <f>IFERROR(P127/P126,"")</f>
        <v/>
      </c>
      <c r="Q128" s="70">
        <f>IFERROR(Q127/Q126,"")</f>
        <v/>
      </c>
      <c r="R128" s="70">
        <f>IFERROR(R127/R126,"")</f>
        <v/>
      </c>
      <c r="S128" s="70">
        <f>IFERROR(S127/S126,"")</f>
        <v/>
      </c>
      <c r="T128" s="70">
        <f>IFERROR(T127/T126,"")</f>
        <v/>
      </c>
      <c r="U128" s="70">
        <f>IFERROR(U127/U126,"")</f>
        <v/>
      </c>
      <c r="V128" s="70">
        <f>IFERROR(V127/V126,"")</f>
        <v/>
      </c>
      <c r="W128" s="70">
        <f>IFERROR(W127/W126,"")</f>
        <v/>
      </c>
      <c r="X128" s="70">
        <f>IFERROR(X127/X126,"")</f>
        <v/>
      </c>
      <c r="Y128" s="70">
        <f>IFERROR(Y127/Y126,"")</f>
        <v/>
      </c>
      <c r="Z128" s="70">
        <f>IFERROR(Z127/Z126,"")</f>
        <v/>
      </c>
      <c r="AA128" s="70">
        <f>IFERROR(AA127/AA126,"")</f>
        <v/>
      </c>
      <c r="AB128" s="70">
        <f>IFERROR(AB127/AB126,"")</f>
        <v/>
      </c>
      <c r="AC128" s="70">
        <f>IFERROR(AC127/AC126,"")</f>
        <v/>
      </c>
      <c r="AD128" s="70">
        <f>IFERROR(AD127/AD126,"")</f>
        <v/>
      </c>
      <c r="AE128" s="70">
        <f>IFERROR(AE127/AE126,"")</f>
        <v/>
      </c>
      <c r="AF128" s="70">
        <f>IFERROR(AF127/AF126,"")</f>
        <v/>
      </c>
      <c r="AG128" s="70">
        <f>IFERROR(AG127/AG126,"")</f>
        <v/>
      </c>
      <c r="AH128" s="70">
        <f>IFERROR(AH127/AH126,"")</f>
        <v/>
      </c>
      <c r="AI128" s="70">
        <f>IFERROR(AI127/AI126,"")</f>
        <v/>
      </c>
      <c r="AJ128" s="70">
        <f>IFERROR(AJ127/AJ126,"")</f>
        <v/>
      </c>
      <c r="AK128" s="70">
        <f>IFERROR(AK127/AK126,"")</f>
        <v/>
      </c>
      <c r="AL128" s="70">
        <f>IFERROR(AL127/AL126,"")</f>
        <v/>
      </c>
      <c r="AM128" s="70">
        <f>IFERROR(AM127/AM126,"")</f>
        <v/>
      </c>
      <c r="AN128" s="70">
        <f>IFERROR(AN127/AN126,"")</f>
        <v/>
      </c>
      <c r="AO128" s="70">
        <f>IFERROR(AO127/AO126,"")</f>
        <v/>
      </c>
      <c r="AP128" s="70">
        <f>IFERROR(AP127/AP126,"")</f>
        <v/>
      </c>
      <c r="AQ128" s="70">
        <f>IFERROR(AQ127/AQ126,"")</f>
        <v/>
      </c>
      <c r="AR128" s="70">
        <f>IFERROR(AR127/AR126,"")</f>
        <v/>
      </c>
      <c r="AS128" s="70">
        <f>IFERROR(AS127/AS126,"")</f>
        <v/>
      </c>
      <c r="AT128" s="70">
        <f>IFERROR(AT127/AT126,"")</f>
        <v/>
      </c>
      <c r="AU128" s="70">
        <f>IFERROR(AU127/AU126,"")</f>
        <v/>
      </c>
      <c r="AV128" s="70">
        <f>IFERROR(AV127/AV126,"")</f>
        <v/>
      </c>
      <c r="AW128" s="70">
        <f>IFERROR(AW127/AW126,"")</f>
        <v/>
      </c>
      <c r="AX128" s="70">
        <f>IFERROR(AX127/AX126,"")</f>
        <v/>
      </c>
      <c r="AY128" s="70">
        <f>IFERROR(AY127/AY126,"")</f>
        <v/>
      </c>
      <c r="AZ128" s="70">
        <f>IFERROR(AZ127/AZ126,"")</f>
        <v/>
      </c>
      <c r="BA128" s="70">
        <f>IFERROR(BA127/BA126,"")</f>
        <v/>
      </c>
      <c r="BB128" s="70">
        <f>IFERROR(BB127/BB126,"")</f>
        <v/>
      </c>
      <c r="BC128" s="70">
        <f>IFERROR(BC127/BC126,"")</f>
        <v/>
      </c>
      <c r="BD128" s="70">
        <f>IFERROR(BD127/BD126,"")</f>
        <v/>
      </c>
      <c r="BE128" s="70">
        <f>IFERROR(BE127/BE126,"")</f>
        <v/>
      </c>
      <c r="BF128" s="70">
        <f>IFERROR(BF127/BF126,"")</f>
        <v/>
      </c>
      <c r="BG128" s="70">
        <f>IFERROR(BG127/BG126,"")</f>
        <v/>
      </c>
      <c r="BH128" s="70">
        <f>IFERROR(BH127/BH126,"")</f>
        <v/>
      </c>
      <c r="BI128" s="70">
        <f>IFERROR(BI127/BI126,"")</f>
        <v/>
      </c>
      <c r="BJ128" s="70">
        <f>IFERROR(BJ127/BJ126,"")</f>
        <v/>
      </c>
      <c r="BK128" s="70">
        <f>IFERROR(BK127/BK126,"")</f>
        <v/>
      </c>
      <c r="BL128" s="70">
        <f>IFERROR(BL127/BL126,"")</f>
        <v/>
      </c>
      <c r="BM128" s="70">
        <f>IFERROR(BM127/BM126,"")</f>
        <v/>
      </c>
      <c r="BN128" s="70">
        <f>IFERROR(BN127/BN126,"")</f>
        <v/>
      </c>
      <c r="BO128" s="70">
        <f>IFERROR(BO127/BO126,"")</f>
        <v/>
      </c>
    </row>
    <row r="129">
      <c r="A129" s="66" t="n"/>
      <c r="B129" s="66" t="n"/>
      <c r="C129" s="63" t="inlineStr">
        <is>
          <t>K2</t>
        </is>
      </c>
      <c r="D129" s="11" t="inlineStr">
        <is>
          <t>Key account approach / Site check</t>
        </is>
      </c>
      <c r="E129" s="64" t="inlineStr">
        <is>
          <t>Roadshow</t>
        </is>
      </c>
      <c r="F129" s="65" t="inlineStr">
        <is>
          <t>Phasing</t>
        </is>
      </c>
      <c r="G129" s="56">
        <f>SUM(H129:BO129)</f>
        <v/>
      </c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  <c r="BF129" s="52" t="n"/>
      <c r="BG129" s="52" t="n"/>
      <c r="BH129" s="52" t="n"/>
      <c r="BI129" s="52" t="n"/>
      <c r="BJ129" s="52" t="n"/>
      <c r="BK129" s="52" t="n"/>
      <c r="BL129" s="52" t="n"/>
      <c r="BM129" s="52" t="n"/>
      <c r="BN129" s="52" t="n"/>
      <c r="BO129" s="52" t="n"/>
    </row>
    <row r="130">
      <c r="A130" s="66" t="n"/>
      <c r="B130" s="66" t="n"/>
      <c r="C130" s="66" t="n"/>
      <c r="D130" s="66" t="n"/>
      <c r="E130" s="66" t="n"/>
      <c r="F130" s="65" t="inlineStr">
        <is>
          <t>Actual</t>
        </is>
      </c>
      <c r="G130" s="56">
        <f>SUM(H130:BO130)</f>
        <v/>
      </c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  <c r="AL130" s="52" t="n"/>
      <c r="AM130" s="52" t="n"/>
      <c r="AN130" s="52" t="n"/>
      <c r="AO130" s="52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  <c r="BB130" s="52" t="n"/>
      <c r="BC130" s="52" t="n"/>
      <c r="BD130" s="52" t="n"/>
      <c r="BE130" s="52" t="n"/>
      <c r="BF130" s="52" t="n"/>
      <c r="BG130" s="52" t="n"/>
      <c r="BH130" s="52" t="n"/>
      <c r="BI130" s="52" t="n"/>
      <c r="BJ130" s="52" t="n"/>
      <c r="BK130" s="52" t="n"/>
      <c r="BL130" s="52" t="n"/>
      <c r="BM130" s="52" t="n"/>
      <c r="BN130" s="52" t="n"/>
      <c r="BO130" s="52" t="n"/>
    </row>
    <row r="131">
      <c r="A131" s="66" t="n"/>
      <c r="B131" s="66" t="n"/>
      <c r="C131" s="67" t="n"/>
      <c r="D131" s="67" t="n"/>
      <c r="E131" s="67" t="n"/>
      <c r="F131" s="68" t="inlineStr">
        <is>
          <t>% Achieved</t>
        </is>
      </c>
      <c r="G131" s="69">
        <f>IFERROR(G130/G129,"")</f>
        <v/>
      </c>
      <c r="H131" s="70">
        <f>IFERROR(H130/H129,"")</f>
        <v/>
      </c>
      <c r="I131" s="70">
        <f>IFERROR(I130/I129,"")</f>
        <v/>
      </c>
      <c r="J131" s="70">
        <f>IFERROR(J130/J129,"")</f>
        <v/>
      </c>
      <c r="K131" s="70">
        <f>IFERROR(K130/K129,"")</f>
        <v/>
      </c>
      <c r="L131" s="70">
        <f>IFERROR(L130/L129,"")</f>
        <v/>
      </c>
      <c r="M131" s="70">
        <f>IFERROR(M130/M129,"")</f>
        <v/>
      </c>
      <c r="N131" s="70">
        <f>IFERROR(N130/N129,"")</f>
        <v/>
      </c>
      <c r="O131" s="70">
        <f>IFERROR(O130/O129,"")</f>
        <v/>
      </c>
      <c r="P131" s="70">
        <f>IFERROR(P130/P129,"")</f>
        <v/>
      </c>
      <c r="Q131" s="70">
        <f>IFERROR(Q130/Q129,"")</f>
        <v/>
      </c>
      <c r="R131" s="70">
        <f>IFERROR(R130/R129,"")</f>
        <v/>
      </c>
      <c r="S131" s="70">
        <f>IFERROR(S130/S129,"")</f>
        <v/>
      </c>
      <c r="T131" s="70">
        <f>IFERROR(T130/T129,"")</f>
        <v/>
      </c>
      <c r="U131" s="70">
        <f>IFERROR(U130/U129,"")</f>
        <v/>
      </c>
      <c r="V131" s="70">
        <f>IFERROR(V130/V129,"")</f>
        <v/>
      </c>
      <c r="W131" s="70">
        <f>IFERROR(W130/W129,"")</f>
        <v/>
      </c>
      <c r="X131" s="70">
        <f>IFERROR(X130/X129,"")</f>
        <v/>
      </c>
      <c r="Y131" s="70">
        <f>IFERROR(Y130/Y129,"")</f>
        <v/>
      </c>
      <c r="Z131" s="70">
        <f>IFERROR(Z130/Z129,"")</f>
        <v/>
      </c>
      <c r="AA131" s="70">
        <f>IFERROR(AA130/AA129,"")</f>
        <v/>
      </c>
      <c r="AB131" s="70">
        <f>IFERROR(AB130/AB129,"")</f>
        <v/>
      </c>
      <c r="AC131" s="70">
        <f>IFERROR(AC130/AC129,"")</f>
        <v/>
      </c>
      <c r="AD131" s="70">
        <f>IFERROR(AD130/AD129,"")</f>
        <v/>
      </c>
      <c r="AE131" s="70">
        <f>IFERROR(AE130/AE129,"")</f>
        <v/>
      </c>
      <c r="AF131" s="70">
        <f>IFERROR(AF130/AF129,"")</f>
        <v/>
      </c>
      <c r="AG131" s="70">
        <f>IFERROR(AG130/AG129,"")</f>
        <v/>
      </c>
      <c r="AH131" s="70">
        <f>IFERROR(AH130/AH129,"")</f>
        <v/>
      </c>
      <c r="AI131" s="70">
        <f>IFERROR(AI130/AI129,"")</f>
        <v/>
      </c>
      <c r="AJ131" s="70">
        <f>IFERROR(AJ130/AJ129,"")</f>
        <v/>
      </c>
      <c r="AK131" s="70">
        <f>IFERROR(AK130/AK129,"")</f>
        <v/>
      </c>
      <c r="AL131" s="70">
        <f>IFERROR(AL130/AL129,"")</f>
        <v/>
      </c>
      <c r="AM131" s="70">
        <f>IFERROR(AM130/AM129,"")</f>
        <v/>
      </c>
      <c r="AN131" s="70">
        <f>IFERROR(AN130/AN129,"")</f>
        <v/>
      </c>
      <c r="AO131" s="70">
        <f>IFERROR(AO130/AO129,"")</f>
        <v/>
      </c>
      <c r="AP131" s="70">
        <f>IFERROR(AP130/AP129,"")</f>
        <v/>
      </c>
      <c r="AQ131" s="70">
        <f>IFERROR(AQ130/AQ129,"")</f>
        <v/>
      </c>
      <c r="AR131" s="70">
        <f>IFERROR(AR130/AR129,"")</f>
        <v/>
      </c>
      <c r="AS131" s="70">
        <f>IFERROR(AS130/AS129,"")</f>
        <v/>
      </c>
      <c r="AT131" s="70">
        <f>IFERROR(AT130/AT129,"")</f>
        <v/>
      </c>
      <c r="AU131" s="70">
        <f>IFERROR(AU130/AU129,"")</f>
        <v/>
      </c>
      <c r="AV131" s="70">
        <f>IFERROR(AV130/AV129,"")</f>
        <v/>
      </c>
      <c r="AW131" s="70">
        <f>IFERROR(AW130/AW129,"")</f>
        <v/>
      </c>
      <c r="AX131" s="70">
        <f>IFERROR(AX130/AX129,"")</f>
        <v/>
      </c>
      <c r="AY131" s="70">
        <f>IFERROR(AY130/AY129,"")</f>
        <v/>
      </c>
      <c r="AZ131" s="70">
        <f>IFERROR(AZ130/AZ129,"")</f>
        <v/>
      </c>
      <c r="BA131" s="70">
        <f>IFERROR(BA130/BA129,"")</f>
        <v/>
      </c>
      <c r="BB131" s="70">
        <f>IFERROR(BB130/BB129,"")</f>
        <v/>
      </c>
      <c r="BC131" s="70">
        <f>IFERROR(BC130/BC129,"")</f>
        <v/>
      </c>
      <c r="BD131" s="70">
        <f>IFERROR(BD130/BD129,"")</f>
        <v/>
      </c>
      <c r="BE131" s="70">
        <f>IFERROR(BE130/BE129,"")</f>
        <v/>
      </c>
      <c r="BF131" s="70">
        <f>IFERROR(BF130/BF129,"")</f>
        <v/>
      </c>
      <c r="BG131" s="70">
        <f>IFERROR(BG130/BG129,"")</f>
        <v/>
      </c>
      <c r="BH131" s="70">
        <f>IFERROR(BH130/BH129,"")</f>
        <v/>
      </c>
      <c r="BI131" s="70">
        <f>IFERROR(BI130/BI129,"")</f>
        <v/>
      </c>
      <c r="BJ131" s="70">
        <f>IFERROR(BJ130/BJ129,"")</f>
        <v/>
      </c>
      <c r="BK131" s="70">
        <f>IFERROR(BK130/BK129,"")</f>
        <v/>
      </c>
      <c r="BL131" s="70">
        <f>IFERROR(BL130/BL129,"")</f>
        <v/>
      </c>
      <c r="BM131" s="70">
        <f>IFERROR(BM130/BM129,"")</f>
        <v/>
      </c>
      <c r="BN131" s="70">
        <f>IFERROR(BN130/BN129,"")</f>
        <v/>
      </c>
      <c r="BO131" s="70">
        <f>IFERROR(BO130/BO129,"")</f>
        <v/>
      </c>
    </row>
    <row r="132">
      <c r="A132" s="66" t="n"/>
      <c r="B132" s="66" t="n"/>
      <c r="C132" s="71" t="inlineStr">
        <is>
          <t>K3</t>
        </is>
      </c>
      <c r="D132" s="37" t="inlineStr">
        <is>
          <t>Spec-in Value</t>
        </is>
      </c>
      <c r="E132" s="72" t="inlineStr">
        <is>
          <t>MVND</t>
        </is>
      </c>
      <c r="F132" s="65" t="inlineStr">
        <is>
          <t>Phasing</t>
        </is>
      </c>
      <c r="G132" s="56">
        <f>SUM(H132:BO132)</f>
        <v/>
      </c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</row>
    <row r="133">
      <c r="A133" s="66" t="n"/>
      <c r="B133" s="66" t="n"/>
      <c r="C133" s="66" t="n"/>
      <c r="D133" s="66" t="n"/>
      <c r="E133" s="66" t="n"/>
      <c r="F133" s="65" t="inlineStr">
        <is>
          <t>Actual</t>
        </is>
      </c>
      <c r="G133" s="56">
        <f>SUM(H133:BO133)</f>
        <v/>
      </c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  <c r="AG133" s="52" t="n"/>
      <c r="AH133" s="52" t="n"/>
      <c r="AI133" s="52" t="n"/>
      <c r="AJ133" s="52" t="n"/>
      <c r="AK133" s="52" t="n"/>
      <c r="AL133" s="52" t="n"/>
      <c r="AM133" s="52" t="n"/>
      <c r="AN133" s="52" t="n"/>
      <c r="AO133" s="52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  <c r="BB133" s="52" t="n"/>
      <c r="BC133" s="52" t="n"/>
      <c r="BD133" s="52" t="n"/>
      <c r="BE133" s="52" t="n"/>
      <c r="BF133" s="52" t="n"/>
      <c r="BG133" s="52" t="n"/>
      <c r="BH133" s="52" t="n"/>
      <c r="BI133" s="52" t="n"/>
      <c r="BJ133" s="52" t="n"/>
      <c r="BK133" s="52" t="n"/>
      <c r="BL133" s="52" t="n"/>
      <c r="BM133" s="52" t="n"/>
      <c r="BN133" s="52" t="n"/>
      <c r="BO133" s="52" t="n"/>
    </row>
    <row r="134">
      <c r="A134" s="66" t="n"/>
      <c r="B134" s="66" t="n"/>
      <c r="C134" s="67" t="n"/>
      <c r="D134" s="67" t="n"/>
      <c r="E134" s="67" t="n"/>
      <c r="F134" s="68" t="inlineStr">
        <is>
          <t>% Achieved</t>
        </is>
      </c>
      <c r="G134" s="69">
        <f>IFERROR(G133/G132,"")</f>
        <v/>
      </c>
      <c r="H134" s="70">
        <f>IFERROR(H133/H132,"")</f>
        <v/>
      </c>
      <c r="I134" s="70">
        <f>IFERROR(I133/I132,"")</f>
        <v/>
      </c>
      <c r="J134" s="70">
        <f>IFERROR(J133/J132,"")</f>
        <v/>
      </c>
      <c r="K134" s="70">
        <f>IFERROR(K133/K132,"")</f>
        <v/>
      </c>
      <c r="L134" s="70">
        <f>IFERROR(L133/L132,"")</f>
        <v/>
      </c>
      <c r="M134" s="70">
        <f>IFERROR(M133/M132,"")</f>
        <v/>
      </c>
      <c r="N134" s="70">
        <f>IFERROR(N133/N132,"")</f>
        <v/>
      </c>
      <c r="O134" s="70">
        <f>IFERROR(O133/O132,"")</f>
        <v/>
      </c>
      <c r="P134" s="70">
        <f>IFERROR(P133/P132,"")</f>
        <v/>
      </c>
      <c r="Q134" s="70">
        <f>IFERROR(Q133/Q132,"")</f>
        <v/>
      </c>
      <c r="R134" s="70">
        <f>IFERROR(R133/R132,"")</f>
        <v/>
      </c>
      <c r="S134" s="70">
        <f>IFERROR(S133/S132,"")</f>
        <v/>
      </c>
      <c r="T134" s="70">
        <f>IFERROR(T133/T132,"")</f>
        <v/>
      </c>
      <c r="U134" s="70">
        <f>IFERROR(U133/U132,"")</f>
        <v/>
      </c>
      <c r="V134" s="70">
        <f>IFERROR(V133/V132,"")</f>
        <v/>
      </c>
      <c r="W134" s="70">
        <f>IFERROR(W133/W132,"")</f>
        <v/>
      </c>
      <c r="X134" s="70">
        <f>IFERROR(X133/X132,"")</f>
        <v/>
      </c>
      <c r="Y134" s="70">
        <f>IFERROR(Y133/Y132,"")</f>
        <v/>
      </c>
      <c r="Z134" s="70">
        <f>IFERROR(Z133/Z132,"")</f>
        <v/>
      </c>
      <c r="AA134" s="70">
        <f>IFERROR(AA133/AA132,"")</f>
        <v/>
      </c>
      <c r="AB134" s="70">
        <f>IFERROR(AB133/AB132,"")</f>
        <v/>
      </c>
      <c r="AC134" s="70">
        <f>IFERROR(AC133/AC132,"")</f>
        <v/>
      </c>
      <c r="AD134" s="70">
        <f>IFERROR(AD133/AD132,"")</f>
        <v/>
      </c>
      <c r="AE134" s="70">
        <f>IFERROR(AE133/AE132,"")</f>
        <v/>
      </c>
      <c r="AF134" s="70">
        <f>IFERROR(AF133/AF132,"")</f>
        <v/>
      </c>
      <c r="AG134" s="70">
        <f>IFERROR(AG133/AG132,"")</f>
        <v/>
      </c>
      <c r="AH134" s="70">
        <f>IFERROR(AH133/AH132,"")</f>
        <v/>
      </c>
      <c r="AI134" s="70">
        <f>IFERROR(AI133/AI132,"")</f>
        <v/>
      </c>
      <c r="AJ134" s="70">
        <f>IFERROR(AJ133/AJ132,"")</f>
        <v/>
      </c>
      <c r="AK134" s="70">
        <f>IFERROR(AK133/AK132,"")</f>
        <v/>
      </c>
      <c r="AL134" s="70">
        <f>IFERROR(AL133/AL132,"")</f>
        <v/>
      </c>
      <c r="AM134" s="70">
        <f>IFERROR(AM133/AM132,"")</f>
        <v/>
      </c>
      <c r="AN134" s="70">
        <f>IFERROR(AN133/AN132,"")</f>
        <v/>
      </c>
      <c r="AO134" s="70">
        <f>IFERROR(AO133/AO132,"")</f>
        <v/>
      </c>
      <c r="AP134" s="70">
        <f>IFERROR(AP133/AP132,"")</f>
        <v/>
      </c>
      <c r="AQ134" s="70">
        <f>IFERROR(AQ133/AQ132,"")</f>
        <v/>
      </c>
      <c r="AR134" s="70">
        <f>IFERROR(AR133/AR132,"")</f>
        <v/>
      </c>
      <c r="AS134" s="70">
        <f>IFERROR(AS133/AS132,"")</f>
        <v/>
      </c>
      <c r="AT134" s="70">
        <f>IFERROR(AT133/AT132,"")</f>
        <v/>
      </c>
      <c r="AU134" s="70">
        <f>IFERROR(AU133/AU132,"")</f>
        <v/>
      </c>
      <c r="AV134" s="70">
        <f>IFERROR(AV133/AV132,"")</f>
        <v/>
      </c>
      <c r="AW134" s="70">
        <f>IFERROR(AW133/AW132,"")</f>
        <v/>
      </c>
      <c r="AX134" s="70">
        <f>IFERROR(AX133/AX132,"")</f>
        <v/>
      </c>
      <c r="AY134" s="70">
        <f>IFERROR(AY133/AY132,"")</f>
        <v/>
      </c>
      <c r="AZ134" s="70">
        <f>IFERROR(AZ133/AZ132,"")</f>
        <v/>
      </c>
      <c r="BA134" s="70">
        <f>IFERROR(BA133/BA132,"")</f>
        <v/>
      </c>
      <c r="BB134" s="70">
        <f>IFERROR(BB133/BB132,"")</f>
        <v/>
      </c>
      <c r="BC134" s="70">
        <f>IFERROR(BC133/BC132,"")</f>
        <v/>
      </c>
      <c r="BD134" s="70">
        <f>IFERROR(BD133/BD132,"")</f>
        <v/>
      </c>
      <c r="BE134" s="70">
        <f>IFERROR(BE133/BE132,"")</f>
        <v/>
      </c>
      <c r="BF134" s="70">
        <f>IFERROR(BF133/BF132,"")</f>
        <v/>
      </c>
      <c r="BG134" s="70">
        <f>IFERROR(BG133/BG132,"")</f>
        <v/>
      </c>
      <c r="BH134" s="70">
        <f>IFERROR(BH133/BH132,"")</f>
        <v/>
      </c>
      <c r="BI134" s="70">
        <f>IFERROR(BI133/BI132,"")</f>
        <v/>
      </c>
      <c r="BJ134" s="70">
        <f>IFERROR(BJ133/BJ132,"")</f>
        <v/>
      </c>
      <c r="BK134" s="70">
        <f>IFERROR(BK133/BK132,"")</f>
        <v/>
      </c>
      <c r="BL134" s="70">
        <f>IFERROR(BL133/BL132,"")</f>
        <v/>
      </c>
      <c r="BM134" s="70">
        <f>IFERROR(BM133/BM132,"")</f>
        <v/>
      </c>
      <c r="BN134" s="70">
        <f>IFERROR(BN133/BN132,"")</f>
        <v/>
      </c>
      <c r="BO134" s="70">
        <f>IFERROR(BO133/BO132,"")</f>
        <v/>
      </c>
    </row>
    <row r="135">
      <c r="A135" s="66" t="n"/>
      <c r="B135" s="66" t="n"/>
      <c r="C135" s="71" t="inlineStr">
        <is>
          <t>K4</t>
        </is>
      </c>
      <c r="D135" s="37" t="inlineStr">
        <is>
          <t>Engaged Architect (Submit Design)</t>
        </is>
      </c>
      <c r="E135" s="72" t="inlineStr">
        <is>
          <t>D&amp;B</t>
        </is>
      </c>
      <c r="F135" s="65" t="inlineStr">
        <is>
          <t>Phasing</t>
        </is>
      </c>
      <c r="G135" s="56">
        <f>SUM(H135:BO135)</f>
        <v/>
      </c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  <c r="BF135" s="52" t="n"/>
      <c r="BG135" s="52" t="n"/>
      <c r="BH135" s="52" t="n"/>
      <c r="BI135" s="52" t="n"/>
      <c r="BJ135" s="52" t="n"/>
      <c r="BK135" s="52" t="n"/>
      <c r="BL135" s="52" t="n"/>
      <c r="BM135" s="52" t="n"/>
      <c r="BN135" s="52" t="n"/>
      <c r="BO135" s="52" t="n"/>
    </row>
    <row r="136">
      <c r="A136" s="66" t="n"/>
      <c r="B136" s="66" t="n"/>
      <c r="C136" s="66" t="n"/>
      <c r="D136" s="66" t="n"/>
      <c r="E136" s="66" t="n"/>
      <c r="F136" s="65" t="inlineStr">
        <is>
          <t>Actual</t>
        </is>
      </c>
      <c r="G136" s="56">
        <f>SUM(H136:BO136)</f>
        <v/>
      </c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  <c r="BF136" s="52" t="n"/>
      <c r="BG136" s="52" t="n"/>
      <c r="BH136" s="52" t="n"/>
      <c r="BI136" s="52" t="n"/>
      <c r="BJ136" s="52" t="n"/>
      <c r="BK136" s="52" t="n"/>
      <c r="BL136" s="52" t="n"/>
      <c r="BM136" s="52" t="n"/>
      <c r="BN136" s="52" t="n"/>
      <c r="BO136" s="52" t="n"/>
    </row>
    <row r="137">
      <c r="A137" s="66" t="n"/>
      <c r="B137" s="66" t="n"/>
      <c r="C137" s="67" t="n"/>
      <c r="D137" s="67" t="n"/>
      <c r="E137" s="67" t="n"/>
      <c r="F137" s="68" t="inlineStr">
        <is>
          <t>% Achieved</t>
        </is>
      </c>
      <c r="G137" s="69">
        <f>IFERROR(G136/G135,"")</f>
        <v/>
      </c>
      <c r="H137" s="70">
        <f>IFERROR(H136/H135,"")</f>
        <v/>
      </c>
      <c r="I137" s="70">
        <f>IFERROR(I136/I135,"")</f>
        <v/>
      </c>
      <c r="J137" s="70">
        <f>IFERROR(J136/J135,"")</f>
        <v/>
      </c>
      <c r="K137" s="70">
        <f>IFERROR(K136/K135,"")</f>
        <v/>
      </c>
      <c r="L137" s="70">
        <f>IFERROR(L136/L135,"")</f>
        <v/>
      </c>
      <c r="M137" s="70">
        <f>IFERROR(M136/M135,"")</f>
        <v/>
      </c>
      <c r="N137" s="70">
        <f>IFERROR(N136/N135,"")</f>
        <v/>
      </c>
      <c r="O137" s="70">
        <f>IFERROR(O136/O135,"")</f>
        <v/>
      </c>
      <c r="P137" s="70">
        <f>IFERROR(P136/P135,"")</f>
        <v/>
      </c>
      <c r="Q137" s="70">
        <f>IFERROR(Q136/Q135,"")</f>
        <v/>
      </c>
      <c r="R137" s="70">
        <f>IFERROR(R136/R135,"")</f>
        <v/>
      </c>
      <c r="S137" s="70">
        <f>IFERROR(S136/S135,"")</f>
        <v/>
      </c>
      <c r="T137" s="70">
        <f>IFERROR(T136/T135,"")</f>
        <v/>
      </c>
      <c r="U137" s="70">
        <f>IFERROR(U136/U135,"")</f>
        <v/>
      </c>
      <c r="V137" s="70">
        <f>IFERROR(V136/V135,"")</f>
        <v/>
      </c>
      <c r="W137" s="70">
        <f>IFERROR(W136/W135,"")</f>
        <v/>
      </c>
      <c r="X137" s="70">
        <f>IFERROR(X136/X135,"")</f>
        <v/>
      </c>
      <c r="Y137" s="70">
        <f>IFERROR(Y136/Y135,"")</f>
        <v/>
      </c>
      <c r="Z137" s="70">
        <f>IFERROR(Z136/Z135,"")</f>
        <v/>
      </c>
      <c r="AA137" s="70">
        <f>IFERROR(AA136/AA135,"")</f>
        <v/>
      </c>
      <c r="AB137" s="70">
        <f>IFERROR(AB136/AB135,"")</f>
        <v/>
      </c>
      <c r="AC137" s="70">
        <f>IFERROR(AC136/AC135,"")</f>
        <v/>
      </c>
      <c r="AD137" s="70">
        <f>IFERROR(AD136/AD135,"")</f>
        <v/>
      </c>
      <c r="AE137" s="70">
        <f>IFERROR(AE136/AE135,"")</f>
        <v/>
      </c>
      <c r="AF137" s="70">
        <f>IFERROR(AF136/AF135,"")</f>
        <v/>
      </c>
      <c r="AG137" s="70">
        <f>IFERROR(AG136/AG135,"")</f>
        <v/>
      </c>
      <c r="AH137" s="70">
        <f>IFERROR(AH136/AH135,"")</f>
        <v/>
      </c>
      <c r="AI137" s="70">
        <f>IFERROR(AI136/AI135,"")</f>
        <v/>
      </c>
      <c r="AJ137" s="70">
        <f>IFERROR(AJ136/AJ135,"")</f>
        <v/>
      </c>
      <c r="AK137" s="70">
        <f>IFERROR(AK136/AK135,"")</f>
        <v/>
      </c>
      <c r="AL137" s="70">
        <f>IFERROR(AL136/AL135,"")</f>
        <v/>
      </c>
      <c r="AM137" s="70">
        <f>IFERROR(AM136/AM135,"")</f>
        <v/>
      </c>
      <c r="AN137" s="70">
        <f>IFERROR(AN136/AN135,"")</f>
        <v/>
      </c>
      <c r="AO137" s="70">
        <f>IFERROR(AO136/AO135,"")</f>
        <v/>
      </c>
      <c r="AP137" s="70">
        <f>IFERROR(AP136/AP135,"")</f>
        <v/>
      </c>
      <c r="AQ137" s="70">
        <f>IFERROR(AQ136/AQ135,"")</f>
        <v/>
      </c>
      <c r="AR137" s="70">
        <f>IFERROR(AR136/AR135,"")</f>
        <v/>
      </c>
      <c r="AS137" s="70">
        <f>IFERROR(AS136/AS135,"")</f>
        <v/>
      </c>
      <c r="AT137" s="70">
        <f>IFERROR(AT136/AT135,"")</f>
        <v/>
      </c>
      <c r="AU137" s="70">
        <f>IFERROR(AU136/AU135,"")</f>
        <v/>
      </c>
      <c r="AV137" s="70">
        <f>IFERROR(AV136/AV135,"")</f>
        <v/>
      </c>
      <c r="AW137" s="70">
        <f>IFERROR(AW136/AW135,"")</f>
        <v/>
      </c>
      <c r="AX137" s="70">
        <f>IFERROR(AX136/AX135,"")</f>
        <v/>
      </c>
      <c r="AY137" s="70">
        <f>IFERROR(AY136/AY135,"")</f>
        <v/>
      </c>
      <c r="AZ137" s="70">
        <f>IFERROR(AZ136/AZ135,"")</f>
        <v/>
      </c>
      <c r="BA137" s="70">
        <f>IFERROR(BA136/BA135,"")</f>
        <v/>
      </c>
      <c r="BB137" s="70">
        <f>IFERROR(BB136/BB135,"")</f>
        <v/>
      </c>
      <c r="BC137" s="70">
        <f>IFERROR(BC136/BC135,"")</f>
        <v/>
      </c>
      <c r="BD137" s="70">
        <f>IFERROR(BD136/BD135,"")</f>
        <v/>
      </c>
      <c r="BE137" s="70">
        <f>IFERROR(BE136/BE135,"")</f>
        <v/>
      </c>
      <c r="BF137" s="70">
        <f>IFERROR(BF136/BF135,"")</f>
        <v/>
      </c>
      <c r="BG137" s="70">
        <f>IFERROR(BG136/BG135,"")</f>
        <v/>
      </c>
      <c r="BH137" s="70">
        <f>IFERROR(BH136/BH135,"")</f>
        <v/>
      </c>
      <c r="BI137" s="70">
        <f>IFERROR(BI136/BI135,"")</f>
        <v/>
      </c>
      <c r="BJ137" s="70">
        <f>IFERROR(BJ136/BJ135,"")</f>
        <v/>
      </c>
      <c r="BK137" s="70">
        <f>IFERROR(BK136/BK135,"")</f>
        <v/>
      </c>
      <c r="BL137" s="70">
        <f>IFERROR(BL136/BL135,"")</f>
        <v/>
      </c>
      <c r="BM137" s="70">
        <f>IFERROR(BM136/BM135,"")</f>
        <v/>
      </c>
      <c r="BN137" s="70">
        <f>IFERROR(BN136/BN135,"")</f>
        <v/>
      </c>
      <c r="BO137" s="70">
        <f>IFERROR(BO136/BO135,"")</f>
        <v/>
      </c>
    </row>
    <row r="138">
      <c r="A138" s="66" t="n"/>
      <c r="B138" s="66" t="n"/>
      <c r="C138" s="73" t="inlineStr">
        <is>
          <t>K5</t>
        </is>
      </c>
      <c r="D138" s="41" t="inlineStr">
        <is>
          <t>Spec-in Design (submitted design)</t>
        </is>
      </c>
      <c r="E138" s="74" t="inlineStr">
        <is>
          <t>Designs</t>
        </is>
      </c>
      <c r="F138" s="65" t="inlineStr">
        <is>
          <t>Phasing</t>
        </is>
      </c>
      <c r="G138" s="56">
        <f>SUM(H138:BO138)</f>
        <v/>
      </c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  <c r="AG138" s="52" t="n"/>
      <c r="AH138" s="52" t="n"/>
      <c r="AI138" s="52" t="n"/>
      <c r="AJ138" s="52" t="n"/>
      <c r="AK138" s="52" t="n"/>
      <c r="AL138" s="52" t="n"/>
      <c r="AM138" s="52" t="n"/>
      <c r="AN138" s="52" t="n"/>
      <c r="AO138" s="52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  <c r="BB138" s="52" t="n"/>
      <c r="BC138" s="52" t="n"/>
      <c r="BD138" s="52" t="n"/>
      <c r="BE138" s="52" t="n"/>
      <c r="BF138" s="52" t="n"/>
      <c r="BG138" s="52" t="n"/>
      <c r="BH138" s="52" t="n"/>
      <c r="BI138" s="52" t="n"/>
      <c r="BJ138" s="52" t="n"/>
      <c r="BK138" s="52" t="n"/>
      <c r="BL138" s="52" t="n"/>
      <c r="BM138" s="52" t="n"/>
      <c r="BN138" s="52" t="n"/>
      <c r="BO138" s="52" t="n"/>
    </row>
    <row r="139">
      <c r="A139" s="66" t="n"/>
      <c r="B139" s="66" t="n"/>
      <c r="C139" s="66" t="n"/>
      <c r="D139" s="66" t="n"/>
      <c r="E139" s="66" t="n"/>
      <c r="F139" s="65" t="inlineStr">
        <is>
          <t>Actual</t>
        </is>
      </c>
      <c r="G139" s="56">
        <f>SUM(H139:BO139)</f>
        <v/>
      </c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  <c r="AG139" s="52" t="n"/>
      <c r="AH139" s="52" t="n"/>
      <c r="AI139" s="52" t="n"/>
      <c r="AJ139" s="52" t="n"/>
      <c r="AK139" s="52" t="n"/>
      <c r="AL139" s="52" t="n"/>
      <c r="AM139" s="52" t="n"/>
      <c r="AN139" s="52" t="n"/>
      <c r="AO139" s="52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  <c r="BB139" s="52" t="n"/>
      <c r="BC139" s="52" t="n"/>
      <c r="BD139" s="52" t="n"/>
      <c r="BE139" s="52" t="n"/>
      <c r="BF139" s="52" t="n"/>
      <c r="BG139" s="52" t="n"/>
      <c r="BH139" s="52" t="n"/>
      <c r="BI139" s="52" t="n"/>
      <c r="BJ139" s="52" t="n"/>
      <c r="BK139" s="52" t="n"/>
      <c r="BL139" s="52" t="n"/>
      <c r="BM139" s="52" t="n"/>
      <c r="BN139" s="52" t="n"/>
      <c r="BO139" s="52" t="n"/>
    </row>
    <row r="140">
      <c r="A140" s="67" t="n"/>
      <c r="B140" s="67" t="n"/>
      <c r="C140" s="67" t="n"/>
      <c r="D140" s="67" t="n"/>
      <c r="E140" s="67" t="n"/>
      <c r="F140" s="68" t="inlineStr">
        <is>
          <t>% Achieved</t>
        </is>
      </c>
      <c r="G140" s="69">
        <f>IFERROR(G139/G138,"")</f>
        <v/>
      </c>
      <c r="H140" s="70">
        <f>IFERROR(H139/H138,"")</f>
        <v/>
      </c>
      <c r="I140" s="70">
        <f>IFERROR(I139/I138,"")</f>
        <v/>
      </c>
      <c r="J140" s="70">
        <f>IFERROR(J139/J138,"")</f>
        <v/>
      </c>
      <c r="K140" s="70">
        <f>IFERROR(K139/K138,"")</f>
        <v/>
      </c>
      <c r="L140" s="70">
        <f>IFERROR(L139/L138,"")</f>
        <v/>
      </c>
      <c r="M140" s="70">
        <f>IFERROR(M139/M138,"")</f>
        <v/>
      </c>
      <c r="N140" s="70">
        <f>IFERROR(N139/N138,"")</f>
        <v/>
      </c>
      <c r="O140" s="70">
        <f>IFERROR(O139/O138,"")</f>
        <v/>
      </c>
      <c r="P140" s="70">
        <f>IFERROR(P139/P138,"")</f>
        <v/>
      </c>
      <c r="Q140" s="70">
        <f>IFERROR(Q139/Q138,"")</f>
        <v/>
      </c>
      <c r="R140" s="70">
        <f>IFERROR(R139/R138,"")</f>
        <v/>
      </c>
      <c r="S140" s="70">
        <f>IFERROR(S139/S138,"")</f>
        <v/>
      </c>
      <c r="T140" s="70">
        <f>IFERROR(T139/T138,"")</f>
        <v/>
      </c>
      <c r="U140" s="70">
        <f>IFERROR(U139/U138,"")</f>
        <v/>
      </c>
      <c r="V140" s="70">
        <f>IFERROR(V139/V138,"")</f>
        <v/>
      </c>
      <c r="W140" s="70">
        <f>IFERROR(W139/W138,"")</f>
        <v/>
      </c>
      <c r="X140" s="70">
        <f>IFERROR(X139/X138,"")</f>
        <v/>
      </c>
      <c r="Y140" s="70">
        <f>IFERROR(Y139/Y138,"")</f>
        <v/>
      </c>
      <c r="Z140" s="70">
        <f>IFERROR(Z139/Z138,"")</f>
        <v/>
      </c>
      <c r="AA140" s="70">
        <f>IFERROR(AA139/AA138,"")</f>
        <v/>
      </c>
      <c r="AB140" s="70">
        <f>IFERROR(AB139/AB138,"")</f>
        <v/>
      </c>
      <c r="AC140" s="70">
        <f>IFERROR(AC139/AC138,"")</f>
        <v/>
      </c>
      <c r="AD140" s="70">
        <f>IFERROR(AD139/AD138,"")</f>
        <v/>
      </c>
      <c r="AE140" s="70">
        <f>IFERROR(AE139/AE138,"")</f>
        <v/>
      </c>
      <c r="AF140" s="70">
        <f>IFERROR(AF139/AF138,"")</f>
        <v/>
      </c>
      <c r="AG140" s="70">
        <f>IFERROR(AG139/AG138,"")</f>
        <v/>
      </c>
      <c r="AH140" s="70">
        <f>IFERROR(AH139/AH138,"")</f>
        <v/>
      </c>
      <c r="AI140" s="70">
        <f>IFERROR(AI139/AI138,"")</f>
        <v/>
      </c>
      <c r="AJ140" s="70">
        <f>IFERROR(AJ139/AJ138,"")</f>
        <v/>
      </c>
      <c r="AK140" s="70">
        <f>IFERROR(AK139/AK138,"")</f>
        <v/>
      </c>
      <c r="AL140" s="70">
        <f>IFERROR(AL139/AL138,"")</f>
        <v/>
      </c>
      <c r="AM140" s="70">
        <f>IFERROR(AM139/AM138,"")</f>
        <v/>
      </c>
      <c r="AN140" s="70">
        <f>IFERROR(AN139/AN138,"")</f>
        <v/>
      </c>
      <c r="AO140" s="70">
        <f>IFERROR(AO139/AO138,"")</f>
        <v/>
      </c>
      <c r="AP140" s="70">
        <f>IFERROR(AP139/AP138,"")</f>
        <v/>
      </c>
      <c r="AQ140" s="70">
        <f>IFERROR(AQ139/AQ138,"")</f>
        <v/>
      </c>
      <c r="AR140" s="70">
        <f>IFERROR(AR139/AR138,"")</f>
        <v/>
      </c>
      <c r="AS140" s="70">
        <f>IFERROR(AS139/AS138,"")</f>
        <v/>
      </c>
      <c r="AT140" s="70">
        <f>IFERROR(AT139/AT138,"")</f>
        <v/>
      </c>
      <c r="AU140" s="70">
        <f>IFERROR(AU139/AU138,"")</f>
        <v/>
      </c>
      <c r="AV140" s="70">
        <f>IFERROR(AV139/AV138,"")</f>
        <v/>
      </c>
      <c r="AW140" s="70">
        <f>IFERROR(AW139/AW138,"")</f>
        <v/>
      </c>
      <c r="AX140" s="70">
        <f>IFERROR(AX139/AX138,"")</f>
        <v/>
      </c>
      <c r="AY140" s="70">
        <f>IFERROR(AY139/AY138,"")</f>
        <v/>
      </c>
      <c r="AZ140" s="70">
        <f>IFERROR(AZ139/AZ138,"")</f>
        <v/>
      </c>
      <c r="BA140" s="70">
        <f>IFERROR(BA139/BA138,"")</f>
        <v/>
      </c>
      <c r="BB140" s="70">
        <f>IFERROR(BB139/BB138,"")</f>
        <v/>
      </c>
      <c r="BC140" s="70">
        <f>IFERROR(BC139/BC138,"")</f>
        <v/>
      </c>
      <c r="BD140" s="70">
        <f>IFERROR(BD139/BD138,"")</f>
        <v/>
      </c>
      <c r="BE140" s="70">
        <f>IFERROR(BE139/BE138,"")</f>
        <v/>
      </c>
      <c r="BF140" s="70">
        <f>IFERROR(BF139/BF138,"")</f>
        <v/>
      </c>
      <c r="BG140" s="70">
        <f>IFERROR(BG139/BG138,"")</f>
        <v/>
      </c>
      <c r="BH140" s="70">
        <f>IFERROR(BH139/BH138,"")</f>
        <v/>
      </c>
      <c r="BI140" s="70">
        <f>IFERROR(BI139/BI138,"")</f>
        <v/>
      </c>
      <c r="BJ140" s="70">
        <f>IFERROR(BJ139/BJ138,"")</f>
        <v/>
      </c>
      <c r="BK140" s="70">
        <f>IFERROR(BK139/BK138,"")</f>
        <v/>
      </c>
      <c r="BL140" s="70">
        <f>IFERROR(BL139/BL138,"")</f>
        <v/>
      </c>
      <c r="BM140" s="70">
        <f>IFERROR(BM139/BM138,"")</f>
        <v/>
      </c>
      <c r="BN140" s="70">
        <f>IFERROR(BN139/BN138,"")</f>
        <v/>
      </c>
      <c r="BO140" s="70">
        <f>IFERROR(BO139/BO138,"")</f>
        <v/>
      </c>
    </row>
    <row r="141">
      <c r="A141" s="61">
        <f>IFERROR(INDEX(Team_Master!$C$6:$C$20,10),"")</f>
        <v/>
      </c>
      <c r="B141" s="62">
        <f>IFERROR(INDEX(Team_Master!$G$6:$G$20,10),"")</f>
        <v/>
      </c>
      <c r="C141" s="63" t="inlineStr">
        <is>
          <t>K1</t>
        </is>
      </c>
      <c r="D141" s="11" t="inlineStr">
        <is>
          <t>Invoiced Value</t>
        </is>
      </c>
      <c r="E141" s="64" t="inlineStr">
        <is>
          <t>MVND</t>
        </is>
      </c>
      <c r="F141" s="75" t="inlineStr">
        <is>
          <t>Phasing</t>
        </is>
      </c>
      <c r="G141" s="56">
        <f>SUM(H141:BO141)</f>
        <v/>
      </c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  <c r="AG141" s="52" t="n"/>
      <c r="AH141" s="52" t="n"/>
      <c r="AI141" s="52" t="n"/>
      <c r="AJ141" s="52" t="n"/>
      <c r="AK141" s="52" t="n"/>
      <c r="AL141" s="52" t="n"/>
      <c r="AM141" s="52" t="n"/>
      <c r="AN141" s="52" t="n"/>
      <c r="AO141" s="52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  <c r="BB141" s="52" t="n"/>
      <c r="BC141" s="52" t="n"/>
      <c r="BD141" s="52" t="n"/>
      <c r="BE141" s="52" t="n"/>
      <c r="BF141" s="52" t="n"/>
      <c r="BG141" s="52" t="n"/>
      <c r="BH141" s="52" t="n"/>
      <c r="BI141" s="52" t="n"/>
      <c r="BJ141" s="52" t="n"/>
      <c r="BK141" s="52" t="n"/>
      <c r="BL141" s="52" t="n"/>
      <c r="BM141" s="52" t="n"/>
      <c r="BN141" s="52" t="n"/>
      <c r="BO141" s="52" t="n"/>
    </row>
    <row r="142">
      <c r="A142" s="66" t="n"/>
      <c r="B142" s="66" t="n"/>
      <c r="C142" s="66" t="n"/>
      <c r="D142" s="66" t="n"/>
      <c r="E142" s="66" t="n"/>
      <c r="F142" s="75" t="inlineStr">
        <is>
          <t>Actual</t>
        </is>
      </c>
      <c r="G142" s="56">
        <f>SUM(H142:BO142)</f>
        <v/>
      </c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  <c r="BF142" s="52" t="n"/>
      <c r="BG142" s="52" t="n"/>
      <c r="BH142" s="52" t="n"/>
      <c r="BI142" s="52" t="n"/>
      <c r="BJ142" s="52" t="n"/>
      <c r="BK142" s="52" t="n"/>
      <c r="BL142" s="52" t="n"/>
      <c r="BM142" s="52" t="n"/>
      <c r="BN142" s="52" t="n"/>
      <c r="BO142" s="52" t="n"/>
    </row>
    <row r="143">
      <c r="A143" s="66" t="n"/>
      <c r="B143" s="66" t="n"/>
      <c r="C143" s="67" t="n"/>
      <c r="D143" s="67" t="n"/>
      <c r="E143" s="67" t="n"/>
      <c r="F143" s="68" t="inlineStr">
        <is>
          <t>% Achieved</t>
        </is>
      </c>
      <c r="G143" s="69">
        <f>IFERROR(G142/G141,"")</f>
        <v/>
      </c>
      <c r="H143" s="70">
        <f>IFERROR(H142/H141,"")</f>
        <v/>
      </c>
      <c r="I143" s="70">
        <f>IFERROR(I142/I141,"")</f>
        <v/>
      </c>
      <c r="J143" s="70">
        <f>IFERROR(J142/J141,"")</f>
        <v/>
      </c>
      <c r="K143" s="70">
        <f>IFERROR(K142/K141,"")</f>
        <v/>
      </c>
      <c r="L143" s="70">
        <f>IFERROR(L142/L141,"")</f>
        <v/>
      </c>
      <c r="M143" s="70">
        <f>IFERROR(M142/M141,"")</f>
        <v/>
      </c>
      <c r="N143" s="70">
        <f>IFERROR(N142/N141,"")</f>
        <v/>
      </c>
      <c r="O143" s="70">
        <f>IFERROR(O142/O141,"")</f>
        <v/>
      </c>
      <c r="P143" s="70">
        <f>IFERROR(P142/P141,"")</f>
        <v/>
      </c>
      <c r="Q143" s="70">
        <f>IFERROR(Q142/Q141,"")</f>
        <v/>
      </c>
      <c r="R143" s="70">
        <f>IFERROR(R142/R141,"")</f>
        <v/>
      </c>
      <c r="S143" s="70">
        <f>IFERROR(S142/S141,"")</f>
        <v/>
      </c>
      <c r="T143" s="70">
        <f>IFERROR(T142/T141,"")</f>
        <v/>
      </c>
      <c r="U143" s="70">
        <f>IFERROR(U142/U141,"")</f>
        <v/>
      </c>
      <c r="V143" s="70">
        <f>IFERROR(V142/V141,"")</f>
        <v/>
      </c>
      <c r="W143" s="70">
        <f>IFERROR(W142/W141,"")</f>
        <v/>
      </c>
      <c r="X143" s="70">
        <f>IFERROR(X142/X141,"")</f>
        <v/>
      </c>
      <c r="Y143" s="70">
        <f>IFERROR(Y142/Y141,"")</f>
        <v/>
      </c>
      <c r="Z143" s="70">
        <f>IFERROR(Z142/Z141,"")</f>
        <v/>
      </c>
      <c r="AA143" s="70">
        <f>IFERROR(AA142/AA141,"")</f>
        <v/>
      </c>
      <c r="AB143" s="70">
        <f>IFERROR(AB142/AB141,"")</f>
        <v/>
      </c>
      <c r="AC143" s="70">
        <f>IFERROR(AC142/AC141,"")</f>
        <v/>
      </c>
      <c r="AD143" s="70">
        <f>IFERROR(AD142/AD141,"")</f>
        <v/>
      </c>
      <c r="AE143" s="70">
        <f>IFERROR(AE142/AE141,"")</f>
        <v/>
      </c>
      <c r="AF143" s="70">
        <f>IFERROR(AF142/AF141,"")</f>
        <v/>
      </c>
      <c r="AG143" s="70">
        <f>IFERROR(AG142/AG141,"")</f>
        <v/>
      </c>
      <c r="AH143" s="70">
        <f>IFERROR(AH142/AH141,"")</f>
        <v/>
      </c>
      <c r="AI143" s="70">
        <f>IFERROR(AI142/AI141,"")</f>
        <v/>
      </c>
      <c r="AJ143" s="70">
        <f>IFERROR(AJ142/AJ141,"")</f>
        <v/>
      </c>
      <c r="AK143" s="70">
        <f>IFERROR(AK142/AK141,"")</f>
        <v/>
      </c>
      <c r="AL143" s="70">
        <f>IFERROR(AL142/AL141,"")</f>
        <v/>
      </c>
      <c r="AM143" s="70">
        <f>IFERROR(AM142/AM141,"")</f>
        <v/>
      </c>
      <c r="AN143" s="70">
        <f>IFERROR(AN142/AN141,"")</f>
        <v/>
      </c>
      <c r="AO143" s="70">
        <f>IFERROR(AO142/AO141,"")</f>
        <v/>
      </c>
      <c r="AP143" s="70">
        <f>IFERROR(AP142/AP141,"")</f>
        <v/>
      </c>
      <c r="AQ143" s="70">
        <f>IFERROR(AQ142/AQ141,"")</f>
        <v/>
      </c>
      <c r="AR143" s="70">
        <f>IFERROR(AR142/AR141,"")</f>
        <v/>
      </c>
      <c r="AS143" s="70">
        <f>IFERROR(AS142/AS141,"")</f>
        <v/>
      </c>
      <c r="AT143" s="70">
        <f>IFERROR(AT142/AT141,"")</f>
        <v/>
      </c>
      <c r="AU143" s="70">
        <f>IFERROR(AU142/AU141,"")</f>
        <v/>
      </c>
      <c r="AV143" s="70">
        <f>IFERROR(AV142/AV141,"")</f>
        <v/>
      </c>
      <c r="AW143" s="70">
        <f>IFERROR(AW142/AW141,"")</f>
        <v/>
      </c>
      <c r="AX143" s="70">
        <f>IFERROR(AX142/AX141,"")</f>
        <v/>
      </c>
      <c r="AY143" s="70">
        <f>IFERROR(AY142/AY141,"")</f>
        <v/>
      </c>
      <c r="AZ143" s="70">
        <f>IFERROR(AZ142/AZ141,"")</f>
        <v/>
      </c>
      <c r="BA143" s="70">
        <f>IFERROR(BA142/BA141,"")</f>
        <v/>
      </c>
      <c r="BB143" s="70">
        <f>IFERROR(BB142/BB141,"")</f>
        <v/>
      </c>
      <c r="BC143" s="70">
        <f>IFERROR(BC142/BC141,"")</f>
        <v/>
      </c>
      <c r="BD143" s="70">
        <f>IFERROR(BD142/BD141,"")</f>
        <v/>
      </c>
      <c r="BE143" s="70">
        <f>IFERROR(BE142/BE141,"")</f>
        <v/>
      </c>
      <c r="BF143" s="70">
        <f>IFERROR(BF142/BF141,"")</f>
        <v/>
      </c>
      <c r="BG143" s="70">
        <f>IFERROR(BG142/BG141,"")</f>
        <v/>
      </c>
      <c r="BH143" s="70">
        <f>IFERROR(BH142/BH141,"")</f>
        <v/>
      </c>
      <c r="BI143" s="70">
        <f>IFERROR(BI142/BI141,"")</f>
        <v/>
      </c>
      <c r="BJ143" s="70">
        <f>IFERROR(BJ142/BJ141,"")</f>
        <v/>
      </c>
      <c r="BK143" s="70">
        <f>IFERROR(BK142/BK141,"")</f>
        <v/>
      </c>
      <c r="BL143" s="70">
        <f>IFERROR(BL142/BL141,"")</f>
        <v/>
      </c>
      <c r="BM143" s="70">
        <f>IFERROR(BM142/BM141,"")</f>
        <v/>
      </c>
      <c r="BN143" s="70">
        <f>IFERROR(BN142/BN141,"")</f>
        <v/>
      </c>
      <c r="BO143" s="70">
        <f>IFERROR(BO142/BO141,"")</f>
        <v/>
      </c>
    </row>
    <row r="144">
      <c r="A144" s="66" t="n"/>
      <c r="B144" s="66" t="n"/>
      <c r="C144" s="63" t="inlineStr">
        <is>
          <t>K2</t>
        </is>
      </c>
      <c r="D144" s="11" t="inlineStr">
        <is>
          <t>Key account approach / Site check</t>
        </is>
      </c>
      <c r="E144" s="64" t="inlineStr">
        <is>
          <t>Roadshow</t>
        </is>
      </c>
      <c r="F144" s="75" t="inlineStr">
        <is>
          <t>Phasing</t>
        </is>
      </c>
      <c r="G144" s="56">
        <f>SUM(H144:BO144)</f>
        <v/>
      </c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  <c r="AG144" s="52" t="n"/>
      <c r="AH144" s="52" t="n"/>
      <c r="AI144" s="52" t="n"/>
      <c r="AJ144" s="52" t="n"/>
      <c r="AK144" s="52" t="n"/>
      <c r="AL144" s="52" t="n"/>
      <c r="AM144" s="52" t="n"/>
      <c r="AN144" s="52" t="n"/>
      <c r="AO144" s="52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  <c r="BB144" s="52" t="n"/>
      <c r="BC144" s="52" t="n"/>
      <c r="BD144" s="52" t="n"/>
      <c r="BE144" s="52" t="n"/>
      <c r="BF144" s="52" t="n"/>
      <c r="BG144" s="52" t="n"/>
      <c r="BH144" s="52" t="n"/>
      <c r="BI144" s="52" t="n"/>
      <c r="BJ144" s="52" t="n"/>
      <c r="BK144" s="52" t="n"/>
      <c r="BL144" s="52" t="n"/>
      <c r="BM144" s="52" t="n"/>
      <c r="BN144" s="52" t="n"/>
      <c r="BO144" s="52" t="n"/>
    </row>
    <row r="145">
      <c r="A145" s="66" t="n"/>
      <c r="B145" s="66" t="n"/>
      <c r="C145" s="66" t="n"/>
      <c r="D145" s="66" t="n"/>
      <c r="E145" s="66" t="n"/>
      <c r="F145" s="75" t="inlineStr">
        <is>
          <t>Actual</t>
        </is>
      </c>
      <c r="G145" s="56">
        <f>SUM(H145:BO145)</f>
        <v/>
      </c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  <c r="BF145" s="52" t="n"/>
      <c r="BG145" s="52" t="n"/>
      <c r="BH145" s="52" t="n"/>
      <c r="BI145" s="52" t="n"/>
      <c r="BJ145" s="52" t="n"/>
      <c r="BK145" s="52" t="n"/>
      <c r="BL145" s="52" t="n"/>
      <c r="BM145" s="52" t="n"/>
      <c r="BN145" s="52" t="n"/>
      <c r="BO145" s="52" t="n"/>
    </row>
    <row r="146">
      <c r="A146" s="66" t="n"/>
      <c r="B146" s="66" t="n"/>
      <c r="C146" s="67" t="n"/>
      <c r="D146" s="67" t="n"/>
      <c r="E146" s="67" t="n"/>
      <c r="F146" s="68" t="inlineStr">
        <is>
          <t>% Achieved</t>
        </is>
      </c>
      <c r="G146" s="69">
        <f>IFERROR(G145/G144,"")</f>
        <v/>
      </c>
      <c r="H146" s="70">
        <f>IFERROR(H145/H144,"")</f>
        <v/>
      </c>
      <c r="I146" s="70">
        <f>IFERROR(I145/I144,"")</f>
        <v/>
      </c>
      <c r="J146" s="70">
        <f>IFERROR(J145/J144,"")</f>
        <v/>
      </c>
      <c r="K146" s="70">
        <f>IFERROR(K145/K144,"")</f>
        <v/>
      </c>
      <c r="L146" s="70">
        <f>IFERROR(L145/L144,"")</f>
        <v/>
      </c>
      <c r="M146" s="70">
        <f>IFERROR(M145/M144,"")</f>
        <v/>
      </c>
      <c r="N146" s="70">
        <f>IFERROR(N145/N144,"")</f>
        <v/>
      </c>
      <c r="O146" s="70">
        <f>IFERROR(O145/O144,"")</f>
        <v/>
      </c>
      <c r="P146" s="70">
        <f>IFERROR(P145/P144,"")</f>
        <v/>
      </c>
      <c r="Q146" s="70">
        <f>IFERROR(Q145/Q144,"")</f>
        <v/>
      </c>
      <c r="R146" s="70">
        <f>IFERROR(R145/R144,"")</f>
        <v/>
      </c>
      <c r="S146" s="70">
        <f>IFERROR(S145/S144,"")</f>
        <v/>
      </c>
      <c r="T146" s="70">
        <f>IFERROR(T145/T144,"")</f>
        <v/>
      </c>
      <c r="U146" s="70">
        <f>IFERROR(U145/U144,"")</f>
        <v/>
      </c>
      <c r="V146" s="70">
        <f>IFERROR(V145/V144,"")</f>
        <v/>
      </c>
      <c r="W146" s="70">
        <f>IFERROR(W145/W144,"")</f>
        <v/>
      </c>
      <c r="X146" s="70">
        <f>IFERROR(X145/X144,"")</f>
        <v/>
      </c>
      <c r="Y146" s="70">
        <f>IFERROR(Y145/Y144,"")</f>
        <v/>
      </c>
      <c r="Z146" s="70">
        <f>IFERROR(Z145/Z144,"")</f>
        <v/>
      </c>
      <c r="AA146" s="70">
        <f>IFERROR(AA145/AA144,"")</f>
        <v/>
      </c>
      <c r="AB146" s="70">
        <f>IFERROR(AB145/AB144,"")</f>
        <v/>
      </c>
      <c r="AC146" s="70">
        <f>IFERROR(AC145/AC144,"")</f>
        <v/>
      </c>
      <c r="AD146" s="70">
        <f>IFERROR(AD145/AD144,"")</f>
        <v/>
      </c>
      <c r="AE146" s="70">
        <f>IFERROR(AE145/AE144,"")</f>
        <v/>
      </c>
      <c r="AF146" s="70">
        <f>IFERROR(AF145/AF144,"")</f>
        <v/>
      </c>
      <c r="AG146" s="70">
        <f>IFERROR(AG145/AG144,"")</f>
        <v/>
      </c>
      <c r="AH146" s="70">
        <f>IFERROR(AH145/AH144,"")</f>
        <v/>
      </c>
      <c r="AI146" s="70">
        <f>IFERROR(AI145/AI144,"")</f>
        <v/>
      </c>
      <c r="AJ146" s="70">
        <f>IFERROR(AJ145/AJ144,"")</f>
        <v/>
      </c>
      <c r="AK146" s="70">
        <f>IFERROR(AK145/AK144,"")</f>
        <v/>
      </c>
      <c r="AL146" s="70">
        <f>IFERROR(AL145/AL144,"")</f>
        <v/>
      </c>
      <c r="AM146" s="70">
        <f>IFERROR(AM145/AM144,"")</f>
        <v/>
      </c>
      <c r="AN146" s="70">
        <f>IFERROR(AN145/AN144,"")</f>
        <v/>
      </c>
      <c r="AO146" s="70">
        <f>IFERROR(AO145/AO144,"")</f>
        <v/>
      </c>
      <c r="AP146" s="70">
        <f>IFERROR(AP145/AP144,"")</f>
        <v/>
      </c>
      <c r="AQ146" s="70">
        <f>IFERROR(AQ145/AQ144,"")</f>
        <v/>
      </c>
      <c r="AR146" s="70">
        <f>IFERROR(AR145/AR144,"")</f>
        <v/>
      </c>
      <c r="AS146" s="70">
        <f>IFERROR(AS145/AS144,"")</f>
        <v/>
      </c>
      <c r="AT146" s="70">
        <f>IFERROR(AT145/AT144,"")</f>
        <v/>
      </c>
      <c r="AU146" s="70">
        <f>IFERROR(AU145/AU144,"")</f>
        <v/>
      </c>
      <c r="AV146" s="70">
        <f>IFERROR(AV145/AV144,"")</f>
        <v/>
      </c>
      <c r="AW146" s="70">
        <f>IFERROR(AW145/AW144,"")</f>
        <v/>
      </c>
      <c r="AX146" s="70">
        <f>IFERROR(AX145/AX144,"")</f>
        <v/>
      </c>
      <c r="AY146" s="70">
        <f>IFERROR(AY145/AY144,"")</f>
        <v/>
      </c>
      <c r="AZ146" s="70">
        <f>IFERROR(AZ145/AZ144,"")</f>
        <v/>
      </c>
      <c r="BA146" s="70">
        <f>IFERROR(BA145/BA144,"")</f>
        <v/>
      </c>
      <c r="BB146" s="70">
        <f>IFERROR(BB145/BB144,"")</f>
        <v/>
      </c>
      <c r="BC146" s="70">
        <f>IFERROR(BC145/BC144,"")</f>
        <v/>
      </c>
      <c r="BD146" s="70">
        <f>IFERROR(BD145/BD144,"")</f>
        <v/>
      </c>
      <c r="BE146" s="70">
        <f>IFERROR(BE145/BE144,"")</f>
        <v/>
      </c>
      <c r="BF146" s="70">
        <f>IFERROR(BF145/BF144,"")</f>
        <v/>
      </c>
      <c r="BG146" s="70">
        <f>IFERROR(BG145/BG144,"")</f>
        <v/>
      </c>
      <c r="BH146" s="70">
        <f>IFERROR(BH145/BH144,"")</f>
        <v/>
      </c>
      <c r="BI146" s="70">
        <f>IFERROR(BI145/BI144,"")</f>
        <v/>
      </c>
      <c r="BJ146" s="70">
        <f>IFERROR(BJ145/BJ144,"")</f>
        <v/>
      </c>
      <c r="BK146" s="70">
        <f>IFERROR(BK145/BK144,"")</f>
        <v/>
      </c>
      <c r="BL146" s="70">
        <f>IFERROR(BL145/BL144,"")</f>
        <v/>
      </c>
      <c r="BM146" s="70">
        <f>IFERROR(BM145/BM144,"")</f>
        <v/>
      </c>
      <c r="BN146" s="70">
        <f>IFERROR(BN145/BN144,"")</f>
        <v/>
      </c>
      <c r="BO146" s="70">
        <f>IFERROR(BO145/BO144,"")</f>
        <v/>
      </c>
    </row>
    <row r="147">
      <c r="A147" s="66" t="n"/>
      <c r="B147" s="66" t="n"/>
      <c r="C147" s="71" t="inlineStr">
        <is>
          <t>K3</t>
        </is>
      </c>
      <c r="D147" s="37" t="inlineStr">
        <is>
          <t>Spec-in Value</t>
        </is>
      </c>
      <c r="E147" s="72" t="inlineStr">
        <is>
          <t>MVND</t>
        </is>
      </c>
      <c r="F147" s="75" t="inlineStr">
        <is>
          <t>Phasing</t>
        </is>
      </c>
      <c r="G147" s="56">
        <f>SUM(H147:BO147)</f>
        <v/>
      </c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  <c r="AG147" s="52" t="n"/>
      <c r="AH147" s="52" t="n"/>
      <c r="AI147" s="52" t="n"/>
      <c r="AJ147" s="52" t="n"/>
      <c r="AK147" s="52" t="n"/>
      <c r="AL147" s="52" t="n"/>
      <c r="AM147" s="52" t="n"/>
      <c r="AN147" s="52" t="n"/>
      <c r="AO147" s="52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  <c r="BB147" s="52" t="n"/>
      <c r="BC147" s="52" t="n"/>
      <c r="BD147" s="52" t="n"/>
      <c r="BE147" s="52" t="n"/>
      <c r="BF147" s="52" t="n"/>
      <c r="BG147" s="52" t="n"/>
      <c r="BH147" s="52" t="n"/>
      <c r="BI147" s="52" t="n"/>
      <c r="BJ147" s="52" t="n"/>
      <c r="BK147" s="52" t="n"/>
      <c r="BL147" s="52" t="n"/>
      <c r="BM147" s="52" t="n"/>
      <c r="BN147" s="52" t="n"/>
      <c r="BO147" s="52" t="n"/>
    </row>
    <row r="148">
      <c r="A148" s="66" t="n"/>
      <c r="B148" s="66" t="n"/>
      <c r="C148" s="66" t="n"/>
      <c r="D148" s="66" t="n"/>
      <c r="E148" s="66" t="n"/>
      <c r="F148" s="75" t="inlineStr">
        <is>
          <t>Actual</t>
        </is>
      </c>
      <c r="G148" s="56">
        <f>SUM(H148:BO148)</f>
        <v/>
      </c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  <c r="AG148" s="52" t="n"/>
      <c r="AH148" s="52" t="n"/>
      <c r="AI148" s="52" t="n"/>
      <c r="AJ148" s="52" t="n"/>
      <c r="AK148" s="52" t="n"/>
      <c r="AL148" s="52" t="n"/>
      <c r="AM148" s="52" t="n"/>
      <c r="AN148" s="52" t="n"/>
      <c r="AO148" s="52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  <c r="BB148" s="52" t="n"/>
      <c r="BC148" s="52" t="n"/>
      <c r="BD148" s="52" t="n"/>
      <c r="BE148" s="52" t="n"/>
      <c r="BF148" s="52" t="n"/>
      <c r="BG148" s="52" t="n"/>
      <c r="BH148" s="52" t="n"/>
      <c r="BI148" s="52" t="n"/>
      <c r="BJ148" s="52" t="n"/>
      <c r="BK148" s="52" t="n"/>
      <c r="BL148" s="52" t="n"/>
      <c r="BM148" s="52" t="n"/>
      <c r="BN148" s="52" t="n"/>
      <c r="BO148" s="52" t="n"/>
    </row>
    <row r="149">
      <c r="A149" s="66" t="n"/>
      <c r="B149" s="66" t="n"/>
      <c r="C149" s="67" t="n"/>
      <c r="D149" s="67" t="n"/>
      <c r="E149" s="67" t="n"/>
      <c r="F149" s="68" t="inlineStr">
        <is>
          <t>% Achieved</t>
        </is>
      </c>
      <c r="G149" s="69">
        <f>IFERROR(G148/G147,"")</f>
        <v/>
      </c>
      <c r="H149" s="70">
        <f>IFERROR(H148/H147,"")</f>
        <v/>
      </c>
      <c r="I149" s="70">
        <f>IFERROR(I148/I147,"")</f>
        <v/>
      </c>
      <c r="J149" s="70">
        <f>IFERROR(J148/J147,"")</f>
        <v/>
      </c>
      <c r="K149" s="70">
        <f>IFERROR(K148/K147,"")</f>
        <v/>
      </c>
      <c r="L149" s="70">
        <f>IFERROR(L148/L147,"")</f>
        <v/>
      </c>
      <c r="M149" s="70">
        <f>IFERROR(M148/M147,"")</f>
        <v/>
      </c>
      <c r="N149" s="70">
        <f>IFERROR(N148/N147,"")</f>
        <v/>
      </c>
      <c r="O149" s="70">
        <f>IFERROR(O148/O147,"")</f>
        <v/>
      </c>
      <c r="P149" s="70">
        <f>IFERROR(P148/P147,"")</f>
        <v/>
      </c>
      <c r="Q149" s="70">
        <f>IFERROR(Q148/Q147,"")</f>
        <v/>
      </c>
      <c r="R149" s="70">
        <f>IFERROR(R148/R147,"")</f>
        <v/>
      </c>
      <c r="S149" s="70">
        <f>IFERROR(S148/S147,"")</f>
        <v/>
      </c>
      <c r="T149" s="70">
        <f>IFERROR(T148/T147,"")</f>
        <v/>
      </c>
      <c r="U149" s="70">
        <f>IFERROR(U148/U147,"")</f>
        <v/>
      </c>
      <c r="V149" s="70">
        <f>IFERROR(V148/V147,"")</f>
        <v/>
      </c>
      <c r="W149" s="70">
        <f>IFERROR(W148/W147,"")</f>
        <v/>
      </c>
      <c r="X149" s="70">
        <f>IFERROR(X148/X147,"")</f>
        <v/>
      </c>
      <c r="Y149" s="70">
        <f>IFERROR(Y148/Y147,"")</f>
        <v/>
      </c>
      <c r="Z149" s="70">
        <f>IFERROR(Z148/Z147,"")</f>
        <v/>
      </c>
      <c r="AA149" s="70">
        <f>IFERROR(AA148/AA147,"")</f>
        <v/>
      </c>
      <c r="AB149" s="70">
        <f>IFERROR(AB148/AB147,"")</f>
        <v/>
      </c>
      <c r="AC149" s="70">
        <f>IFERROR(AC148/AC147,"")</f>
        <v/>
      </c>
      <c r="AD149" s="70">
        <f>IFERROR(AD148/AD147,"")</f>
        <v/>
      </c>
      <c r="AE149" s="70">
        <f>IFERROR(AE148/AE147,"")</f>
        <v/>
      </c>
      <c r="AF149" s="70">
        <f>IFERROR(AF148/AF147,"")</f>
        <v/>
      </c>
      <c r="AG149" s="70">
        <f>IFERROR(AG148/AG147,"")</f>
        <v/>
      </c>
      <c r="AH149" s="70">
        <f>IFERROR(AH148/AH147,"")</f>
        <v/>
      </c>
      <c r="AI149" s="70">
        <f>IFERROR(AI148/AI147,"")</f>
        <v/>
      </c>
      <c r="AJ149" s="70">
        <f>IFERROR(AJ148/AJ147,"")</f>
        <v/>
      </c>
      <c r="AK149" s="70">
        <f>IFERROR(AK148/AK147,"")</f>
        <v/>
      </c>
      <c r="AL149" s="70">
        <f>IFERROR(AL148/AL147,"")</f>
        <v/>
      </c>
      <c r="AM149" s="70">
        <f>IFERROR(AM148/AM147,"")</f>
        <v/>
      </c>
      <c r="AN149" s="70">
        <f>IFERROR(AN148/AN147,"")</f>
        <v/>
      </c>
      <c r="AO149" s="70">
        <f>IFERROR(AO148/AO147,"")</f>
        <v/>
      </c>
      <c r="AP149" s="70">
        <f>IFERROR(AP148/AP147,"")</f>
        <v/>
      </c>
      <c r="AQ149" s="70">
        <f>IFERROR(AQ148/AQ147,"")</f>
        <v/>
      </c>
      <c r="AR149" s="70">
        <f>IFERROR(AR148/AR147,"")</f>
        <v/>
      </c>
      <c r="AS149" s="70">
        <f>IFERROR(AS148/AS147,"")</f>
        <v/>
      </c>
      <c r="AT149" s="70">
        <f>IFERROR(AT148/AT147,"")</f>
        <v/>
      </c>
      <c r="AU149" s="70">
        <f>IFERROR(AU148/AU147,"")</f>
        <v/>
      </c>
      <c r="AV149" s="70">
        <f>IFERROR(AV148/AV147,"")</f>
        <v/>
      </c>
      <c r="AW149" s="70">
        <f>IFERROR(AW148/AW147,"")</f>
        <v/>
      </c>
      <c r="AX149" s="70">
        <f>IFERROR(AX148/AX147,"")</f>
        <v/>
      </c>
      <c r="AY149" s="70">
        <f>IFERROR(AY148/AY147,"")</f>
        <v/>
      </c>
      <c r="AZ149" s="70">
        <f>IFERROR(AZ148/AZ147,"")</f>
        <v/>
      </c>
      <c r="BA149" s="70">
        <f>IFERROR(BA148/BA147,"")</f>
        <v/>
      </c>
      <c r="BB149" s="70">
        <f>IFERROR(BB148/BB147,"")</f>
        <v/>
      </c>
      <c r="BC149" s="70">
        <f>IFERROR(BC148/BC147,"")</f>
        <v/>
      </c>
      <c r="BD149" s="70">
        <f>IFERROR(BD148/BD147,"")</f>
        <v/>
      </c>
      <c r="BE149" s="70">
        <f>IFERROR(BE148/BE147,"")</f>
        <v/>
      </c>
      <c r="BF149" s="70">
        <f>IFERROR(BF148/BF147,"")</f>
        <v/>
      </c>
      <c r="BG149" s="70">
        <f>IFERROR(BG148/BG147,"")</f>
        <v/>
      </c>
      <c r="BH149" s="70">
        <f>IFERROR(BH148/BH147,"")</f>
        <v/>
      </c>
      <c r="BI149" s="70">
        <f>IFERROR(BI148/BI147,"")</f>
        <v/>
      </c>
      <c r="BJ149" s="70">
        <f>IFERROR(BJ148/BJ147,"")</f>
        <v/>
      </c>
      <c r="BK149" s="70">
        <f>IFERROR(BK148/BK147,"")</f>
        <v/>
      </c>
      <c r="BL149" s="70">
        <f>IFERROR(BL148/BL147,"")</f>
        <v/>
      </c>
      <c r="BM149" s="70">
        <f>IFERROR(BM148/BM147,"")</f>
        <v/>
      </c>
      <c r="BN149" s="70">
        <f>IFERROR(BN148/BN147,"")</f>
        <v/>
      </c>
      <c r="BO149" s="70">
        <f>IFERROR(BO148/BO147,"")</f>
        <v/>
      </c>
    </row>
    <row r="150">
      <c r="A150" s="66" t="n"/>
      <c r="B150" s="66" t="n"/>
      <c r="C150" s="71" t="inlineStr">
        <is>
          <t>K4</t>
        </is>
      </c>
      <c r="D150" s="37" t="inlineStr">
        <is>
          <t>Engaged Architect (Submit Design)</t>
        </is>
      </c>
      <c r="E150" s="72" t="inlineStr">
        <is>
          <t>D&amp;B</t>
        </is>
      </c>
      <c r="F150" s="75" t="inlineStr">
        <is>
          <t>Phasing</t>
        </is>
      </c>
      <c r="G150" s="56">
        <f>SUM(H150:BO150)</f>
        <v/>
      </c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  <c r="BF150" s="52" t="n"/>
      <c r="BG150" s="52" t="n"/>
      <c r="BH150" s="52" t="n"/>
      <c r="BI150" s="52" t="n"/>
      <c r="BJ150" s="52" t="n"/>
      <c r="BK150" s="52" t="n"/>
      <c r="BL150" s="52" t="n"/>
      <c r="BM150" s="52" t="n"/>
      <c r="BN150" s="52" t="n"/>
      <c r="BO150" s="52" t="n"/>
    </row>
    <row r="151">
      <c r="A151" s="66" t="n"/>
      <c r="B151" s="66" t="n"/>
      <c r="C151" s="66" t="n"/>
      <c r="D151" s="66" t="n"/>
      <c r="E151" s="66" t="n"/>
      <c r="F151" s="75" t="inlineStr">
        <is>
          <t>Actual</t>
        </is>
      </c>
      <c r="G151" s="56">
        <f>SUM(H151:BO151)</f>
        <v/>
      </c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  <c r="AG151" s="52" t="n"/>
      <c r="AH151" s="52" t="n"/>
      <c r="AI151" s="52" t="n"/>
      <c r="AJ151" s="52" t="n"/>
      <c r="AK151" s="52" t="n"/>
      <c r="AL151" s="52" t="n"/>
      <c r="AM151" s="52" t="n"/>
      <c r="AN151" s="52" t="n"/>
      <c r="AO151" s="52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  <c r="BB151" s="52" t="n"/>
      <c r="BC151" s="52" t="n"/>
      <c r="BD151" s="52" t="n"/>
      <c r="BE151" s="52" t="n"/>
      <c r="BF151" s="52" t="n"/>
      <c r="BG151" s="52" t="n"/>
      <c r="BH151" s="52" t="n"/>
      <c r="BI151" s="52" t="n"/>
      <c r="BJ151" s="52" t="n"/>
      <c r="BK151" s="52" t="n"/>
      <c r="BL151" s="52" t="n"/>
      <c r="BM151" s="52" t="n"/>
      <c r="BN151" s="52" t="n"/>
      <c r="BO151" s="52" t="n"/>
    </row>
    <row r="152">
      <c r="A152" s="66" t="n"/>
      <c r="B152" s="66" t="n"/>
      <c r="C152" s="67" t="n"/>
      <c r="D152" s="67" t="n"/>
      <c r="E152" s="67" t="n"/>
      <c r="F152" s="68" t="inlineStr">
        <is>
          <t>% Achieved</t>
        </is>
      </c>
      <c r="G152" s="69">
        <f>IFERROR(G151/G150,"")</f>
        <v/>
      </c>
      <c r="H152" s="70">
        <f>IFERROR(H151/H150,"")</f>
        <v/>
      </c>
      <c r="I152" s="70">
        <f>IFERROR(I151/I150,"")</f>
        <v/>
      </c>
      <c r="J152" s="70">
        <f>IFERROR(J151/J150,"")</f>
        <v/>
      </c>
      <c r="K152" s="70">
        <f>IFERROR(K151/K150,"")</f>
        <v/>
      </c>
      <c r="L152" s="70">
        <f>IFERROR(L151/L150,"")</f>
        <v/>
      </c>
      <c r="M152" s="70">
        <f>IFERROR(M151/M150,"")</f>
        <v/>
      </c>
      <c r="N152" s="70">
        <f>IFERROR(N151/N150,"")</f>
        <v/>
      </c>
      <c r="O152" s="70">
        <f>IFERROR(O151/O150,"")</f>
        <v/>
      </c>
      <c r="P152" s="70">
        <f>IFERROR(P151/P150,"")</f>
        <v/>
      </c>
      <c r="Q152" s="70">
        <f>IFERROR(Q151/Q150,"")</f>
        <v/>
      </c>
      <c r="R152" s="70">
        <f>IFERROR(R151/R150,"")</f>
        <v/>
      </c>
      <c r="S152" s="70">
        <f>IFERROR(S151/S150,"")</f>
        <v/>
      </c>
      <c r="T152" s="70">
        <f>IFERROR(T151/T150,"")</f>
        <v/>
      </c>
      <c r="U152" s="70">
        <f>IFERROR(U151/U150,"")</f>
        <v/>
      </c>
      <c r="V152" s="70">
        <f>IFERROR(V151/V150,"")</f>
        <v/>
      </c>
      <c r="W152" s="70">
        <f>IFERROR(W151/W150,"")</f>
        <v/>
      </c>
      <c r="X152" s="70">
        <f>IFERROR(X151/X150,"")</f>
        <v/>
      </c>
      <c r="Y152" s="70">
        <f>IFERROR(Y151/Y150,"")</f>
        <v/>
      </c>
      <c r="Z152" s="70">
        <f>IFERROR(Z151/Z150,"")</f>
        <v/>
      </c>
      <c r="AA152" s="70">
        <f>IFERROR(AA151/AA150,"")</f>
        <v/>
      </c>
      <c r="AB152" s="70">
        <f>IFERROR(AB151/AB150,"")</f>
        <v/>
      </c>
      <c r="AC152" s="70">
        <f>IFERROR(AC151/AC150,"")</f>
        <v/>
      </c>
      <c r="AD152" s="70">
        <f>IFERROR(AD151/AD150,"")</f>
        <v/>
      </c>
      <c r="AE152" s="70">
        <f>IFERROR(AE151/AE150,"")</f>
        <v/>
      </c>
      <c r="AF152" s="70">
        <f>IFERROR(AF151/AF150,"")</f>
        <v/>
      </c>
      <c r="AG152" s="70">
        <f>IFERROR(AG151/AG150,"")</f>
        <v/>
      </c>
      <c r="AH152" s="70">
        <f>IFERROR(AH151/AH150,"")</f>
        <v/>
      </c>
      <c r="AI152" s="70">
        <f>IFERROR(AI151/AI150,"")</f>
        <v/>
      </c>
      <c r="AJ152" s="70">
        <f>IFERROR(AJ151/AJ150,"")</f>
        <v/>
      </c>
      <c r="AK152" s="70">
        <f>IFERROR(AK151/AK150,"")</f>
        <v/>
      </c>
      <c r="AL152" s="70">
        <f>IFERROR(AL151/AL150,"")</f>
        <v/>
      </c>
      <c r="AM152" s="70">
        <f>IFERROR(AM151/AM150,"")</f>
        <v/>
      </c>
      <c r="AN152" s="70">
        <f>IFERROR(AN151/AN150,"")</f>
        <v/>
      </c>
      <c r="AO152" s="70">
        <f>IFERROR(AO151/AO150,"")</f>
        <v/>
      </c>
      <c r="AP152" s="70">
        <f>IFERROR(AP151/AP150,"")</f>
        <v/>
      </c>
      <c r="AQ152" s="70">
        <f>IFERROR(AQ151/AQ150,"")</f>
        <v/>
      </c>
      <c r="AR152" s="70">
        <f>IFERROR(AR151/AR150,"")</f>
        <v/>
      </c>
      <c r="AS152" s="70">
        <f>IFERROR(AS151/AS150,"")</f>
        <v/>
      </c>
      <c r="AT152" s="70">
        <f>IFERROR(AT151/AT150,"")</f>
        <v/>
      </c>
      <c r="AU152" s="70">
        <f>IFERROR(AU151/AU150,"")</f>
        <v/>
      </c>
      <c r="AV152" s="70">
        <f>IFERROR(AV151/AV150,"")</f>
        <v/>
      </c>
      <c r="AW152" s="70">
        <f>IFERROR(AW151/AW150,"")</f>
        <v/>
      </c>
      <c r="AX152" s="70">
        <f>IFERROR(AX151/AX150,"")</f>
        <v/>
      </c>
      <c r="AY152" s="70">
        <f>IFERROR(AY151/AY150,"")</f>
        <v/>
      </c>
      <c r="AZ152" s="70">
        <f>IFERROR(AZ151/AZ150,"")</f>
        <v/>
      </c>
      <c r="BA152" s="70">
        <f>IFERROR(BA151/BA150,"")</f>
        <v/>
      </c>
      <c r="BB152" s="70">
        <f>IFERROR(BB151/BB150,"")</f>
        <v/>
      </c>
      <c r="BC152" s="70">
        <f>IFERROR(BC151/BC150,"")</f>
        <v/>
      </c>
      <c r="BD152" s="70">
        <f>IFERROR(BD151/BD150,"")</f>
        <v/>
      </c>
      <c r="BE152" s="70">
        <f>IFERROR(BE151/BE150,"")</f>
        <v/>
      </c>
      <c r="BF152" s="70">
        <f>IFERROR(BF151/BF150,"")</f>
        <v/>
      </c>
      <c r="BG152" s="70">
        <f>IFERROR(BG151/BG150,"")</f>
        <v/>
      </c>
      <c r="BH152" s="70">
        <f>IFERROR(BH151/BH150,"")</f>
        <v/>
      </c>
      <c r="BI152" s="70">
        <f>IFERROR(BI151/BI150,"")</f>
        <v/>
      </c>
      <c r="BJ152" s="70">
        <f>IFERROR(BJ151/BJ150,"")</f>
        <v/>
      </c>
      <c r="BK152" s="70">
        <f>IFERROR(BK151/BK150,"")</f>
        <v/>
      </c>
      <c r="BL152" s="70">
        <f>IFERROR(BL151/BL150,"")</f>
        <v/>
      </c>
      <c r="BM152" s="70">
        <f>IFERROR(BM151/BM150,"")</f>
        <v/>
      </c>
      <c r="BN152" s="70">
        <f>IFERROR(BN151/BN150,"")</f>
        <v/>
      </c>
      <c r="BO152" s="70">
        <f>IFERROR(BO151/BO150,"")</f>
        <v/>
      </c>
    </row>
    <row r="153">
      <c r="A153" s="66" t="n"/>
      <c r="B153" s="66" t="n"/>
      <c r="C153" s="73" t="inlineStr">
        <is>
          <t>K5</t>
        </is>
      </c>
      <c r="D153" s="41" t="inlineStr">
        <is>
          <t>Spec-in Design (submitted design)</t>
        </is>
      </c>
      <c r="E153" s="74" t="inlineStr">
        <is>
          <t>Designs</t>
        </is>
      </c>
      <c r="F153" s="75" t="inlineStr">
        <is>
          <t>Phasing</t>
        </is>
      </c>
      <c r="G153" s="56">
        <f>SUM(H153:BO153)</f>
        <v/>
      </c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  <c r="AG153" s="52" t="n"/>
      <c r="AH153" s="52" t="n"/>
      <c r="AI153" s="52" t="n"/>
      <c r="AJ153" s="52" t="n"/>
      <c r="AK153" s="52" t="n"/>
      <c r="AL153" s="52" t="n"/>
      <c r="AM153" s="52" t="n"/>
      <c r="AN153" s="52" t="n"/>
      <c r="AO153" s="52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  <c r="BB153" s="52" t="n"/>
      <c r="BC153" s="52" t="n"/>
      <c r="BD153" s="52" t="n"/>
      <c r="BE153" s="52" t="n"/>
      <c r="BF153" s="52" t="n"/>
      <c r="BG153" s="52" t="n"/>
      <c r="BH153" s="52" t="n"/>
      <c r="BI153" s="52" t="n"/>
      <c r="BJ153" s="52" t="n"/>
      <c r="BK153" s="52" t="n"/>
      <c r="BL153" s="52" t="n"/>
      <c r="BM153" s="52" t="n"/>
      <c r="BN153" s="52" t="n"/>
      <c r="BO153" s="52" t="n"/>
    </row>
    <row r="154">
      <c r="A154" s="66" t="n"/>
      <c r="B154" s="66" t="n"/>
      <c r="C154" s="66" t="n"/>
      <c r="D154" s="66" t="n"/>
      <c r="E154" s="66" t="n"/>
      <c r="F154" s="75" t="inlineStr">
        <is>
          <t>Actual</t>
        </is>
      </c>
      <c r="G154" s="56">
        <f>SUM(H154:BO154)</f>
        <v/>
      </c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  <c r="AG154" s="52" t="n"/>
      <c r="AH154" s="52" t="n"/>
      <c r="AI154" s="52" t="n"/>
      <c r="AJ154" s="52" t="n"/>
      <c r="AK154" s="52" t="n"/>
      <c r="AL154" s="52" t="n"/>
      <c r="AM154" s="52" t="n"/>
      <c r="AN154" s="52" t="n"/>
      <c r="AO154" s="52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  <c r="BB154" s="52" t="n"/>
      <c r="BC154" s="52" t="n"/>
      <c r="BD154" s="52" t="n"/>
      <c r="BE154" s="52" t="n"/>
      <c r="BF154" s="52" t="n"/>
      <c r="BG154" s="52" t="n"/>
      <c r="BH154" s="52" t="n"/>
      <c r="BI154" s="52" t="n"/>
      <c r="BJ154" s="52" t="n"/>
      <c r="BK154" s="52" t="n"/>
      <c r="BL154" s="52" t="n"/>
      <c r="BM154" s="52" t="n"/>
      <c r="BN154" s="52" t="n"/>
      <c r="BO154" s="52" t="n"/>
    </row>
    <row r="155">
      <c r="A155" s="67" t="n"/>
      <c r="B155" s="67" t="n"/>
      <c r="C155" s="67" t="n"/>
      <c r="D155" s="67" t="n"/>
      <c r="E155" s="67" t="n"/>
      <c r="F155" s="68" t="inlineStr">
        <is>
          <t>% Achieved</t>
        </is>
      </c>
      <c r="G155" s="69">
        <f>IFERROR(G154/G153,"")</f>
        <v/>
      </c>
      <c r="H155" s="70">
        <f>IFERROR(H154/H153,"")</f>
        <v/>
      </c>
      <c r="I155" s="70">
        <f>IFERROR(I154/I153,"")</f>
        <v/>
      </c>
      <c r="J155" s="70">
        <f>IFERROR(J154/J153,"")</f>
        <v/>
      </c>
      <c r="K155" s="70">
        <f>IFERROR(K154/K153,"")</f>
        <v/>
      </c>
      <c r="L155" s="70">
        <f>IFERROR(L154/L153,"")</f>
        <v/>
      </c>
      <c r="M155" s="70">
        <f>IFERROR(M154/M153,"")</f>
        <v/>
      </c>
      <c r="N155" s="70">
        <f>IFERROR(N154/N153,"")</f>
        <v/>
      </c>
      <c r="O155" s="70">
        <f>IFERROR(O154/O153,"")</f>
        <v/>
      </c>
      <c r="P155" s="70">
        <f>IFERROR(P154/P153,"")</f>
        <v/>
      </c>
      <c r="Q155" s="70">
        <f>IFERROR(Q154/Q153,"")</f>
        <v/>
      </c>
      <c r="R155" s="70">
        <f>IFERROR(R154/R153,"")</f>
        <v/>
      </c>
      <c r="S155" s="70">
        <f>IFERROR(S154/S153,"")</f>
        <v/>
      </c>
      <c r="T155" s="70">
        <f>IFERROR(T154/T153,"")</f>
        <v/>
      </c>
      <c r="U155" s="70">
        <f>IFERROR(U154/U153,"")</f>
        <v/>
      </c>
      <c r="V155" s="70">
        <f>IFERROR(V154/V153,"")</f>
        <v/>
      </c>
      <c r="W155" s="70">
        <f>IFERROR(W154/W153,"")</f>
        <v/>
      </c>
      <c r="X155" s="70">
        <f>IFERROR(X154/X153,"")</f>
        <v/>
      </c>
      <c r="Y155" s="70">
        <f>IFERROR(Y154/Y153,"")</f>
        <v/>
      </c>
      <c r="Z155" s="70">
        <f>IFERROR(Z154/Z153,"")</f>
        <v/>
      </c>
      <c r="AA155" s="70">
        <f>IFERROR(AA154/AA153,"")</f>
        <v/>
      </c>
      <c r="AB155" s="70">
        <f>IFERROR(AB154/AB153,"")</f>
        <v/>
      </c>
      <c r="AC155" s="70">
        <f>IFERROR(AC154/AC153,"")</f>
        <v/>
      </c>
      <c r="AD155" s="70">
        <f>IFERROR(AD154/AD153,"")</f>
        <v/>
      </c>
      <c r="AE155" s="70">
        <f>IFERROR(AE154/AE153,"")</f>
        <v/>
      </c>
      <c r="AF155" s="70">
        <f>IFERROR(AF154/AF153,"")</f>
        <v/>
      </c>
      <c r="AG155" s="70">
        <f>IFERROR(AG154/AG153,"")</f>
        <v/>
      </c>
      <c r="AH155" s="70">
        <f>IFERROR(AH154/AH153,"")</f>
        <v/>
      </c>
      <c r="AI155" s="70">
        <f>IFERROR(AI154/AI153,"")</f>
        <v/>
      </c>
      <c r="AJ155" s="70">
        <f>IFERROR(AJ154/AJ153,"")</f>
        <v/>
      </c>
      <c r="AK155" s="70">
        <f>IFERROR(AK154/AK153,"")</f>
        <v/>
      </c>
      <c r="AL155" s="70">
        <f>IFERROR(AL154/AL153,"")</f>
        <v/>
      </c>
      <c r="AM155" s="70">
        <f>IFERROR(AM154/AM153,"")</f>
        <v/>
      </c>
      <c r="AN155" s="70">
        <f>IFERROR(AN154/AN153,"")</f>
        <v/>
      </c>
      <c r="AO155" s="70">
        <f>IFERROR(AO154/AO153,"")</f>
        <v/>
      </c>
      <c r="AP155" s="70">
        <f>IFERROR(AP154/AP153,"")</f>
        <v/>
      </c>
      <c r="AQ155" s="70">
        <f>IFERROR(AQ154/AQ153,"")</f>
        <v/>
      </c>
      <c r="AR155" s="70">
        <f>IFERROR(AR154/AR153,"")</f>
        <v/>
      </c>
      <c r="AS155" s="70">
        <f>IFERROR(AS154/AS153,"")</f>
        <v/>
      </c>
      <c r="AT155" s="70">
        <f>IFERROR(AT154/AT153,"")</f>
        <v/>
      </c>
      <c r="AU155" s="70">
        <f>IFERROR(AU154/AU153,"")</f>
        <v/>
      </c>
      <c r="AV155" s="70">
        <f>IFERROR(AV154/AV153,"")</f>
        <v/>
      </c>
      <c r="AW155" s="70">
        <f>IFERROR(AW154/AW153,"")</f>
        <v/>
      </c>
      <c r="AX155" s="70">
        <f>IFERROR(AX154/AX153,"")</f>
        <v/>
      </c>
      <c r="AY155" s="70">
        <f>IFERROR(AY154/AY153,"")</f>
        <v/>
      </c>
      <c r="AZ155" s="70">
        <f>IFERROR(AZ154/AZ153,"")</f>
        <v/>
      </c>
      <c r="BA155" s="70">
        <f>IFERROR(BA154/BA153,"")</f>
        <v/>
      </c>
      <c r="BB155" s="70">
        <f>IFERROR(BB154/BB153,"")</f>
        <v/>
      </c>
      <c r="BC155" s="70">
        <f>IFERROR(BC154/BC153,"")</f>
        <v/>
      </c>
      <c r="BD155" s="70">
        <f>IFERROR(BD154/BD153,"")</f>
        <v/>
      </c>
      <c r="BE155" s="70">
        <f>IFERROR(BE154/BE153,"")</f>
        <v/>
      </c>
      <c r="BF155" s="70">
        <f>IFERROR(BF154/BF153,"")</f>
        <v/>
      </c>
      <c r="BG155" s="70">
        <f>IFERROR(BG154/BG153,"")</f>
        <v/>
      </c>
      <c r="BH155" s="70">
        <f>IFERROR(BH154/BH153,"")</f>
        <v/>
      </c>
      <c r="BI155" s="70">
        <f>IFERROR(BI154/BI153,"")</f>
        <v/>
      </c>
      <c r="BJ155" s="70">
        <f>IFERROR(BJ154/BJ153,"")</f>
        <v/>
      </c>
      <c r="BK155" s="70">
        <f>IFERROR(BK154/BK153,"")</f>
        <v/>
      </c>
      <c r="BL155" s="70">
        <f>IFERROR(BL154/BL153,"")</f>
        <v/>
      </c>
      <c r="BM155" s="70">
        <f>IFERROR(BM154/BM153,"")</f>
        <v/>
      </c>
      <c r="BN155" s="70">
        <f>IFERROR(BN154/BN153,"")</f>
        <v/>
      </c>
      <c r="BO155" s="70">
        <f>IFERROR(BO154/BO153,"")</f>
        <v/>
      </c>
    </row>
    <row r="156">
      <c r="A156" s="61">
        <f>IFERROR(INDEX(Team_Master!$C$6:$C$20,11),"")</f>
        <v/>
      </c>
      <c r="B156" s="62">
        <f>IFERROR(INDEX(Team_Master!$G$6:$G$20,11),"")</f>
        <v/>
      </c>
      <c r="C156" s="63" t="inlineStr">
        <is>
          <t>K1</t>
        </is>
      </c>
      <c r="D156" s="11" t="inlineStr">
        <is>
          <t>Invoiced Value</t>
        </is>
      </c>
      <c r="E156" s="64" t="inlineStr">
        <is>
          <t>MVND</t>
        </is>
      </c>
      <c r="F156" s="65" t="inlineStr">
        <is>
          <t>Phasing</t>
        </is>
      </c>
      <c r="G156" s="56">
        <f>SUM(H156:BO156)</f>
        <v/>
      </c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  <c r="BF156" s="52" t="n"/>
      <c r="BG156" s="52" t="n"/>
      <c r="BH156" s="52" t="n"/>
      <c r="BI156" s="52" t="n"/>
      <c r="BJ156" s="52" t="n"/>
      <c r="BK156" s="52" t="n"/>
      <c r="BL156" s="52" t="n"/>
      <c r="BM156" s="52" t="n"/>
      <c r="BN156" s="52" t="n"/>
      <c r="BO156" s="52" t="n"/>
    </row>
    <row r="157">
      <c r="A157" s="66" t="n"/>
      <c r="B157" s="66" t="n"/>
      <c r="C157" s="66" t="n"/>
      <c r="D157" s="66" t="n"/>
      <c r="E157" s="66" t="n"/>
      <c r="F157" s="65" t="inlineStr">
        <is>
          <t>Actual</t>
        </is>
      </c>
      <c r="G157" s="56">
        <f>SUM(H157:BO157)</f>
        <v/>
      </c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  <c r="AG157" s="52" t="n"/>
      <c r="AH157" s="52" t="n"/>
      <c r="AI157" s="52" t="n"/>
      <c r="AJ157" s="52" t="n"/>
      <c r="AK157" s="52" t="n"/>
      <c r="AL157" s="52" t="n"/>
      <c r="AM157" s="52" t="n"/>
      <c r="AN157" s="52" t="n"/>
      <c r="AO157" s="52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  <c r="BB157" s="52" t="n"/>
      <c r="BC157" s="52" t="n"/>
      <c r="BD157" s="52" t="n"/>
      <c r="BE157" s="52" t="n"/>
      <c r="BF157" s="52" t="n"/>
      <c r="BG157" s="52" t="n"/>
      <c r="BH157" s="52" t="n"/>
      <c r="BI157" s="52" t="n"/>
      <c r="BJ157" s="52" t="n"/>
      <c r="BK157" s="52" t="n"/>
      <c r="BL157" s="52" t="n"/>
      <c r="BM157" s="52" t="n"/>
      <c r="BN157" s="52" t="n"/>
      <c r="BO157" s="52" t="n"/>
    </row>
    <row r="158">
      <c r="A158" s="66" t="n"/>
      <c r="B158" s="66" t="n"/>
      <c r="C158" s="67" t="n"/>
      <c r="D158" s="67" t="n"/>
      <c r="E158" s="67" t="n"/>
      <c r="F158" s="68" t="inlineStr">
        <is>
          <t>% Achieved</t>
        </is>
      </c>
      <c r="G158" s="69">
        <f>IFERROR(G157/G156,"")</f>
        <v/>
      </c>
      <c r="H158" s="70">
        <f>IFERROR(H157/H156,"")</f>
        <v/>
      </c>
      <c r="I158" s="70">
        <f>IFERROR(I157/I156,"")</f>
        <v/>
      </c>
      <c r="J158" s="70">
        <f>IFERROR(J157/J156,"")</f>
        <v/>
      </c>
      <c r="K158" s="70">
        <f>IFERROR(K157/K156,"")</f>
        <v/>
      </c>
      <c r="L158" s="70">
        <f>IFERROR(L157/L156,"")</f>
        <v/>
      </c>
      <c r="M158" s="70">
        <f>IFERROR(M157/M156,"")</f>
        <v/>
      </c>
      <c r="N158" s="70">
        <f>IFERROR(N157/N156,"")</f>
        <v/>
      </c>
      <c r="O158" s="70">
        <f>IFERROR(O157/O156,"")</f>
        <v/>
      </c>
      <c r="P158" s="70">
        <f>IFERROR(P157/P156,"")</f>
        <v/>
      </c>
      <c r="Q158" s="70">
        <f>IFERROR(Q157/Q156,"")</f>
        <v/>
      </c>
      <c r="R158" s="70">
        <f>IFERROR(R157/R156,"")</f>
        <v/>
      </c>
      <c r="S158" s="70">
        <f>IFERROR(S157/S156,"")</f>
        <v/>
      </c>
      <c r="T158" s="70">
        <f>IFERROR(T157/T156,"")</f>
        <v/>
      </c>
      <c r="U158" s="70">
        <f>IFERROR(U157/U156,"")</f>
        <v/>
      </c>
      <c r="V158" s="70">
        <f>IFERROR(V157/V156,"")</f>
        <v/>
      </c>
      <c r="W158" s="70">
        <f>IFERROR(W157/W156,"")</f>
        <v/>
      </c>
      <c r="X158" s="70">
        <f>IFERROR(X157/X156,"")</f>
        <v/>
      </c>
      <c r="Y158" s="70">
        <f>IFERROR(Y157/Y156,"")</f>
        <v/>
      </c>
      <c r="Z158" s="70">
        <f>IFERROR(Z157/Z156,"")</f>
        <v/>
      </c>
      <c r="AA158" s="70">
        <f>IFERROR(AA157/AA156,"")</f>
        <v/>
      </c>
      <c r="AB158" s="70">
        <f>IFERROR(AB157/AB156,"")</f>
        <v/>
      </c>
      <c r="AC158" s="70">
        <f>IFERROR(AC157/AC156,"")</f>
        <v/>
      </c>
      <c r="AD158" s="70">
        <f>IFERROR(AD157/AD156,"")</f>
        <v/>
      </c>
      <c r="AE158" s="70">
        <f>IFERROR(AE157/AE156,"")</f>
        <v/>
      </c>
      <c r="AF158" s="70">
        <f>IFERROR(AF157/AF156,"")</f>
        <v/>
      </c>
      <c r="AG158" s="70">
        <f>IFERROR(AG157/AG156,"")</f>
        <v/>
      </c>
      <c r="AH158" s="70">
        <f>IFERROR(AH157/AH156,"")</f>
        <v/>
      </c>
      <c r="AI158" s="70">
        <f>IFERROR(AI157/AI156,"")</f>
        <v/>
      </c>
      <c r="AJ158" s="70">
        <f>IFERROR(AJ157/AJ156,"")</f>
        <v/>
      </c>
      <c r="AK158" s="70">
        <f>IFERROR(AK157/AK156,"")</f>
        <v/>
      </c>
      <c r="AL158" s="70">
        <f>IFERROR(AL157/AL156,"")</f>
        <v/>
      </c>
      <c r="AM158" s="70">
        <f>IFERROR(AM157/AM156,"")</f>
        <v/>
      </c>
      <c r="AN158" s="70">
        <f>IFERROR(AN157/AN156,"")</f>
        <v/>
      </c>
      <c r="AO158" s="70">
        <f>IFERROR(AO157/AO156,"")</f>
        <v/>
      </c>
      <c r="AP158" s="70">
        <f>IFERROR(AP157/AP156,"")</f>
        <v/>
      </c>
      <c r="AQ158" s="70">
        <f>IFERROR(AQ157/AQ156,"")</f>
        <v/>
      </c>
      <c r="AR158" s="70">
        <f>IFERROR(AR157/AR156,"")</f>
        <v/>
      </c>
      <c r="AS158" s="70">
        <f>IFERROR(AS157/AS156,"")</f>
        <v/>
      </c>
      <c r="AT158" s="70">
        <f>IFERROR(AT157/AT156,"")</f>
        <v/>
      </c>
      <c r="AU158" s="70">
        <f>IFERROR(AU157/AU156,"")</f>
        <v/>
      </c>
      <c r="AV158" s="70">
        <f>IFERROR(AV157/AV156,"")</f>
        <v/>
      </c>
      <c r="AW158" s="70">
        <f>IFERROR(AW157/AW156,"")</f>
        <v/>
      </c>
      <c r="AX158" s="70">
        <f>IFERROR(AX157/AX156,"")</f>
        <v/>
      </c>
      <c r="AY158" s="70">
        <f>IFERROR(AY157/AY156,"")</f>
        <v/>
      </c>
      <c r="AZ158" s="70">
        <f>IFERROR(AZ157/AZ156,"")</f>
        <v/>
      </c>
      <c r="BA158" s="70">
        <f>IFERROR(BA157/BA156,"")</f>
        <v/>
      </c>
      <c r="BB158" s="70">
        <f>IFERROR(BB157/BB156,"")</f>
        <v/>
      </c>
      <c r="BC158" s="70">
        <f>IFERROR(BC157/BC156,"")</f>
        <v/>
      </c>
      <c r="BD158" s="70">
        <f>IFERROR(BD157/BD156,"")</f>
        <v/>
      </c>
      <c r="BE158" s="70">
        <f>IFERROR(BE157/BE156,"")</f>
        <v/>
      </c>
      <c r="BF158" s="70">
        <f>IFERROR(BF157/BF156,"")</f>
        <v/>
      </c>
      <c r="BG158" s="70">
        <f>IFERROR(BG157/BG156,"")</f>
        <v/>
      </c>
      <c r="BH158" s="70">
        <f>IFERROR(BH157/BH156,"")</f>
        <v/>
      </c>
      <c r="BI158" s="70">
        <f>IFERROR(BI157/BI156,"")</f>
        <v/>
      </c>
      <c r="BJ158" s="70">
        <f>IFERROR(BJ157/BJ156,"")</f>
        <v/>
      </c>
      <c r="BK158" s="70">
        <f>IFERROR(BK157/BK156,"")</f>
        <v/>
      </c>
      <c r="BL158" s="70">
        <f>IFERROR(BL157/BL156,"")</f>
        <v/>
      </c>
      <c r="BM158" s="70">
        <f>IFERROR(BM157/BM156,"")</f>
        <v/>
      </c>
      <c r="BN158" s="70">
        <f>IFERROR(BN157/BN156,"")</f>
        <v/>
      </c>
      <c r="BO158" s="70">
        <f>IFERROR(BO157/BO156,"")</f>
        <v/>
      </c>
    </row>
    <row r="159">
      <c r="A159" s="66" t="n"/>
      <c r="B159" s="66" t="n"/>
      <c r="C159" s="63" t="inlineStr">
        <is>
          <t>K2</t>
        </is>
      </c>
      <c r="D159" s="11" t="inlineStr">
        <is>
          <t>Key account approach / Site check</t>
        </is>
      </c>
      <c r="E159" s="64" t="inlineStr">
        <is>
          <t>Roadshow</t>
        </is>
      </c>
      <c r="F159" s="65" t="inlineStr">
        <is>
          <t>Phasing</t>
        </is>
      </c>
      <c r="G159" s="56">
        <f>SUM(H159:BO159)</f>
        <v/>
      </c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  <c r="AG159" s="52" t="n"/>
      <c r="AH159" s="52" t="n"/>
      <c r="AI159" s="52" t="n"/>
      <c r="AJ159" s="52" t="n"/>
      <c r="AK159" s="52" t="n"/>
      <c r="AL159" s="52" t="n"/>
      <c r="AM159" s="52" t="n"/>
      <c r="AN159" s="52" t="n"/>
      <c r="AO159" s="52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  <c r="BB159" s="52" t="n"/>
      <c r="BC159" s="52" t="n"/>
      <c r="BD159" s="52" t="n"/>
      <c r="BE159" s="52" t="n"/>
      <c r="BF159" s="52" t="n"/>
      <c r="BG159" s="52" t="n"/>
      <c r="BH159" s="52" t="n"/>
      <c r="BI159" s="52" t="n"/>
      <c r="BJ159" s="52" t="n"/>
      <c r="BK159" s="52" t="n"/>
      <c r="BL159" s="52" t="n"/>
      <c r="BM159" s="52" t="n"/>
      <c r="BN159" s="52" t="n"/>
      <c r="BO159" s="52" t="n"/>
    </row>
    <row r="160">
      <c r="A160" s="66" t="n"/>
      <c r="B160" s="66" t="n"/>
      <c r="C160" s="66" t="n"/>
      <c r="D160" s="66" t="n"/>
      <c r="E160" s="66" t="n"/>
      <c r="F160" s="65" t="inlineStr">
        <is>
          <t>Actual</t>
        </is>
      </c>
      <c r="G160" s="56">
        <f>SUM(H160:BO160)</f>
        <v/>
      </c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  <c r="BF160" s="52" t="n"/>
      <c r="BG160" s="52" t="n"/>
      <c r="BH160" s="52" t="n"/>
      <c r="BI160" s="52" t="n"/>
      <c r="BJ160" s="52" t="n"/>
      <c r="BK160" s="52" t="n"/>
      <c r="BL160" s="52" t="n"/>
      <c r="BM160" s="52" t="n"/>
      <c r="BN160" s="52" t="n"/>
      <c r="BO160" s="52" t="n"/>
    </row>
    <row r="161">
      <c r="A161" s="66" t="n"/>
      <c r="B161" s="66" t="n"/>
      <c r="C161" s="67" t="n"/>
      <c r="D161" s="67" t="n"/>
      <c r="E161" s="67" t="n"/>
      <c r="F161" s="68" t="inlineStr">
        <is>
          <t>% Achieved</t>
        </is>
      </c>
      <c r="G161" s="69">
        <f>IFERROR(G160/G159,"")</f>
        <v/>
      </c>
      <c r="H161" s="70">
        <f>IFERROR(H160/H159,"")</f>
        <v/>
      </c>
      <c r="I161" s="70">
        <f>IFERROR(I160/I159,"")</f>
        <v/>
      </c>
      <c r="J161" s="70">
        <f>IFERROR(J160/J159,"")</f>
        <v/>
      </c>
      <c r="K161" s="70">
        <f>IFERROR(K160/K159,"")</f>
        <v/>
      </c>
      <c r="L161" s="70">
        <f>IFERROR(L160/L159,"")</f>
        <v/>
      </c>
      <c r="M161" s="70">
        <f>IFERROR(M160/M159,"")</f>
        <v/>
      </c>
      <c r="N161" s="70">
        <f>IFERROR(N160/N159,"")</f>
        <v/>
      </c>
      <c r="O161" s="70">
        <f>IFERROR(O160/O159,"")</f>
        <v/>
      </c>
      <c r="P161" s="70">
        <f>IFERROR(P160/P159,"")</f>
        <v/>
      </c>
      <c r="Q161" s="70">
        <f>IFERROR(Q160/Q159,"")</f>
        <v/>
      </c>
      <c r="R161" s="70">
        <f>IFERROR(R160/R159,"")</f>
        <v/>
      </c>
      <c r="S161" s="70">
        <f>IFERROR(S160/S159,"")</f>
        <v/>
      </c>
      <c r="T161" s="70">
        <f>IFERROR(T160/T159,"")</f>
        <v/>
      </c>
      <c r="U161" s="70">
        <f>IFERROR(U160/U159,"")</f>
        <v/>
      </c>
      <c r="V161" s="70">
        <f>IFERROR(V160/V159,"")</f>
        <v/>
      </c>
      <c r="W161" s="70">
        <f>IFERROR(W160/W159,"")</f>
        <v/>
      </c>
      <c r="X161" s="70">
        <f>IFERROR(X160/X159,"")</f>
        <v/>
      </c>
      <c r="Y161" s="70">
        <f>IFERROR(Y160/Y159,"")</f>
        <v/>
      </c>
      <c r="Z161" s="70">
        <f>IFERROR(Z160/Z159,"")</f>
        <v/>
      </c>
      <c r="AA161" s="70">
        <f>IFERROR(AA160/AA159,"")</f>
        <v/>
      </c>
      <c r="AB161" s="70">
        <f>IFERROR(AB160/AB159,"")</f>
        <v/>
      </c>
      <c r="AC161" s="70">
        <f>IFERROR(AC160/AC159,"")</f>
        <v/>
      </c>
      <c r="AD161" s="70">
        <f>IFERROR(AD160/AD159,"")</f>
        <v/>
      </c>
      <c r="AE161" s="70">
        <f>IFERROR(AE160/AE159,"")</f>
        <v/>
      </c>
      <c r="AF161" s="70">
        <f>IFERROR(AF160/AF159,"")</f>
        <v/>
      </c>
      <c r="AG161" s="70">
        <f>IFERROR(AG160/AG159,"")</f>
        <v/>
      </c>
      <c r="AH161" s="70">
        <f>IFERROR(AH160/AH159,"")</f>
        <v/>
      </c>
      <c r="AI161" s="70">
        <f>IFERROR(AI160/AI159,"")</f>
        <v/>
      </c>
      <c r="AJ161" s="70">
        <f>IFERROR(AJ160/AJ159,"")</f>
        <v/>
      </c>
      <c r="AK161" s="70">
        <f>IFERROR(AK160/AK159,"")</f>
        <v/>
      </c>
      <c r="AL161" s="70">
        <f>IFERROR(AL160/AL159,"")</f>
        <v/>
      </c>
      <c r="AM161" s="70">
        <f>IFERROR(AM160/AM159,"")</f>
        <v/>
      </c>
      <c r="AN161" s="70">
        <f>IFERROR(AN160/AN159,"")</f>
        <v/>
      </c>
      <c r="AO161" s="70">
        <f>IFERROR(AO160/AO159,"")</f>
        <v/>
      </c>
      <c r="AP161" s="70">
        <f>IFERROR(AP160/AP159,"")</f>
        <v/>
      </c>
      <c r="AQ161" s="70">
        <f>IFERROR(AQ160/AQ159,"")</f>
        <v/>
      </c>
      <c r="AR161" s="70">
        <f>IFERROR(AR160/AR159,"")</f>
        <v/>
      </c>
      <c r="AS161" s="70">
        <f>IFERROR(AS160/AS159,"")</f>
        <v/>
      </c>
      <c r="AT161" s="70">
        <f>IFERROR(AT160/AT159,"")</f>
        <v/>
      </c>
      <c r="AU161" s="70">
        <f>IFERROR(AU160/AU159,"")</f>
        <v/>
      </c>
      <c r="AV161" s="70">
        <f>IFERROR(AV160/AV159,"")</f>
        <v/>
      </c>
      <c r="AW161" s="70">
        <f>IFERROR(AW160/AW159,"")</f>
        <v/>
      </c>
      <c r="AX161" s="70">
        <f>IFERROR(AX160/AX159,"")</f>
        <v/>
      </c>
      <c r="AY161" s="70">
        <f>IFERROR(AY160/AY159,"")</f>
        <v/>
      </c>
      <c r="AZ161" s="70">
        <f>IFERROR(AZ160/AZ159,"")</f>
        <v/>
      </c>
      <c r="BA161" s="70">
        <f>IFERROR(BA160/BA159,"")</f>
        <v/>
      </c>
      <c r="BB161" s="70">
        <f>IFERROR(BB160/BB159,"")</f>
        <v/>
      </c>
      <c r="BC161" s="70">
        <f>IFERROR(BC160/BC159,"")</f>
        <v/>
      </c>
      <c r="BD161" s="70">
        <f>IFERROR(BD160/BD159,"")</f>
        <v/>
      </c>
      <c r="BE161" s="70">
        <f>IFERROR(BE160/BE159,"")</f>
        <v/>
      </c>
      <c r="BF161" s="70">
        <f>IFERROR(BF160/BF159,"")</f>
        <v/>
      </c>
      <c r="BG161" s="70">
        <f>IFERROR(BG160/BG159,"")</f>
        <v/>
      </c>
      <c r="BH161" s="70">
        <f>IFERROR(BH160/BH159,"")</f>
        <v/>
      </c>
      <c r="BI161" s="70">
        <f>IFERROR(BI160/BI159,"")</f>
        <v/>
      </c>
      <c r="BJ161" s="70">
        <f>IFERROR(BJ160/BJ159,"")</f>
        <v/>
      </c>
      <c r="BK161" s="70">
        <f>IFERROR(BK160/BK159,"")</f>
        <v/>
      </c>
      <c r="BL161" s="70">
        <f>IFERROR(BL160/BL159,"")</f>
        <v/>
      </c>
      <c r="BM161" s="70">
        <f>IFERROR(BM160/BM159,"")</f>
        <v/>
      </c>
      <c r="BN161" s="70">
        <f>IFERROR(BN160/BN159,"")</f>
        <v/>
      </c>
      <c r="BO161" s="70">
        <f>IFERROR(BO160/BO159,"")</f>
        <v/>
      </c>
    </row>
    <row r="162">
      <c r="A162" s="66" t="n"/>
      <c r="B162" s="66" t="n"/>
      <c r="C162" s="71" t="inlineStr">
        <is>
          <t>K3</t>
        </is>
      </c>
      <c r="D162" s="37" t="inlineStr">
        <is>
          <t>Spec-in Value</t>
        </is>
      </c>
      <c r="E162" s="72" t="inlineStr">
        <is>
          <t>MVND</t>
        </is>
      </c>
      <c r="F162" s="65" t="inlineStr">
        <is>
          <t>Phasing</t>
        </is>
      </c>
      <c r="G162" s="56">
        <f>SUM(H162:BO162)</f>
        <v/>
      </c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  <c r="AG162" s="52" t="n"/>
      <c r="AH162" s="52" t="n"/>
      <c r="AI162" s="52" t="n"/>
      <c r="AJ162" s="52" t="n"/>
      <c r="AK162" s="52" t="n"/>
      <c r="AL162" s="52" t="n"/>
      <c r="AM162" s="52" t="n"/>
      <c r="AN162" s="52" t="n"/>
      <c r="AO162" s="52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  <c r="BB162" s="52" t="n"/>
      <c r="BC162" s="52" t="n"/>
      <c r="BD162" s="52" t="n"/>
      <c r="BE162" s="52" t="n"/>
      <c r="BF162" s="52" t="n"/>
      <c r="BG162" s="52" t="n"/>
      <c r="BH162" s="52" t="n"/>
      <c r="BI162" s="52" t="n"/>
      <c r="BJ162" s="52" t="n"/>
      <c r="BK162" s="52" t="n"/>
      <c r="BL162" s="52" t="n"/>
      <c r="BM162" s="52" t="n"/>
      <c r="BN162" s="52" t="n"/>
      <c r="BO162" s="52" t="n"/>
    </row>
    <row r="163">
      <c r="A163" s="66" t="n"/>
      <c r="B163" s="66" t="n"/>
      <c r="C163" s="66" t="n"/>
      <c r="D163" s="66" t="n"/>
      <c r="E163" s="66" t="n"/>
      <c r="F163" s="65" t="inlineStr">
        <is>
          <t>Actual</t>
        </is>
      </c>
      <c r="G163" s="56">
        <f>SUM(H163:BO163)</f>
        <v/>
      </c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  <c r="AG163" s="52" t="n"/>
      <c r="AH163" s="52" t="n"/>
      <c r="AI163" s="52" t="n"/>
      <c r="AJ163" s="52" t="n"/>
      <c r="AK163" s="52" t="n"/>
      <c r="AL163" s="52" t="n"/>
      <c r="AM163" s="52" t="n"/>
      <c r="AN163" s="52" t="n"/>
      <c r="AO163" s="52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  <c r="BB163" s="52" t="n"/>
      <c r="BC163" s="52" t="n"/>
      <c r="BD163" s="52" t="n"/>
      <c r="BE163" s="52" t="n"/>
      <c r="BF163" s="52" t="n"/>
      <c r="BG163" s="52" t="n"/>
      <c r="BH163" s="52" t="n"/>
      <c r="BI163" s="52" t="n"/>
      <c r="BJ163" s="52" t="n"/>
      <c r="BK163" s="52" t="n"/>
      <c r="BL163" s="52" t="n"/>
      <c r="BM163" s="52" t="n"/>
      <c r="BN163" s="52" t="n"/>
      <c r="BO163" s="52" t="n"/>
    </row>
    <row r="164">
      <c r="A164" s="66" t="n"/>
      <c r="B164" s="66" t="n"/>
      <c r="C164" s="67" t="n"/>
      <c r="D164" s="67" t="n"/>
      <c r="E164" s="67" t="n"/>
      <c r="F164" s="68" t="inlineStr">
        <is>
          <t>% Achieved</t>
        </is>
      </c>
      <c r="G164" s="69">
        <f>IFERROR(G163/G162,"")</f>
        <v/>
      </c>
      <c r="H164" s="70">
        <f>IFERROR(H163/H162,"")</f>
        <v/>
      </c>
      <c r="I164" s="70">
        <f>IFERROR(I163/I162,"")</f>
        <v/>
      </c>
      <c r="J164" s="70">
        <f>IFERROR(J163/J162,"")</f>
        <v/>
      </c>
      <c r="K164" s="70">
        <f>IFERROR(K163/K162,"")</f>
        <v/>
      </c>
      <c r="L164" s="70">
        <f>IFERROR(L163/L162,"")</f>
        <v/>
      </c>
      <c r="M164" s="70">
        <f>IFERROR(M163/M162,"")</f>
        <v/>
      </c>
      <c r="N164" s="70">
        <f>IFERROR(N163/N162,"")</f>
        <v/>
      </c>
      <c r="O164" s="70">
        <f>IFERROR(O163/O162,"")</f>
        <v/>
      </c>
      <c r="P164" s="70">
        <f>IFERROR(P163/P162,"")</f>
        <v/>
      </c>
      <c r="Q164" s="70">
        <f>IFERROR(Q163/Q162,"")</f>
        <v/>
      </c>
      <c r="R164" s="70">
        <f>IFERROR(R163/R162,"")</f>
        <v/>
      </c>
      <c r="S164" s="70">
        <f>IFERROR(S163/S162,"")</f>
        <v/>
      </c>
      <c r="T164" s="70">
        <f>IFERROR(T163/T162,"")</f>
        <v/>
      </c>
      <c r="U164" s="70">
        <f>IFERROR(U163/U162,"")</f>
        <v/>
      </c>
      <c r="V164" s="70">
        <f>IFERROR(V163/V162,"")</f>
        <v/>
      </c>
      <c r="W164" s="70">
        <f>IFERROR(W163/W162,"")</f>
        <v/>
      </c>
      <c r="X164" s="70">
        <f>IFERROR(X163/X162,"")</f>
        <v/>
      </c>
      <c r="Y164" s="70">
        <f>IFERROR(Y163/Y162,"")</f>
        <v/>
      </c>
      <c r="Z164" s="70">
        <f>IFERROR(Z163/Z162,"")</f>
        <v/>
      </c>
      <c r="AA164" s="70">
        <f>IFERROR(AA163/AA162,"")</f>
        <v/>
      </c>
      <c r="AB164" s="70">
        <f>IFERROR(AB163/AB162,"")</f>
        <v/>
      </c>
      <c r="AC164" s="70">
        <f>IFERROR(AC163/AC162,"")</f>
        <v/>
      </c>
      <c r="AD164" s="70">
        <f>IFERROR(AD163/AD162,"")</f>
        <v/>
      </c>
      <c r="AE164" s="70">
        <f>IFERROR(AE163/AE162,"")</f>
        <v/>
      </c>
      <c r="AF164" s="70">
        <f>IFERROR(AF163/AF162,"")</f>
        <v/>
      </c>
      <c r="AG164" s="70">
        <f>IFERROR(AG163/AG162,"")</f>
        <v/>
      </c>
      <c r="AH164" s="70">
        <f>IFERROR(AH163/AH162,"")</f>
        <v/>
      </c>
      <c r="AI164" s="70">
        <f>IFERROR(AI163/AI162,"")</f>
        <v/>
      </c>
      <c r="AJ164" s="70">
        <f>IFERROR(AJ163/AJ162,"")</f>
        <v/>
      </c>
      <c r="AK164" s="70">
        <f>IFERROR(AK163/AK162,"")</f>
        <v/>
      </c>
      <c r="AL164" s="70">
        <f>IFERROR(AL163/AL162,"")</f>
        <v/>
      </c>
      <c r="AM164" s="70">
        <f>IFERROR(AM163/AM162,"")</f>
        <v/>
      </c>
      <c r="AN164" s="70">
        <f>IFERROR(AN163/AN162,"")</f>
        <v/>
      </c>
      <c r="AO164" s="70">
        <f>IFERROR(AO163/AO162,"")</f>
        <v/>
      </c>
      <c r="AP164" s="70">
        <f>IFERROR(AP163/AP162,"")</f>
        <v/>
      </c>
      <c r="AQ164" s="70">
        <f>IFERROR(AQ163/AQ162,"")</f>
        <v/>
      </c>
      <c r="AR164" s="70">
        <f>IFERROR(AR163/AR162,"")</f>
        <v/>
      </c>
      <c r="AS164" s="70">
        <f>IFERROR(AS163/AS162,"")</f>
        <v/>
      </c>
      <c r="AT164" s="70">
        <f>IFERROR(AT163/AT162,"")</f>
        <v/>
      </c>
      <c r="AU164" s="70">
        <f>IFERROR(AU163/AU162,"")</f>
        <v/>
      </c>
      <c r="AV164" s="70">
        <f>IFERROR(AV163/AV162,"")</f>
        <v/>
      </c>
      <c r="AW164" s="70">
        <f>IFERROR(AW163/AW162,"")</f>
        <v/>
      </c>
      <c r="AX164" s="70">
        <f>IFERROR(AX163/AX162,"")</f>
        <v/>
      </c>
      <c r="AY164" s="70">
        <f>IFERROR(AY163/AY162,"")</f>
        <v/>
      </c>
      <c r="AZ164" s="70">
        <f>IFERROR(AZ163/AZ162,"")</f>
        <v/>
      </c>
      <c r="BA164" s="70">
        <f>IFERROR(BA163/BA162,"")</f>
        <v/>
      </c>
      <c r="BB164" s="70">
        <f>IFERROR(BB163/BB162,"")</f>
        <v/>
      </c>
      <c r="BC164" s="70">
        <f>IFERROR(BC163/BC162,"")</f>
        <v/>
      </c>
      <c r="BD164" s="70">
        <f>IFERROR(BD163/BD162,"")</f>
        <v/>
      </c>
      <c r="BE164" s="70">
        <f>IFERROR(BE163/BE162,"")</f>
        <v/>
      </c>
      <c r="BF164" s="70">
        <f>IFERROR(BF163/BF162,"")</f>
        <v/>
      </c>
      <c r="BG164" s="70">
        <f>IFERROR(BG163/BG162,"")</f>
        <v/>
      </c>
      <c r="BH164" s="70">
        <f>IFERROR(BH163/BH162,"")</f>
        <v/>
      </c>
      <c r="BI164" s="70">
        <f>IFERROR(BI163/BI162,"")</f>
        <v/>
      </c>
      <c r="BJ164" s="70">
        <f>IFERROR(BJ163/BJ162,"")</f>
        <v/>
      </c>
      <c r="BK164" s="70">
        <f>IFERROR(BK163/BK162,"")</f>
        <v/>
      </c>
      <c r="BL164" s="70">
        <f>IFERROR(BL163/BL162,"")</f>
        <v/>
      </c>
      <c r="BM164" s="70">
        <f>IFERROR(BM163/BM162,"")</f>
        <v/>
      </c>
      <c r="BN164" s="70">
        <f>IFERROR(BN163/BN162,"")</f>
        <v/>
      </c>
      <c r="BO164" s="70">
        <f>IFERROR(BO163/BO162,"")</f>
        <v/>
      </c>
    </row>
    <row r="165">
      <c r="A165" s="66" t="n"/>
      <c r="B165" s="66" t="n"/>
      <c r="C165" s="71" t="inlineStr">
        <is>
          <t>K4</t>
        </is>
      </c>
      <c r="D165" s="37" t="inlineStr">
        <is>
          <t>Engaged Architect (Submit Design)</t>
        </is>
      </c>
      <c r="E165" s="72" t="inlineStr">
        <is>
          <t>D&amp;B</t>
        </is>
      </c>
      <c r="F165" s="65" t="inlineStr">
        <is>
          <t>Phasing</t>
        </is>
      </c>
      <c r="G165" s="56">
        <f>SUM(H165:BO165)</f>
        <v/>
      </c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  <c r="BF165" s="52" t="n"/>
      <c r="BG165" s="52" t="n"/>
      <c r="BH165" s="52" t="n"/>
      <c r="BI165" s="52" t="n"/>
      <c r="BJ165" s="52" t="n"/>
      <c r="BK165" s="52" t="n"/>
      <c r="BL165" s="52" t="n"/>
      <c r="BM165" s="52" t="n"/>
      <c r="BN165" s="52" t="n"/>
      <c r="BO165" s="52" t="n"/>
    </row>
    <row r="166">
      <c r="A166" s="66" t="n"/>
      <c r="B166" s="66" t="n"/>
      <c r="C166" s="66" t="n"/>
      <c r="D166" s="66" t="n"/>
      <c r="E166" s="66" t="n"/>
      <c r="F166" s="65" t="inlineStr">
        <is>
          <t>Actual</t>
        </is>
      </c>
      <c r="G166" s="56">
        <f>SUM(H166:BO166)</f>
        <v/>
      </c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  <c r="AG166" s="52" t="n"/>
      <c r="AH166" s="52" t="n"/>
      <c r="AI166" s="52" t="n"/>
      <c r="AJ166" s="52" t="n"/>
      <c r="AK166" s="52" t="n"/>
      <c r="AL166" s="52" t="n"/>
      <c r="AM166" s="52" t="n"/>
      <c r="AN166" s="52" t="n"/>
      <c r="AO166" s="52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  <c r="BB166" s="52" t="n"/>
      <c r="BC166" s="52" t="n"/>
      <c r="BD166" s="52" t="n"/>
      <c r="BE166" s="52" t="n"/>
      <c r="BF166" s="52" t="n"/>
      <c r="BG166" s="52" t="n"/>
      <c r="BH166" s="52" t="n"/>
      <c r="BI166" s="52" t="n"/>
      <c r="BJ166" s="52" t="n"/>
      <c r="BK166" s="52" t="n"/>
      <c r="BL166" s="52" t="n"/>
      <c r="BM166" s="52" t="n"/>
      <c r="BN166" s="52" t="n"/>
      <c r="BO166" s="52" t="n"/>
    </row>
    <row r="167">
      <c r="A167" s="66" t="n"/>
      <c r="B167" s="66" t="n"/>
      <c r="C167" s="67" t="n"/>
      <c r="D167" s="67" t="n"/>
      <c r="E167" s="67" t="n"/>
      <c r="F167" s="68" t="inlineStr">
        <is>
          <t>% Achieved</t>
        </is>
      </c>
      <c r="G167" s="69">
        <f>IFERROR(G166/G165,"")</f>
        <v/>
      </c>
      <c r="H167" s="70">
        <f>IFERROR(H166/H165,"")</f>
        <v/>
      </c>
      <c r="I167" s="70">
        <f>IFERROR(I166/I165,"")</f>
        <v/>
      </c>
      <c r="J167" s="70">
        <f>IFERROR(J166/J165,"")</f>
        <v/>
      </c>
      <c r="K167" s="70">
        <f>IFERROR(K166/K165,"")</f>
        <v/>
      </c>
      <c r="L167" s="70">
        <f>IFERROR(L166/L165,"")</f>
        <v/>
      </c>
      <c r="M167" s="70">
        <f>IFERROR(M166/M165,"")</f>
        <v/>
      </c>
      <c r="N167" s="70">
        <f>IFERROR(N166/N165,"")</f>
        <v/>
      </c>
      <c r="O167" s="70">
        <f>IFERROR(O166/O165,"")</f>
        <v/>
      </c>
      <c r="P167" s="70">
        <f>IFERROR(P166/P165,"")</f>
        <v/>
      </c>
      <c r="Q167" s="70">
        <f>IFERROR(Q166/Q165,"")</f>
        <v/>
      </c>
      <c r="R167" s="70">
        <f>IFERROR(R166/R165,"")</f>
        <v/>
      </c>
      <c r="S167" s="70">
        <f>IFERROR(S166/S165,"")</f>
        <v/>
      </c>
      <c r="T167" s="70">
        <f>IFERROR(T166/T165,"")</f>
        <v/>
      </c>
      <c r="U167" s="70">
        <f>IFERROR(U166/U165,"")</f>
        <v/>
      </c>
      <c r="V167" s="70">
        <f>IFERROR(V166/V165,"")</f>
        <v/>
      </c>
      <c r="W167" s="70">
        <f>IFERROR(W166/W165,"")</f>
        <v/>
      </c>
      <c r="X167" s="70">
        <f>IFERROR(X166/X165,"")</f>
        <v/>
      </c>
      <c r="Y167" s="70">
        <f>IFERROR(Y166/Y165,"")</f>
        <v/>
      </c>
      <c r="Z167" s="70">
        <f>IFERROR(Z166/Z165,"")</f>
        <v/>
      </c>
      <c r="AA167" s="70">
        <f>IFERROR(AA166/AA165,"")</f>
        <v/>
      </c>
      <c r="AB167" s="70">
        <f>IFERROR(AB166/AB165,"")</f>
        <v/>
      </c>
      <c r="AC167" s="70">
        <f>IFERROR(AC166/AC165,"")</f>
        <v/>
      </c>
      <c r="AD167" s="70">
        <f>IFERROR(AD166/AD165,"")</f>
        <v/>
      </c>
      <c r="AE167" s="70">
        <f>IFERROR(AE166/AE165,"")</f>
        <v/>
      </c>
      <c r="AF167" s="70">
        <f>IFERROR(AF166/AF165,"")</f>
        <v/>
      </c>
      <c r="AG167" s="70">
        <f>IFERROR(AG166/AG165,"")</f>
        <v/>
      </c>
      <c r="AH167" s="70">
        <f>IFERROR(AH166/AH165,"")</f>
        <v/>
      </c>
      <c r="AI167" s="70">
        <f>IFERROR(AI166/AI165,"")</f>
        <v/>
      </c>
      <c r="AJ167" s="70">
        <f>IFERROR(AJ166/AJ165,"")</f>
        <v/>
      </c>
      <c r="AK167" s="70">
        <f>IFERROR(AK166/AK165,"")</f>
        <v/>
      </c>
      <c r="AL167" s="70">
        <f>IFERROR(AL166/AL165,"")</f>
        <v/>
      </c>
      <c r="AM167" s="70">
        <f>IFERROR(AM166/AM165,"")</f>
        <v/>
      </c>
      <c r="AN167" s="70">
        <f>IFERROR(AN166/AN165,"")</f>
        <v/>
      </c>
      <c r="AO167" s="70">
        <f>IFERROR(AO166/AO165,"")</f>
        <v/>
      </c>
      <c r="AP167" s="70">
        <f>IFERROR(AP166/AP165,"")</f>
        <v/>
      </c>
      <c r="AQ167" s="70">
        <f>IFERROR(AQ166/AQ165,"")</f>
        <v/>
      </c>
      <c r="AR167" s="70">
        <f>IFERROR(AR166/AR165,"")</f>
        <v/>
      </c>
      <c r="AS167" s="70">
        <f>IFERROR(AS166/AS165,"")</f>
        <v/>
      </c>
      <c r="AT167" s="70">
        <f>IFERROR(AT166/AT165,"")</f>
        <v/>
      </c>
      <c r="AU167" s="70">
        <f>IFERROR(AU166/AU165,"")</f>
        <v/>
      </c>
      <c r="AV167" s="70">
        <f>IFERROR(AV166/AV165,"")</f>
        <v/>
      </c>
      <c r="AW167" s="70">
        <f>IFERROR(AW166/AW165,"")</f>
        <v/>
      </c>
      <c r="AX167" s="70">
        <f>IFERROR(AX166/AX165,"")</f>
        <v/>
      </c>
      <c r="AY167" s="70">
        <f>IFERROR(AY166/AY165,"")</f>
        <v/>
      </c>
      <c r="AZ167" s="70">
        <f>IFERROR(AZ166/AZ165,"")</f>
        <v/>
      </c>
      <c r="BA167" s="70">
        <f>IFERROR(BA166/BA165,"")</f>
        <v/>
      </c>
      <c r="BB167" s="70">
        <f>IFERROR(BB166/BB165,"")</f>
        <v/>
      </c>
      <c r="BC167" s="70">
        <f>IFERROR(BC166/BC165,"")</f>
        <v/>
      </c>
      <c r="BD167" s="70">
        <f>IFERROR(BD166/BD165,"")</f>
        <v/>
      </c>
      <c r="BE167" s="70">
        <f>IFERROR(BE166/BE165,"")</f>
        <v/>
      </c>
      <c r="BF167" s="70">
        <f>IFERROR(BF166/BF165,"")</f>
        <v/>
      </c>
      <c r="BG167" s="70">
        <f>IFERROR(BG166/BG165,"")</f>
        <v/>
      </c>
      <c r="BH167" s="70">
        <f>IFERROR(BH166/BH165,"")</f>
        <v/>
      </c>
      <c r="BI167" s="70">
        <f>IFERROR(BI166/BI165,"")</f>
        <v/>
      </c>
      <c r="BJ167" s="70">
        <f>IFERROR(BJ166/BJ165,"")</f>
        <v/>
      </c>
      <c r="BK167" s="70">
        <f>IFERROR(BK166/BK165,"")</f>
        <v/>
      </c>
      <c r="BL167" s="70">
        <f>IFERROR(BL166/BL165,"")</f>
        <v/>
      </c>
      <c r="BM167" s="70">
        <f>IFERROR(BM166/BM165,"")</f>
        <v/>
      </c>
      <c r="BN167" s="70">
        <f>IFERROR(BN166/BN165,"")</f>
        <v/>
      </c>
      <c r="BO167" s="70">
        <f>IFERROR(BO166/BO165,"")</f>
        <v/>
      </c>
    </row>
    <row r="168">
      <c r="A168" s="66" t="n"/>
      <c r="B168" s="66" t="n"/>
      <c r="C168" s="73" t="inlineStr">
        <is>
          <t>K5</t>
        </is>
      </c>
      <c r="D168" s="41" t="inlineStr">
        <is>
          <t>Spec-in Design (submitted design)</t>
        </is>
      </c>
      <c r="E168" s="74" t="inlineStr">
        <is>
          <t>Designs</t>
        </is>
      </c>
      <c r="F168" s="65" t="inlineStr">
        <is>
          <t>Phasing</t>
        </is>
      </c>
      <c r="G168" s="56">
        <f>SUM(H168:BO168)</f>
        <v/>
      </c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  <c r="AG168" s="52" t="n"/>
      <c r="AH168" s="52" t="n"/>
      <c r="AI168" s="52" t="n"/>
      <c r="AJ168" s="52" t="n"/>
      <c r="AK168" s="52" t="n"/>
      <c r="AL168" s="52" t="n"/>
      <c r="AM168" s="52" t="n"/>
      <c r="AN168" s="52" t="n"/>
      <c r="AO168" s="52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  <c r="BB168" s="52" t="n"/>
      <c r="BC168" s="52" t="n"/>
      <c r="BD168" s="52" t="n"/>
      <c r="BE168" s="52" t="n"/>
      <c r="BF168" s="52" t="n"/>
      <c r="BG168" s="52" t="n"/>
      <c r="BH168" s="52" t="n"/>
      <c r="BI168" s="52" t="n"/>
      <c r="BJ168" s="52" t="n"/>
      <c r="BK168" s="52" t="n"/>
      <c r="BL168" s="52" t="n"/>
      <c r="BM168" s="52" t="n"/>
      <c r="BN168" s="52" t="n"/>
      <c r="BO168" s="52" t="n"/>
    </row>
    <row r="169">
      <c r="A169" s="66" t="n"/>
      <c r="B169" s="66" t="n"/>
      <c r="C169" s="66" t="n"/>
      <c r="D169" s="66" t="n"/>
      <c r="E169" s="66" t="n"/>
      <c r="F169" s="65" t="inlineStr">
        <is>
          <t>Actual</t>
        </is>
      </c>
      <c r="G169" s="56">
        <f>SUM(H169:BO169)</f>
        <v/>
      </c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  <c r="AL169" s="52" t="n"/>
      <c r="AM169" s="52" t="n"/>
      <c r="AN169" s="52" t="n"/>
      <c r="AO169" s="52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  <c r="BB169" s="52" t="n"/>
      <c r="BC169" s="52" t="n"/>
      <c r="BD169" s="52" t="n"/>
      <c r="BE169" s="52" t="n"/>
      <c r="BF169" s="52" t="n"/>
      <c r="BG169" s="52" t="n"/>
      <c r="BH169" s="52" t="n"/>
      <c r="BI169" s="52" t="n"/>
      <c r="BJ169" s="52" t="n"/>
      <c r="BK169" s="52" t="n"/>
      <c r="BL169" s="52" t="n"/>
      <c r="BM169" s="52" t="n"/>
      <c r="BN169" s="52" t="n"/>
      <c r="BO169" s="52" t="n"/>
    </row>
    <row r="170">
      <c r="A170" s="67" t="n"/>
      <c r="B170" s="67" t="n"/>
      <c r="C170" s="67" t="n"/>
      <c r="D170" s="67" t="n"/>
      <c r="E170" s="67" t="n"/>
      <c r="F170" s="68" t="inlineStr">
        <is>
          <t>% Achieved</t>
        </is>
      </c>
      <c r="G170" s="69">
        <f>IFERROR(G169/G168,"")</f>
        <v/>
      </c>
      <c r="H170" s="70">
        <f>IFERROR(H169/H168,"")</f>
        <v/>
      </c>
      <c r="I170" s="70">
        <f>IFERROR(I169/I168,"")</f>
        <v/>
      </c>
      <c r="J170" s="70">
        <f>IFERROR(J169/J168,"")</f>
        <v/>
      </c>
      <c r="K170" s="70">
        <f>IFERROR(K169/K168,"")</f>
        <v/>
      </c>
      <c r="L170" s="70">
        <f>IFERROR(L169/L168,"")</f>
        <v/>
      </c>
      <c r="M170" s="70">
        <f>IFERROR(M169/M168,"")</f>
        <v/>
      </c>
      <c r="N170" s="70">
        <f>IFERROR(N169/N168,"")</f>
        <v/>
      </c>
      <c r="O170" s="70">
        <f>IFERROR(O169/O168,"")</f>
        <v/>
      </c>
      <c r="P170" s="70">
        <f>IFERROR(P169/P168,"")</f>
        <v/>
      </c>
      <c r="Q170" s="70">
        <f>IFERROR(Q169/Q168,"")</f>
        <v/>
      </c>
      <c r="R170" s="70">
        <f>IFERROR(R169/R168,"")</f>
        <v/>
      </c>
      <c r="S170" s="70">
        <f>IFERROR(S169/S168,"")</f>
        <v/>
      </c>
      <c r="T170" s="70">
        <f>IFERROR(T169/T168,"")</f>
        <v/>
      </c>
      <c r="U170" s="70">
        <f>IFERROR(U169/U168,"")</f>
        <v/>
      </c>
      <c r="V170" s="70">
        <f>IFERROR(V169/V168,"")</f>
        <v/>
      </c>
      <c r="W170" s="70">
        <f>IFERROR(W169/W168,"")</f>
        <v/>
      </c>
      <c r="X170" s="70">
        <f>IFERROR(X169/X168,"")</f>
        <v/>
      </c>
      <c r="Y170" s="70">
        <f>IFERROR(Y169/Y168,"")</f>
        <v/>
      </c>
      <c r="Z170" s="70">
        <f>IFERROR(Z169/Z168,"")</f>
        <v/>
      </c>
      <c r="AA170" s="70">
        <f>IFERROR(AA169/AA168,"")</f>
        <v/>
      </c>
      <c r="AB170" s="70">
        <f>IFERROR(AB169/AB168,"")</f>
        <v/>
      </c>
      <c r="AC170" s="70">
        <f>IFERROR(AC169/AC168,"")</f>
        <v/>
      </c>
      <c r="AD170" s="70">
        <f>IFERROR(AD169/AD168,"")</f>
        <v/>
      </c>
      <c r="AE170" s="70">
        <f>IFERROR(AE169/AE168,"")</f>
        <v/>
      </c>
      <c r="AF170" s="70">
        <f>IFERROR(AF169/AF168,"")</f>
        <v/>
      </c>
      <c r="AG170" s="70">
        <f>IFERROR(AG169/AG168,"")</f>
        <v/>
      </c>
      <c r="AH170" s="70">
        <f>IFERROR(AH169/AH168,"")</f>
        <v/>
      </c>
      <c r="AI170" s="70">
        <f>IFERROR(AI169/AI168,"")</f>
        <v/>
      </c>
      <c r="AJ170" s="70">
        <f>IFERROR(AJ169/AJ168,"")</f>
        <v/>
      </c>
      <c r="AK170" s="70">
        <f>IFERROR(AK169/AK168,"")</f>
        <v/>
      </c>
      <c r="AL170" s="70">
        <f>IFERROR(AL169/AL168,"")</f>
        <v/>
      </c>
      <c r="AM170" s="70">
        <f>IFERROR(AM169/AM168,"")</f>
        <v/>
      </c>
      <c r="AN170" s="70">
        <f>IFERROR(AN169/AN168,"")</f>
        <v/>
      </c>
      <c r="AO170" s="70">
        <f>IFERROR(AO169/AO168,"")</f>
        <v/>
      </c>
      <c r="AP170" s="70">
        <f>IFERROR(AP169/AP168,"")</f>
        <v/>
      </c>
      <c r="AQ170" s="70">
        <f>IFERROR(AQ169/AQ168,"")</f>
        <v/>
      </c>
      <c r="AR170" s="70">
        <f>IFERROR(AR169/AR168,"")</f>
        <v/>
      </c>
      <c r="AS170" s="70">
        <f>IFERROR(AS169/AS168,"")</f>
        <v/>
      </c>
      <c r="AT170" s="70">
        <f>IFERROR(AT169/AT168,"")</f>
        <v/>
      </c>
      <c r="AU170" s="70">
        <f>IFERROR(AU169/AU168,"")</f>
        <v/>
      </c>
      <c r="AV170" s="70">
        <f>IFERROR(AV169/AV168,"")</f>
        <v/>
      </c>
      <c r="AW170" s="70">
        <f>IFERROR(AW169/AW168,"")</f>
        <v/>
      </c>
      <c r="AX170" s="70">
        <f>IFERROR(AX169/AX168,"")</f>
        <v/>
      </c>
      <c r="AY170" s="70">
        <f>IFERROR(AY169/AY168,"")</f>
        <v/>
      </c>
      <c r="AZ170" s="70">
        <f>IFERROR(AZ169/AZ168,"")</f>
        <v/>
      </c>
      <c r="BA170" s="70">
        <f>IFERROR(BA169/BA168,"")</f>
        <v/>
      </c>
      <c r="BB170" s="70">
        <f>IFERROR(BB169/BB168,"")</f>
        <v/>
      </c>
      <c r="BC170" s="70">
        <f>IFERROR(BC169/BC168,"")</f>
        <v/>
      </c>
      <c r="BD170" s="70">
        <f>IFERROR(BD169/BD168,"")</f>
        <v/>
      </c>
      <c r="BE170" s="70">
        <f>IFERROR(BE169/BE168,"")</f>
        <v/>
      </c>
      <c r="BF170" s="70">
        <f>IFERROR(BF169/BF168,"")</f>
        <v/>
      </c>
      <c r="BG170" s="70">
        <f>IFERROR(BG169/BG168,"")</f>
        <v/>
      </c>
      <c r="BH170" s="70">
        <f>IFERROR(BH169/BH168,"")</f>
        <v/>
      </c>
      <c r="BI170" s="70">
        <f>IFERROR(BI169/BI168,"")</f>
        <v/>
      </c>
      <c r="BJ170" s="70">
        <f>IFERROR(BJ169/BJ168,"")</f>
        <v/>
      </c>
      <c r="BK170" s="70">
        <f>IFERROR(BK169/BK168,"")</f>
        <v/>
      </c>
      <c r="BL170" s="70">
        <f>IFERROR(BL169/BL168,"")</f>
        <v/>
      </c>
      <c r="BM170" s="70">
        <f>IFERROR(BM169/BM168,"")</f>
        <v/>
      </c>
      <c r="BN170" s="70">
        <f>IFERROR(BN169/BN168,"")</f>
        <v/>
      </c>
      <c r="BO170" s="70">
        <f>IFERROR(BO169/BO168,"")</f>
        <v/>
      </c>
    </row>
    <row r="171">
      <c r="A171" s="61">
        <f>IFERROR(INDEX(Team_Master!$C$6:$C$20,12),"")</f>
        <v/>
      </c>
      <c r="B171" s="62">
        <f>IFERROR(INDEX(Team_Master!$G$6:$G$20,12),"")</f>
        <v/>
      </c>
      <c r="C171" s="63" t="inlineStr">
        <is>
          <t>K1</t>
        </is>
      </c>
      <c r="D171" s="11" t="inlineStr">
        <is>
          <t>Invoiced Value</t>
        </is>
      </c>
      <c r="E171" s="64" t="inlineStr">
        <is>
          <t>MVND</t>
        </is>
      </c>
      <c r="F171" s="75" t="inlineStr">
        <is>
          <t>Phasing</t>
        </is>
      </c>
      <c r="G171" s="56">
        <f>SUM(H171:BO171)</f>
        <v/>
      </c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  <c r="BF171" s="52" t="n"/>
      <c r="BG171" s="52" t="n"/>
      <c r="BH171" s="52" t="n"/>
      <c r="BI171" s="52" t="n"/>
      <c r="BJ171" s="52" t="n"/>
      <c r="BK171" s="52" t="n"/>
      <c r="BL171" s="52" t="n"/>
      <c r="BM171" s="52" t="n"/>
      <c r="BN171" s="52" t="n"/>
      <c r="BO171" s="52" t="n"/>
    </row>
    <row r="172">
      <c r="A172" s="66" t="n"/>
      <c r="B172" s="66" t="n"/>
      <c r="C172" s="66" t="n"/>
      <c r="D172" s="66" t="n"/>
      <c r="E172" s="66" t="n"/>
      <c r="F172" s="75" t="inlineStr">
        <is>
          <t>Actual</t>
        </is>
      </c>
      <c r="G172" s="56">
        <f>SUM(H172:BO172)</f>
        <v/>
      </c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  <c r="BF172" s="52" t="n"/>
      <c r="BG172" s="52" t="n"/>
      <c r="BH172" s="52" t="n"/>
      <c r="BI172" s="52" t="n"/>
      <c r="BJ172" s="52" t="n"/>
      <c r="BK172" s="52" t="n"/>
      <c r="BL172" s="52" t="n"/>
      <c r="BM172" s="52" t="n"/>
      <c r="BN172" s="52" t="n"/>
      <c r="BO172" s="52" t="n"/>
    </row>
    <row r="173">
      <c r="A173" s="66" t="n"/>
      <c r="B173" s="66" t="n"/>
      <c r="C173" s="67" t="n"/>
      <c r="D173" s="67" t="n"/>
      <c r="E173" s="67" t="n"/>
      <c r="F173" s="68" t="inlineStr">
        <is>
          <t>% Achieved</t>
        </is>
      </c>
      <c r="G173" s="69">
        <f>IFERROR(G172/G171,"")</f>
        <v/>
      </c>
      <c r="H173" s="70">
        <f>IFERROR(H172/H171,"")</f>
        <v/>
      </c>
      <c r="I173" s="70">
        <f>IFERROR(I172/I171,"")</f>
        <v/>
      </c>
      <c r="J173" s="70">
        <f>IFERROR(J172/J171,"")</f>
        <v/>
      </c>
      <c r="K173" s="70">
        <f>IFERROR(K172/K171,"")</f>
        <v/>
      </c>
      <c r="L173" s="70">
        <f>IFERROR(L172/L171,"")</f>
        <v/>
      </c>
      <c r="M173" s="70">
        <f>IFERROR(M172/M171,"")</f>
        <v/>
      </c>
      <c r="N173" s="70">
        <f>IFERROR(N172/N171,"")</f>
        <v/>
      </c>
      <c r="O173" s="70">
        <f>IFERROR(O172/O171,"")</f>
        <v/>
      </c>
      <c r="P173" s="70">
        <f>IFERROR(P172/P171,"")</f>
        <v/>
      </c>
      <c r="Q173" s="70">
        <f>IFERROR(Q172/Q171,"")</f>
        <v/>
      </c>
      <c r="R173" s="70">
        <f>IFERROR(R172/R171,"")</f>
        <v/>
      </c>
      <c r="S173" s="70">
        <f>IFERROR(S172/S171,"")</f>
        <v/>
      </c>
      <c r="T173" s="70">
        <f>IFERROR(T172/T171,"")</f>
        <v/>
      </c>
      <c r="U173" s="70">
        <f>IFERROR(U172/U171,"")</f>
        <v/>
      </c>
      <c r="V173" s="70">
        <f>IFERROR(V172/V171,"")</f>
        <v/>
      </c>
      <c r="W173" s="70">
        <f>IFERROR(W172/W171,"")</f>
        <v/>
      </c>
      <c r="X173" s="70">
        <f>IFERROR(X172/X171,"")</f>
        <v/>
      </c>
      <c r="Y173" s="70">
        <f>IFERROR(Y172/Y171,"")</f>
        <v/>
      </c>
      <c r="Z173" s="70">
        <f>IFERROR(Z172/Z171,"")</f>
        <v/>
      </c>
      <c r="AA173" s="70">
        <f>IFERROR(AA172/AA171,"")</f>
        <v/>
      </c>
      <c r="AB173" s="70">
        <f>IFERROR(AB172/AB171,"")</f>
        <v/>
      </c>
      <c r="AC173" s="70">
        <f>IFERROR(AC172/AC171,"")</f>
        <v/>
      </c>
      <c r="AD173" s="70">
        <f>IFERROR(AD172/AD171,"")</f>
        <v/>
      </c>
      <c r="AE173" s="70">
        <f>IFERROR(AE172/AE171,"")</f>
        <v/>
      </c>
      <c r="AF173" s="70">
        <f>IFERROR(AF172/AF171,"")</f>
        <v/>
      </c>
      <c r="AG173" s="70">
        <f>IFERROR(AG172/AG171,"")</f>
        <v/>
      </c>
      <c r="AH173" s="70">
        <f>IFERROR(AH172/AH171,"")</f>
        <v/>
      </c>
      <c r="AI173" s="70">
        <f>IFERROR(AI172/AI171,"")</f>
        <v/>
      </c>
      <c r="AJ173" s="70">
        <f>IFERROR(AJ172/AJ171,"")</f>
        <v/>
      </c>
      <c r="AK173" s="70">
        <f>IFERROR(AK172/AK171,"")</f>
        <v/>
      </c>
      <c r="AL173" s="70">
        <f>IFERROR(AL172/AL171,"")</f>
        <v/>
      </c>
      <c r="AM173" s="70">
        <f>IFERROR(AM172/AM171,"")</f>
        <v/>
      </c>
      <c r="AN173" s="70">
        <f>IFERROR(AN172/AN171,"")</f>
        <v/>
      </c>
      <c r="AO173" s="70">
        <f>IFERROR(AO172/AO171,"")</f>
        <v/>
      </c>
      <c r="AP173" s="70">
        <f>IFERROR(AP172/AP171,"")</f>
        <v/>
      </c>
      <c r="AQ173" s="70">
        <f>IFERROR(AQ172/AQ171,"")</f>
        <v/>
      </c>
      <c r="AR173" s="70">
        <f>IFERROR(AR172/AR171,"")</f>
        <v/>
      </c>
      <c r="AS173" s="70">
        <f>IFERROR(AS172/AS171,"")</f>
        <v/>
      </c>
      <c r="AT173" s="70">
        <f>IFERROR(AT172/AT171,"")</f>
        <v/>
      </c>
      <c r="AU173" s="70">
        <f>IFERROR(AU172/AU171,"")</f>
        <v/>
      </c>
      <c r="AV173" s="70">
        <f>IFERROR(AV172/AV171,"")</f>
        <v/>
      </c>
      <c r="AW173" s="70">
        <f>IFERROR(AW172/AW171,"")</f>
        <v/>
      </c>
      <c r="AX173" s="70">
        <f>IFERROR(AX172/AX171,"")</f>
        <v/>
      </c>
      <c r="AY173" s="70">
        <f>IFERROR(AY172/AY171,"")</f>
        <v/>
      </c>
      <c r="AZ173" s="70">
        <f>IFERROR(AZ172/AZ171,"")</f>
        <v/>
      </c>
      <c r="BA173" s="70">
        <f>IFERROR(BA172/BA171,"")</f>
        <v/>
      </c>
      <c r="BB173" s="70">
        <f>IFERROR(BB172/BB171,"")</f>
        <v/>
      </c>
      <c r="BC173" s="70">
        <f>IFERROR(BC172/BC171,"")</f>
        <v/>
      </c>
      <c r="BD173" s="70">
        <f>IFERROR(BD172/BD171,"")</f>
        <v/>
      </c>
      <c r="BE173" s="70">
        <f>IFERROR(BE172/BE171,"")</f>
        <v/>
      </c>
      <c r="BF173" s="70">
        <f>IFERROR(BF172/BF171,"")</f>
        <v/>
      </c>
      <c r="BG173" s="70">
        <f>IFERROR(BG172/BG171,"")</f>
        <v/>
      </c>
      <c r="BH173" s="70">
        <f>IFERROR(BH172/BH171,"")</f>
        <v/>
      </c>
      <c r="BI173" s="70">
        <f>IFERROR(BI172/BI171,"")</f>
        <v/>
      </c>
      <c r="BJ173" s="70">
        <f>IFERROR(BJ172/BJ171,"")</f>
        <v/>
      </c>
      <c r="BK173" s="70">
        <f>IFERROR(BK172/BK171,"")</f>
        <v/>
      </c>
      <c r="BL173" s="70">
        <f>IFERROR(BL172/BL171,"")</f>
        <v/>
      </c>
      <c r="BM173" s="70">
        <f>IFERROR(BM172/BM171,"")</f>
        <v/>
      </c>
      <c r="BN173" s="70">
        <f>IFERROR(BN172/BN171,"")</f>
        <v/>
      </c>
      <c r="BO173" s="70">
        <f>IFERROR(BO172/BO171,"")</f>
        <v/>
      </c>
    </row>
    <row r="174">
      <c r="A174" s="66" t="n"/>
      <c r="B174" s="66" t="n"/>
      <c r="C174" s="63" t="inlineStr">
        <is>
          <t>K2</t>
        </is>
      </c>
      <c r="D174" s="11" t="inlineStr">
        <is>
          <t>Key account approach / Site check</t>
        </is>
      </c>
      <c r="E174" s="64" t="inlineStr">
        <is>
          <t>Roadshow</t>
        </is>
      </c>
      <c r="F174" s="75" t="inlineStr">
        <is>
          <t>Phasing</t>
        </is>
      </c>
      <c r="G174" s="56">
        <f>SUM(H174:BO174)</f>
        <v/>
      </c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  <c r="AL174" s="52" t="n"/>
      <c r="AM174" s="52" t="n"/>
      <c r="AN174" s="52" t="n"/>
      <c r="AO174" s="52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  <c r="BB174" s="52" t="n"/>
      <c r="BC174" s="52" t="n"/>
      <c r="BD174" s="52" t="n"/>
      <c r="BE174" s="52" t="n"/>
      <c r="BF174" s="52" t="n"/>
      <c r="BG174" s="52" t="n"/>
      <c r="BH174" s="52" t="n"/>
      <c r="BI174" s="52" t="n"/>
      <c r="BJ174" s="52" t="n"/>
      <c r="BK174" s="52" t="n"/>
      <c r="BL174" s="52" t="n"/>
      <c r="BM174" s="52" t="n"/>
      <c r="BN174" s="52" t="n"/>
      <c r="BO174" s="52" t="n"/>
    </row>
    <row r="175">
      <c r="A175" s="66" t="n"/>
      <c r="B175" s="66" t="n"/>
      <c r="C175" s="66" t="n"/>
      <c r="D175" s="66" t="n"/>
      <c r="E175" s="66" t="n"/>
      <c r="F175" s="75" t="inlineStr">
        <is>
          <t>Actual</t>
        </is>
      </c>
      <c r="G175" s="56">
        <f>SUM(H175:BO175)</f>
        <v/>
      </c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  <c r="AL175" s="52" t="n"/>
      <c r="AM175" s="52" t="n"/>
      <c r="AN175" s="52" t="n"/>
      <c r="AO175" s="52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  <c r="BB175" s="52" t="n"/>
      <c r="BC175" s="52" t="n"/>
      <c r="BD175" s="52" t="n"/>
      <c r="BE175" s="52" t="n"/>
      <c r="BF175" s="52" t="n"/>
      <c r="BG175" s="52" t="n"/>
      <c r="BH175" s="52" t="n"/>
      <c r="BI175" s="52" t="n"/>
      <c r="BJ175" s="52" t="n"/>
      <c r="BK175" s="52" t="n"/>
      <c r="BL175" s="52" t="n"/>
      <c r="BM175" s="52" t="n"/>
      <c r="BN175" s="52" t="n"/>
      <c r="BO175" s="52" t="n"/>
    </row>
    <row r="176">
      <c r="A176" s="66" t="n"/>
      <c r="B176" s="66" t="n"/>
      <c r="C176" s="67" t="n"/>
      <c r="D176" s="67" t="n"/>
      <c r="E176" s="67" t="n"/>
      <c r="F176" s="68" t="inlineStr">
        <is>
          <t>% Achieved</t>
        </is>
      </c>
      <c r="G176" s="69">
        <f>IFERROR(G175/G174,"")</f>
        <v/>
      </c>
      <c r="H176" s="70">
        <f>IFERROR(H175/H174,"")</f>
        <v/>
      </c>
      <c r="I176" s="70">
        <f>IFERROR(I175/I174,"")</f>
        <v/>
      </c>
      <c r="J176" s="70">
        <f>IFERROR(J175/J174,"")</f>
        <v/>
      </c>
      <c r="K176" s="70">
        <f>IFERROR(K175/K174,"")</f>
        <v/>
      </c>
      <c r="L176" s="70">
        <f>IFERROR(L175/L174,"")</f>
        <v/>
      </c>
      <c r="M176" s="70">
        <f>IFERROR(M175/M174,"")</f>
        <v/>
      </c>
      <c r="N176" s="70">
        <f>IFERROR(N175/N174,"")</f>
        <v/>
      </c>
      <c r="O176" s="70">
        <f>IFERROR(O175/O174,"")</f>
        <v/>
      </c>
      <c r="P176" s="70">
        <f>IFERROR(P175/P174,"")</f>
        <v/>
      </c>
      <c r="Q176" s="70">
        <f>IFERROR(Q175/Q174,"")</f>
        <v/>
      </c>
      <c r="R176" s="70">
        <f>IFERROR(R175/R174,"")</f>
        <v/>
      </c>
      <c r="S176" s="70">
        <f>IFERROR(S175/S174,"")</f>
        <v/>
      </c>
      <c r="T176" s="70">
        <f>IFERROR(T175/T174,"")</f>
        <v/>
      </c>
      <c r="U176" s="70">
        <f>IFERROR(U175/U174,"")</f>
        <v/>
      </c>
      <c r="V176" s="70">
        <f>IFERROR(V175/V174,"")</f>
        <v/>
      </c>
      <c r="W176" s="70">
        <f>IFERROR(W175/W174,"")</f>
        <v/>
      </c>
      <c r="X176" s="70">
        <f>IFERROR(X175/X174,"")</f>
        <v/>
      </c>
      <c r="Y176" s="70">
        <f>IFERROR(Y175/Y174,"")</f>
        <v/>
      </c>
      <c r="Z176" s="70">
        <f>IFERROR(Z175/Z174,"")</f>
        <v/>
      </c>
      <c r="AA176" s="70">
        <f>IFERROR(AA175/AA174,"")</f>
        <v/>
      </c>
      <c r="AB176" s="70">
        <f>IFERROR(AB175/AB174,"")</f>
        <v/>
      </c>
      <c r="AC176" s="70">
        <f>IFERROR(AC175/AC174,"")</f>
        <v/>
      </c>
      <c r="AD176" s="70">
        <f>IFERROR(AD175/AD174,"")</f>
        <v/>
      </c>
      <c r="AE176" s="70">
        <f>IFERROR(AE175/AE174,"")</f>
        <v/>
      </c>
      <c r="AF176" s="70">
        <f>IFERROR(AF175/AF174,"")</f>
        <v/>
      </c>
      <c r="AG176" s="70">
        <f>IFERROR(AG175/AG174,"")</f>
        <v/>
      </c>
      <c r="AH176" s="70">
        <f>IFERROR(AH175/AH174,"")</f>
        <v/>
      </c>
      <c r="AI176" s="70">
        <f>IFERROR(AI175/AI174,"")</f>
        <v/>
      </c>
      <c r="AJ176" s="70">
        <f>IFERROR(AJ175/AJ174,"")</f>
        <v/>
      </c>
      <c r="AK176" s="70">
        <f>IFERROR(AK175/AK174,"")</f>
        <v/>
      </c>
      <c r="AL176" s="70">
        <f>IFERROR(AL175/AL174,"")</f>
        <v/>
      </c>
      <c r="AM176" s="70">
        <f>IFERROR(AM175/AM174,"")</f>
        <v/>
      </c>
      <c r="AN176" s="70">
        <f>IFERROR(AN175/AN174,"")</f>
        <v/>
      </c>
      <c r="AO176" s="70">
        <f>IFERROR(AO175/AO174,"")</f>
        <v/>
      </c>
      <c r="AP176" s="70">
        <f>IFERROR(AP175/AP174,"")</f>
        <v/>
      </c>
      <c r="AQ176" s="70">
        <f>IFERROR(AQ175/AQ174,"")</f>
        <v/>
      </c>
      <c r="AR176" s="70">
        <f>IFERROR(AR175/AR174,"")</f>
        <v/>
      </c>
      <c r="AS176" s="70">
        <f>IFERROR(AS175/AS174,"")</f>
        <v/>
      </c>
      <c r="AT176" s="70">
        <f>IFERROR(AT175/AT174,"")</f>
        <v/>
      </c>
      <c r="AU176" s="70">
        <f>IFERROR(AU175/AU174,"")</f>
        <v/>
      </c>
      <c r="AV176" s="70">
        <f>IFERROR(AV175/AV174,"")</f>
        <v/>
      </c>
      <c r="AW176" s="70">
        <f>IFERROR(AW175/AW174,"")</f>
        <v/>
      </c>
      <c r="AX176" s="70">
        <f>IFERROR(AX175/AX174,"")</f>
        <v/>
      </c>
      <c r="AY176" s="70">
        <f>IFERROR(AY175/AY174,"")</f>
        <v/>
      </c>
      <c r="AZ176" s="70">
        <f>IFERROR(AZ175/AZ174,"")</f>
        <v/>
      </c>
      <c r="BA176" s="70">
        <f>IFERROR(BA175/BA174,"")</f>
        <v/>
      </c>
      <c r="BB176" s="70">
        <f>IFERROR(BB175/BB174,"")</f>
        <v/>
      </c>
      <c r="BC176" s="70">
        <f>IFERROR(BC175/BC174,"")</f>
        <v/>
      </c>
      <c r="BD176" s="70">
        <f>IFERROR(BD175/BD174,"")</f>
        <v/>
      </c>
      <c r="BE176" s="70">
        <f>IFERROR(BE175/BE174,"")</f>
        <v/>
      </c>
      <c r="BF176" s="70">
        <f>IFERROR(BF175/BF174,"")</f>
        <v/>
      </c>
      <c r="BG176" s="70">
        <f>IFERROR(BG175/BG174,"")</f>
        <v/>
      </c>
      <c r="BH176" s="70">
        <f>IFERROR(BH175/BH174,"")</f>
        <v/>
      </c>
      <c r="BI176" s="70">
        <f>IFERROR(BI175/BI174,"")</f>
        <v/>
      </c>
      <c r="BJ176" s="70">
        <f>IFERROR(BJ175/BJ174,"")</f>
        <v/>
      </c>
      <c r="BK176" s="70">
        <f>IFERROR(BK175/BK174,"")</f>
        <v/>
      </c>
      <c r="BL176" s="70">
        <f>IFERROR(BL175/BL174,"")</f>
        <v/>
      </c>
      <c r="BM176" s="70">
        <f>IFERROR(BM175/BM174,"")</f>
        <v/>
      </c>
      <c r="BN176" s="70">
        <f>IFERROR(BN175/BN174,"")</f>
        <v/>
      </c>
      <c r="BO176" s="70">
        <f>IFERROR(BO175/BO174,"")</f>
        <v/>
      </c>
    </row>
    <row r="177">
      <c r="A177" s="66" t="n"/>
      <c r="B177" s="66" t="n"/>
      <c r="C177" s="71" t="inlineStr">
        <is>
          <t>K3</t>
        </is>
      </c>
      <c r="D177" s="37" t="inlineStr">
        <is>
          <t>Spec-in Value</t>
        </is>
      </c>
      <c r="E177" s="72" t="inlineStr">
        <is>
          <t>MVND</t>
        </is>
      </c>
      <c r="F177" s="75" t="inlineStr">
        <is>
          <t>Phasing</t>
        </is>
      </c>
      <c r="G177" s="56">
        <f>SUM(H177:BO177)</f>
        <v/>
      </c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  <c r="AL177" s="52" t="n"/>
      <c r="AM177" s="52" t="n"/>
      <c r="AN177" s="52" t="n"/>
      <c r="AO177" s="52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  <c r="BB177" s="52" t="n"/>
      <c r="BC177" s="52" t="n"/>
      <c r="BD177" s="52" t="n"/>
      <c r="BE177" s="52" t="n"/>
      <c r="BF177" s="52" t="n"/>
      <c r="BG177" s="52" t="n"/>
      <c r="BH177" s="52" t="n"/>
      <c r="BI177" s="52" t="n"/>
      <c r="BJ177" s="52" t="n"/>
      <c r="BK177" s="52" t="n"/>
      <c r="BL177" s="52" t="n"/>
      <c r="BM177" s="52" t="n"/>
      <c r="BN177" s="52" t="n"/>
      <c r="BO177" s="52" t="n"/>
    </row>
    <row r="178">
      <c r="A178" s="66" t="n"/>
      <c r="B178" s="66" t="n"/>
      <c r="C178" s="66" t="n"/>
      <c r="D178" s="66" t="n"/>
      <c r="E178" s="66" t="n"/>
      <c r="F178" s="75" t="inlineStr">
        <is>
          <t>Actual</t>
        </is>
      </c>
      <c r="G178" s="56">
        <f>SUM(H178:BO178)</f>
        <v/>
      </c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  <c r="AL178" s="52" t="n"/>
      <c r="AM178" s="52" t="n"/>
      <c r="AN178" s="52" t="n"/>
      <c r="AO178" s="52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  <c r="BB178" s="52" t="n"/>
      <c r="BC178" s="52" t="n"/>
      <c r="BD178" s="52" t="n"/>
      <c r="BE178" s="52" t="n"/>
      <c r="BF178" s="52" t="n"/>
      <c r="BG178" s="52" t="n"/>
      <c r="BH178" s="52" t="n"/>
      <c r="BI178" s="52" t="n"/>
      <c r="BJ178" s="52" t="n"/>
      <c r="BK178" s="52" t="n"/>
      <c r="BL178" s="52" t="n"/>
      <c r="BM178" s="52" t="n"/>
      <c r="BN178" s="52" t="n"/>
      <c r="BO178" s="52" t="n"/>
    </row>
    <row r="179">
      <c r="A179" s="66" t="n"/>
      <c r="B179" s="66" t="n"/>
      <c r="C179" s="67" t="n"/>
      <c r="D179" s="67" t="n"/>
      <c r="E179" s="67" t="n"/>
      <c r="F179" s="68" t="inlineStr">
        <is>
          <t>% Achieved</t>
        </is>
      </c>
      <c r="G179" s="69">
        <f>IFERROR(G178/G177,"")</f>
        <v/>
      </c>
      <c r="H179" s="70">
        <f>IFERROR(H178/H177,"")</f>
        <v/>
      </c>
      <c r="I179" s="70">
        <f>IFERROR(I178/I177,"")</f>
        <v/>
      </c>
      <c r="J179" s="70">
        <f>IFERROR(J178/J177,"")</f>
        <v/>
      </c>
      <c r="K179" s="70">
        <f>IFERROR(K178/K177,"")</f>
        <v/>
      </c>
      <c r="L179" s="70">
        <f>IFERROR(L178/L177,"")</f>
        <v/>
      </c>
      <c r="M179" s="70">
        <f>IFERROR(M178/M177,"")</f>
        <v/>
      </c>
      <c r="N179" s="70">
        <f>IFERROR(N178/N177,"")</f>
        <v/>
      </c>
      <c r="O179" s="70">
        <f>IFERROR(O178/O177,"")</f>
        <v/>
      </c>
      <c r="P179" s="70">
        <f>IFERROR(P178/P177,"")</f>
        <v/>
      </c>
      <c r="Q179" s="70">
        <f>IFERROR(Q178/Q177,"")</f>
        <v/>
      </c>
      <c r="R179" s="70">
        <f>IFERROR(R178/R177,"")</f>
        <v/>
      </c>
      <c r="S179" s="70">
        <f>IFERROR(S178/S177,"")</f>
        <v/>
      </c>
      <c r="T179" s="70">
        <f>IFERROR(T178/T177,"")</f>
        <v/>
      </c>
      <c r="U179" s="70">
        <f>IFERROR(U178/U177,"")</f>
        <v/>
      </c>
      <c r="V179" s="70">
        <f>IFERROR(V178/V177,"")</f>
        <v/>
      </c>
      <c r="W179" s="70">
        <f>IFERROR(W178/W177,"")</f>
        <v/>
      </c>
      <c r="X179" s="70">
        <f>IFERROR(X178/X177,"")</f>
        <v/>
      </c>
      <c r="Y179" s="70">
        <f>IFERROR(Y178/Y177,"")</f>
        <v/>
      </c>
      <c r="Z179" s="70">
        <f>IFERROR(Z178/Z177,"")</f>
        <v/>
      </c>
      <c r="AA179" s="70">
        <f>IFERROR(AA178/AA177,"")</f>
        <v/>
      </c>
      <c r="AB179" s="70">
        <f>IFERROR(AB178/AB177,"")</f>
        <v/>
      </c>
      <c r="AC179" s="70">
        <f>IFERROR(AC178/AC177,"")</f>
        <v/>
      </c>
      <c r="AD179" s="70">
        <f>IFERROR(AD178/AD177,"")</f>
        <v/>
      </c>
      <c r="AE179" s="70">
        <f>IFERROR(AE178/AE177,"")</f>
        <v/>
      </c>
      <c r="AF179" s="70">
        <f>IFERROR(AF178/AF177,"")</f>
        <v/>
      </c>
      <c r="AG179" s="70">
        <f>IFERROR(AG178/AG177,"")</f>
        <v/>
      </c>
      <c r="AH179" s="70">
        <f>IFERROR(AH178/AH177,"")</f>
        <v/>
      </c>
      <c r="AI179" s="70">
        <f>IFERROR(AI178/AI177,"")</f>
        <v/>
      </c>
      <c r="AJ179" s="70">
        <f>IFERROR(AJ178/AJ177,"")</f>
        <v/>
      </c>
      <c r="AK179" s="70">
        <f>IFERROR(AK178/AK177,"")</f>
        <v/>
      </c>
      <c r="AL179" s="70">
        <f>IFERROR(AL178/AL177,"")</f>
        <v/>
      </c>
      <c r="AM179" s="70">
        <f>IFERROR(AM178/AM177,"")</f>
        <v/>
      </c>
      <c r="AN179" s="70">
        <f>IFERROR(AN178/AN177,"")</f>
        <v/>
      </c>
      <c r="AO179" s="70">
        <f>IFERROR(AO178/AO177,"")</f>
        <v/>
      </c>
      <c r="AP179" s="70">
        <f>IFERROR(AP178/AP177,"")</f>
        <v/>
      </c>
      <c r="AQ179" s="70">
        <f>IFERROR(AQ178/AQ177,"")</f>
        <v/>
      </c>
      <c r="AR179" s="70">
        <f>IFERROR(AR178/AR177,"")</f>
        <v/>
      </c>
      <c r="AS179" s="70">
        <f>IFERROR(AS178/AS177,"")</f>
        <v/>
      </c>
      <c r="AT179" s="70">
        <f>IFERROR(AT178/AT177,"")</f>
        <v/>
      </c>
      <c r="AU179" s="70">
        <f>IFERROR(AU178/AU177,"")</f>
        <v/>
      </c>
      <c r="AV179" s="70">
        <f>IFERROR(AV178/AV177,"")</f>
        <v/>
      </c>
      <c r="AW179" s="70">
        <f>IFERROR(AW178/AW177,"")</f>
        <v/>
      </c>
      <c r="AX179" s="70">
        <f>IFERROR(AX178/AX177,"")</f>
        <v/>
      </c>
      <c r="AY179" s="70">
        <f>IFERROR(AY178/AY177,"")</f>
        <v/>
      </c>
      <c r="AZ179" s="70">
        <f>IFERROR(AZ178/AZ177,"")</f>
        <v/>
      </c>
      <c r="BA179" s="70">
        <f>IFERROR(BA178/BA177,"")</f>
        <v/>
      </c>
      <c r="BB179" s="70">
        <f>IFERROR(BB178/BB177,"")</f>
        <v/>
      </c>
      <c r="BC179" s="70">
        <f>IFERROR(BC178/BC177,"")</f>
        <v/>
      </c>
      <c r="BD179" s="70">
        <f>IFERROR(BD178/BD177,"")</f>
        <v/>
      </c>
      <c r="BE179" s="70">
        <f>IFERROR(BE178/BE177,"")</f>
        <v/>
      </c>
      <c r="BF179" s="70">
        <f>IFERROR(BF178/BF177,"")</f>
        <v/>
      </c>
      <c r="BG179" s="70">
        <f>IFERROR(BG178/BG177,"")</f>
        <v/>
      </c>
      <c r="BH179" s="70">
        <f>IFERROR(BH178/BH177,"")</f>
        <v/>
      </c>
      <c r="BI179" s="70">
        <f>IFERROR(BI178/BI177,"")</f>
        <v/>
      </c>
      <c r="BJ179" s="70">
        <f>IFERROR(BJ178/BJ177,"")</f>
        <v/>
      </c>
      <c r="BK179" s="70">
        <f>IFERROR(BK178/BK177,"")</f>
        <v/>
      </c>
      <c r="BL179" s="70">
        <f>IFERROR(BL178/BL177,"")</f>
        <v/>
      </c>
      <c r="BM179" s="70">
        <f>IFERROR(BM178/BM177,"")</f>
        <v/>
      </c>
      <c r="BN179" s="70">
        <f>IFERROR(BN178/BN177,"")</f>
        <v/>
      </c>
      <c r="BO179" s="70">
        <f>IFERROR(BO178/BO177,"")</f>
        <v/>
      </c>
    </row>
    <row r="180">
      <c r="A180" s="66" t="n"/>
      <c r="B180" s="66" t="n"/>
      <c r="C180" s="71" t="inlineStr">
        <is>
          <t>K4</t>
        </is>
      </c>
      <c r="D180" s="37" t="inlineStr">
        <is>
          <t>Engaged Architect (Submit Design)</t>
        </is>
      </c>
      <c r="E180" s="72" t="inlineStr">
        <is>
          <t>D&amp;B</t>
        </is>
      </c>
      <c r="F180" s="75" t="inlineStr">
        <is>
          <t>Phasing</t>
        </is>
      </c>
      <c r="G180" s="56">
        <f>SUM(H180:BO180)</f>
        <v/>
      </c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  <c r="BF180" s="52" t="n"/>
      <c r="BG180" s="52" t="n"/>
      <c r="BH180" s="52" t="n"/>
      <c r="BI180" s="52" t="n"/>
      <c r="BJ180" s="52" t="n"/>
      <c r="BK180" s="52" t="n"/>
      <c r="BL180" s="52" t="n"/>
      <c r="BM180" s="52" t="n"/>
      <c r="BN180" s="52" t="n"/>
      <c r="BO180" s="52" t="n"/>
    </row>
    <row r="181">
      <c r="A181" s="66" t="n"/>
      <c r="B181" s="66" t="n"/>
      <c r="C181" s="66" t="n"/>
      <c r="D181" s="66" t="n"/>
      <c r="E181" s="66" t="n"/>
      <c r="F181" s="75" t="inlineStr">
        <is>
          <t>Actual</t>
        </is>
      </c>
      <c r="G181" s="56">
        <f>SUM(H181:BO181)</f>
        <v/>
      </c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  <c r="AL181" s="52" t="n"/>
      <c r="AM181" s="52" t="n"/>
      <c r="AN181" s="52" t="n"/>
      <c r="AO181" s="52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  <c r="BB181" s="52" t="n"/>
      <c r="BC181" s="52" t="n"/>
      <c r="BD181" s="52" t="n"/>
      <c r="BE181" s="52" t="n"/>
      <c r="BF181" s="52" t="n"/>
      <c r="BG181" s="52" t="n"/>
      <c r="BH181" s="52" t="n"/>
      <c r="BI181" s="52" t="n"/>
      <c r="BJ181" s="52" t="n"/>
      <c r="BK181" s="52" t="n"/>
      <c r="BL181" s="52" t="n"/>
      <c r="BM181" s="52" t="n"/>
      <c r="BN181" s="52" t="n"/>
      <c r="BO181" s="52" t="n"/>
    </row>
    <row r="182">
      <c r="A182" s="66" t="n"/>
      <c r="B182" s="66" t="n"/>
      <c r="C182" s="67" t="n"/>
      <c r="D182" s="67" t="n"/>
      <c r="E182" s="67" t="n"/>
      <c r="F182" s="68" t="inlineStr">
        <is>
          <t>% Achieved</t>
        </is>
      </c>
      <c r="G182" s="69">
        <f>IFERROR(G181/G180,"")</f>
        <v/>
      </c>
      <c r="H182" s="70">
        <f>IFERROR(H181/H180,"")</f>
        <v/>
      </c>
      <c r="I182" s="70">
        <f>IFERROR(I181/I180,"")</f>
        <v/>
      </c>
      <c r="J182" s="70">
        <f>IFERROR(J181/J180,"")</f>
        <v/>
      </c>
      <c r="K182" s="70">
        <f>IFERROR(K181/K180,"")</f>
        <v/>
      </c>
      <c r="L182" s="70">
        <f>IFERROR(L181/L180,"")</f>
        <v/>
      </c>
      <c r="M182" s="70">
        <f>IFERROR(M181/M180,"")</f>
        <v/>
      </c>
      <c r="N182" s="70">
        <f>IFERROR(N181/N180,"")</f>
        <v/>
      </c>
      <c r="O182" s="70">
        <f>IFERROR(O181/O180,"")</f>
        <v/>
      </c>
      <c r="P182" s="70">
        <f>IFERROR(P181/P180,"")</f>
        <v/>
      </c>
      <c r="Q182" s="70">
        <f>IFERROR(Q181/Q180,"")</f>
        <v/>
      </c>
      <c r="R182" s="70">
        <f>IFERROR(R181/R180,"")</f>
        <v/>
      </c>
      <c r="S182" s="70">
        <f>IFERROR(S181/S180,"")</f>
        <v/>
      </c>
      <c r="T182" s="70">
        <f>IFERROR(T181/T180,"")</f>
        <v/>
      </c>
      <c r="U182" s="70">
        <f>IFERROR(U181/U180,"")</f>
        <v/>
      </c>
      <c r="V182" s="70">
        <f>IFERROR(V181/V180,"")</f>
        <v/>
      </c>
      <c r="W182" s="70">
        <f>IFERROR(W181/W180,"")</f>
        <v/>
      </c>
      <c r="X182" s="70">
        <f>IFERROR(X181/X180,"")</f>
        <v/>
      </c>
      <c r="Y182" s="70">
        <f>IFERROR(Y181/Y180,"")</f>
        <v/>
      </c>
      <c r="Z182" s="70">
        <f>IFERROR(Z181/Z180,"")</f>
        <v/>
      </c>
      <c r="AA182" s="70">
        <f>IFERROR(AA181/AA180,"")</f>
        <v/>
      </c>
      <c r="AB182" s="70">
        <f>IFERROR(AB181/AB180,"")</f>
        <v/>
      </c>
      <c r="AC182" s="70">
        <f>IFERROR(AC181/AC180,"")</f>
        <v/>
      </c>
      <c r="AD182" s="70">
        <f>IFERROR(AD181/AD180,"")</f>
        <v/>
      </c>
      <c r="AE182" s="70">
        <f>IFERROR(AE181/AE180,"")</f>
        <v/>
      </c>
      <c r="AF182" s="70">
        <f>IFERROR(AF181/AF180,"")</f>
        <v/>
      </c>
      <c r="AG182" s="70">
        <f>IFERROR(AG181/AG180,"")</f>
        <v/>
      </c>
      <c r="AH182" s="70">
        <f>IFERROR(AH181/AH180,"")</f>
        <v/>
      </c>
      <c r="AI182" s="70">
        <f>IFERROR(AI181/AI180,"")</f>
        <v/>
      </c>
      <c r="AJ182" s="70">
        <f>IFERROR(AJ181/AJ180,"")</f>
        <v/>
      </c>
      <c r="AK182" s="70">
        <f>IFERROR(AK181/AK180,"")</f>
        <v/>
      </c>
      <c r="AL182" s="70">
        <f>IFERROR(AL181/AL180,"")</f>
        <v/>
      </c>
      <c r="AM182" s="70">
        <f>IFERROR(AM181/AM180,"")</f>
        <v/>
      </c>
      <c r="AN182" s="70">
        <f>IFERROR(AN181/AN180,"")</f>
        <v/>
      </c>
      <c r="AO182" s="70">
        <f>IFERROR(AO181/AO180,"")</f>
        <v/>
      </c>
      <c r="AP182" s="70">
        <f>IFERROR(AP181/AP180,"")</f>
        <v/>
      </c>
      <c r="AQ182" s="70">
        <f>IFERROR(AQ181/AQ180,"")</f>
        <v/>
      </c>
      <c r="AR182" s="70">
        <f>IFERROR(AR181/AR180,"")</f>
        <v/>
      </c>
      <c r="AS182" s="70">
        <f>IFERROR(AS181/AS180,"")</f>
        <v/>
      </c>
      <c r="AT182" s="70">
        <f>IFERROR(AT181/AT180,"")</f>
        <v/>
      </c>
      <c r="AU182" s="70">
        <f>IFERROR(AU181/AU180,"")</f>
        <v/>
      </c>
      <c r="AV182" s="70">
        <f>IFERROR(AV181/AV180,"")</f>
        <v/>
      </c>
      <c r="AW182" s="70">
        <f>IFERROR(AW181/AW180,"")</f>
        <v/>
      </c>
      <c r="AX182" s="70">
        <f>IFERROR(AX181/AX180,"")</f>
        <v/>
      </c>
      <c r="AY182" s="70">
        <f>IFERROR(AY181/AY180,"")</f>
        <v/>
      </c>
      <c r="AZ182" s="70">
        <f>IFERROR(AZ181/AZ180,"")</f>
        <v/>
      </c>
      <c r="BA182" s="70">
        <f>IFERROR(BA181/BA180,"")</f>
        <v/>
      </c>
      <c r="BB182" s="70">
        <f>IFERROR(BB181/BB180,"")</f>
        <v/>
      </c>
      <c r="BC182" s="70">
        <f>IFERROR(BC181/BC180,"")</f>
        <v/>
      </c>
      <c r="BD182" s="70">
        <f>IFERROR(BD181/BD180,"")</f>
        <v/>
      </c>
      <c r="BE182" s="70">
        <f>IFERROR(BE181/BE180,"")</f>
        <v/>
      </c>
      <c r="BF182" s="70">
        <f>IFERROR(BF181/BF180,"")</f>
        <v/>
      </c>
      <c r="BG182" s="70">
        <f>IFERROR(BG181/BG180,"")</f>
        <v/>
      </c>
      <c r="BH182" s="70">
        <f>IFERROR(BH181/BH180,"")</f>
        <v/>
      </c>
      <c r="BI182" s="70">
        <f>IFERROR(BI181/BI180,"")</f>
        <v/>
      </c>
      <c r="BJ182" s="70">
        <f>IFERROR(BJ181/BJ180,"")</f>
        <v/>
      </c>
      <c r="BK182" s="70">
        <f>IFERROR(BK181/BK180,"")</f>
        <v/>
      </c>
      <c r="BL182" s="70">
        <f>IFERROR(BL181/BL180,"")</f>
        <v/>
      </c>
      <c r="BM182" s="70">
        <f>IFERROR(BM181/BM180,"")</f>
        <v/>
      </c>
      <c r="BN182" s="70">
        <f>IFERROR(BN181/BN180,"")</f>
        <v/>
      </c>
      <c r="BO182" s="70">
        <f>IFERROR(BO181/BO180,"")</f>
        <v/>
      </c>
    </row>
    <row r="183">
      <c r="A183" s="66" t="n"/>
      <c r="B183" s="66" t="n"/>
      <c r="C183" s="73" t="inlineStr">
        <is>
          <t>K5</t>
        </is>
      </c>
      <c r="D183" s="41" t="inlineStr">
        <is>
          <t>Spec-in Design (submitted design)</t>
        </is>
      </c>
      <c r="E183" s="74" t="inlineStr">
        <is>
          <t>Designs</t>
        </is>
      </c>
      <c r="F183" s="75" t="inlineStr">
        <is>
          <t>Phasing</t>
        </is>
      </c>
      <c r="G183" s="56">
        <f>SUM(H183:BO183)</f>
        <v/>
      </c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  <c r="AL183" s="52" t="n"/>
      <c r="AM183" s="52" t="n"/>
      <c r="AN183" s="52" t="n"/>
      <c r="AO183" s="52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  <c r="BB183" s="52" t="n"/>
      <c r="BC183" s="52" t="n"/>
      <c r="BD183" s="52" t="n"/>
      <c r="BE183" s="52" t="n"/>
      <c r="BF183" s="52" t="n"/>
      <c r="BG183" s="52" t="n"/>
      <c r="BH183" s="52" t="n"/>
      <c r="BI183" s="52" t="n"/>
      <c r="BJ183" s="52" t="n"/>
      <c r="BK183" s="52" t="n"/>
      <c r="BL183" s="52" t="n"/>
      <c r="BM183" s="52" t="n"/>
      <c r="BN183" s="52" t="n"/>
      <c r="BO183" s="52" t="n"/>
    </row>
    <row r="184">
      <c r="A184" s="66" t="n"/>
      <c r="B184" s="66" t="n"/>
      <c r="C184" s="66" t="n"/>
      <c r="D184" s="66" t="n"/>
      <c r="E184" s="66" t="n"/>
      <c r="F184" s="75" t="inlineStr">
        <is>
          <t>Actual</t>
        </is>
      </c>
      <c r="G184" s="56">
        <f>SUM(H184:BO184)</f>
        <v/>
      </c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  <c r="AL184" s="52" t="n"/>
      <c r="AM184" s="52" t="n"/>
      <c r="AN184" s="52" t="n"/>
      <c r="AO184" s="52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  <c r="BB184" s="52" t="n"/>
      <c r="BC184" s="52" t="n"/>
      <c r="BD184" s="52" t="n"/>
      <c r="BE184" s="52" t="n"/>
      <c r="BF184" s="52" t="n"/>
      <c r="BG184" s="52" t="n"/>
      <c r="BH184" s="52" t="n"/>
      <c r="BI184" s="52" t="n"/>
      <c r="BJ184" s="52" t="n"/>
      <c r="BK184" s="52" t="n"/>
      <c r="BL184" s="52" t="n"/>
      <c r="BM184" s="52" t="n"/>
      <c r="BN184" s="52" t="n"/>
      <c r="BO184" s="52" t="n"/>
    </row>
    <row r="185">
      <c r="A185" s="67" t="n"/>
      <c r="B185" s="67" t="n"/>
      <c r="C185" s="67" t="n"/>
      <c r="D185" s="67" t="n"/>
      <c r="E185" s="67" t="n"/>
      <c r="F185" s="68" t="inlineStr">
        <is>
          <t>% Achieved</t>
        </is>
      </c>
      <c r="G185" s="69">
        <f>IFERROR(G184/G183,"")</f>
        <v/>
      </c>
      <c r="H185" s="70">
        <f>IFERROR(H184/H183,"")</f>
        <v/>
      </c>
      <c r="I185" s="70">
        <f>IFERROR(I184/I183,"")</f>
        <v/>
      </c>
      <c r="J185" s="70">
        <f>IFERROR(J184/J183,"")</f>
        <v/>
      </c>
      <c r="K185" s="70">
        <f>IFERROR(K184/K183,"")</f>
        <v/>
      </c>
      <c r="L185" s="70">
        <f>IFERROR(L184/L183,"")</f>
        <v/>
      </c>
      <c r="M185" s="70">
        <f>IFERROR(M184/M183,"")</f>
        <v/>
      </c>
      <c r="N185" s="70">
        <f>IFERROR(N184/N183,"")</f>
        <v/>
      </c>
      <c r="O185" s="70">
        <f>IFERROR(O184/O183,"")</f>
        <v/>
      </c>
      <c r="P185" s="70">
        <f>IFERROR(P184/P183,"")</f>
        <v/>
      </c>
      <c r="Q185" s="70">
        <f>IFERROR(Q184/Q183,"")</f>
        <v/>
      </c>
      <c r="R185" s="70">
        <f>IFERROR(R184/R183,"")</f>
        <v/>
      </c>
      <c r="S185" s="70">
        <f>IFERROR(S184/S183,"")</f>
        <v/>
      </c>
      <c r="T185" s="70">
        <f>IFERROR(T184/T183,"")</f>
        <v/>
      </c>
      <c r="U185" s="70">
        <f>IFERROR(U184/U183,"")</f>
        <v/>
      </c>
      <c r="V185" s="70">
        <f>IFERROR(V184/V183,"")</f>
        <v/>
      </c>
      <c r="W185" s="70">
        <f>IFERROR(W184/W183,"")</f>
        <v/>
      </c>
      <c r="X185" s="70">
        <f>IFERROR(X184/X183,"")</f>
        <v/>
      </c>
      <c r="Y185" s="70">
        <f>IFERROR(Y184/Y183,"")</f>
        <v/>
      </c>
      <c r="Z185" s="70">
        <f>IFERROR(Z184/Z183,"")</f>
        <v/>
      </c>
      <c r="AA185" s="70">
        <f>IFERROR(AA184/AA183,"")</f>
        <v/>
      </c>
      <c r="AB185" s="70">
        <f>IFERROR(AB184/AB183,"")</f>
        <v/>
      </c>
      <c r="AC185" s="70">
        <f>IFERROR(AC184/AC183,"")</f>
        <v/>
      </c>
      <c r="AD185" s="70">
        <f>IFERROR(AD184/AD183,"")</f>
        <v/>
      </c>
      <c r="AE185" s="70">
        <f>IFERROR(AE184/AE183,"")</f>
        <v/>
      </c>
      <c r="AF185" s="70">
        <f>IFERROR(AF184/AF183,"")</f>
        <v/>
      </c>
      <c r="AG185" s="70">
        <f>IFERROR(AG184/AG183,"")</f>
        <v/>
      </c>
      <c r="AH185" s="70">
        <f>IFERROR(AH184/AH183,"")</f>
        <v/>
      </c>
      <c r="AI185" s="70">
        <f>IFERROR(AI184/AI183,"")</f>
        <v/>
      </c>
      <c r="AJ185" s="70">
        <f>IFERROR(AJ184/AJ183,"")</f>
        <v/>
      </c>
      <c r="AK185" s="70">
        <f>IFERROR(AK184/AK183,"")</f>
        <v/>
      </c>
      <c r="AL185" s="70">
        <f>IFERROR(AL184/AL183,"")</f>
        <v/>
      </c>
      <c r="AM185" s="70">
        <f>IFERROR(AM184/AM183,"")</f>
        <v/>
      </c>
      <c r="AN185" s="70">
        <f>IFERROR(AN184/AN183,"")</f>
        <v/>
      </c>
      <c r="AO185" s="70">
        <f>IFERROR(AO184/AO183,"")</f>
        <v/>
      </c>
      <c r="AP185" s="70">
        <f>IFERROR(AP184/AP183,"")</f>
        <v/>
      </c>
      <c r="AQ185" s="70">
        <f>IFERROR(AQ184/AQ183,"")</f>
        <v/>
      </c>
      <c r="AR185" s="70">
        <f>IFERROR(AR184/AR183,"")</f>
        <v/>
      </c>
      <c r="AS185" s="70">
        <f>IFERROR(AS184/AS183,"")</f>
        <v/>
      </c>
      <c r="AT185" s="70">
        <f>IFERROR(AT184/AT183,"")</f>
        <v/>
      </c>
      <c r="AU185" s="70">
        <f>IFERROR(AU184/AU183,"")</f>
        <v/>
      </c>
      <c r="AV185" s="70">
        <f>IFERROR(AV184/AV183,"")</f>
        <v/>
      </c>
      <c r="AW185" s="70">
        <f>IFERROR(AW184/AW183,"")</f>
        <v/>
      </c>
      <c r="AX185" s="70">
        <f>IFERROR(AX184/AX183,"")</f>
        <v/>
      </c>
      <c r="AY185" s="70">
        <f>IFERROR(AY184/AY183,"")</f>
        <v/>
      </c>
      <c r="AZ185" s="70">
        <f>IFERROR(AZ184/AZ183,"")</f>
        <v/>
      </c>
      <c r="BA185" s="70">
        <f>IFERROR(BA184/BA183,"")</f>
        <v/>
      </c>
      <c r="BB185" s="70">
        <f>IFERROR(BB184/BB183,"")</f>
        <v/>
      </c>
      <c r="BC185" s="70">
        <f>IFERROR(BC184/BC183,"")</f>
        <v/>
      </c>
      <c r="BD185" s="70">
        <f>IFERROR(BD184/BD183,"")</f>
        <v/>
      </c>
      <c r="BE185" s="70">
        <f>IFERROR(BE184/BE183,"")</f>
        <v/>
      </c>
      <c r="BF185" s="70">
        <f>IFERROR(BF184/BF183,"")</f>
        <v/>
      </c>
      <c r="BG185" s="70">
        <f>IFERROR(BG184/BG183,"")</f>
        <v/>
      </c>
      <c r="BH185" s="70">
        <f>IFERROR(BH184/BH183,"")</f>
        <v/>
      </c>
      <c r="BI185" s="70">
        <f>IFERROR(BI184/BI183,"")</f>
        <v/>
      </c>
      <c r="BJ185" s="70">
        <f>IFERROR(BJ184/BJ183,"")</f>
        <v/>
      </c>
      <c r="BK185" s="70">
        <f>IFERROR(BK184/BK183,"")</f>
        <v/>
      </c>
      <c r="BL185" s="70">
        <f>IFERROR(BL184/BL183,"")</f>
        <v/>
      </c>
      <c r="BM185" s="70">
        <f>IFERROR(BM184/BM183,"")</f>
        <v/>
      </c>
      <c r="BN185" s="70">
        <f>IFERROR(BN184/BN183,"")</f>
        <v/>
      </c>
      <c r="BO185" s="70">
        <f>IFERROR(BO184/BO183,"")</f>
        <v/>
      </c>
    </row>
    <row r="186">
      <c r="A186" s="61">
        <f>IFERROR(INDEX(Team_Master!$C$6:$C$20,13),"")</f>
        <v/>
      </c>
      <c r="B186" s="62">
        <f>IFERROR(INDEX(Team_Master!$G$6:$G$20,13),"")</f>
        <v/>
      </c>
      <c r="C186" s="63" t="inlineStr">
        <is>
          <t>K1</t>
        </is>
      </c>
      <c r="D186" s="11" t="inlineStr">
        <is>
          <t>Invoiced Value</t>
        </is>
      </c>
      <c r="E186" s="64" t="inlineStr">
        <is>
          <t>MVND</t>
        </is>
      </c>
      <c r="F186" s="65" t="inlineStr">
        <is>
          <t>Phasing</t>
        </is>
      </c>
      <c r="G186" s="56">
        <f>SUM(H186:BO186)</f>
        <v/>
      </c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  <c r="BF186" s="52" t="n"/>
      <c r="BG186" s="52" t="n"/>
      <c r="BH186" s="52" t="n"/>
      <c r="BI186" s="52" t="n"/>
      <c r="BJ186" s="52" t="n"/>
      <c r="BK186" s="52" t="n"/>
      <c r="BL186" s="52" t="n"/>
      <c r="BM186" s="52" t="n"/>
      <c r="BN186" s="52" t="n"/>
      <c r="BO186" s="52" t="n"/>
    </row>
    <row r="187">
      <c r="A187" s="66" t="n"/>
      <c r="B187" s="66" t="n"/>
      <c r="C187" s="66" t="n"/>
      <c r="D187" s="66" t="n"/>
      <c r="E187" s="66" t="n"/>
      <c r="F187" s="65" t="inlineStr">
        <is>
          <t>Actual</t>
        </is>
      </c>
      <c r="G187" s="56">
        <f>SUM(H187:BO187)</f>
        <v/>
      </c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  <c r="AL187" s="52" t="n"/>
      <c r="AM187" s="52" t="n"/>
      <c r="AN187" s="52" t="n"/>
      <c r="AO187" s="52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  <c r="BB187" s="52" t="n"/>
      <c r="BC187" s="52" t="n"/>
      <c r="BD187" s="52" t="n"/>
      <c r="BE187" s="52" t="n"/>
      <c r="BF187" s="52" t="n"/>
      <c r="BG187" s="52" t="n"/>
      <c r="BH187" s="52" t="n"/>
      <c r="BI187" s="52" t="n"/>
      <c r="BJ187" s="52" t="n"/>
      <c r="BK187" s="52" t="n"/>
      <c r="BL187" s="52" t="n"/>
      <c r="BM187" s="52" t="n"/>
      <c r="BN187" s="52" t="n"/>
      <c r="BO187" s="52" t="n"/>
    </row>
    <row r="188">
      <c r="A188" s="66" t="n"/>
      <c r="B188" s="66" t="n"/>
      <c r="C188" s="67" t="n"/>
      <c r="D188" s="67" t="n"/>
      <c r="E188" s="67" t="n"/>
      <c r="F188" s="68" t="inlineStr">
        <is>
          <t>% Achieved</t>
        </is>
      </c>
      <c r="G188" s="69">
        <f>IFERROR(G187/G186,"")</f>
        <v/>
      </c>
      <c r="H188" s="70">
        <f>IFERROR(H187/H186,"")</f>
        <v/>
      </c>
      <c r="I188" s="70">
        <f>IFERROR(I187/I186,"")</f>
        <v/>
      </c>
      <c r="J188" s="70">
        <f>IFERROR(J187/J186,"")</f>
        <v/>
      </c>
      <c r="K188" s="70">
        <f>IFERROR(K187/K186,"")</f>
        <v/>
      </c>
      <c r="L188" s="70">
        <f>IFERROR(L187/L186,"")</f>
        <v/>
      </c>
      <c r="M188" s="70">
        <f>IFERROR(M187/M186,"")</f>
        <v/>
      </c>
      <c r="N188" s="70">
        <f>IFERROR(N187/N186,"")</f>
        <v/>
      </c>
      <c r="O188" s="70">
        <f>IFERROR(O187/O186,"")</f>
        <v/>
      </c>
      <c r="P188" s="70">
        <f>IFERROR(P187/P186,"")</f>
        <v/>
      </c>
      <c r="Q188" s="70">
        <f>IFERROR(Q187/Q186,"")</f>
        <v/>
      </c>
      <c r="R188" s="70">
        <f>IFERROR(R187/R186,"")</f>
        <v/>
      </c>
      <c r="S188" s="70">
        <f>IFERROR(S187/S186,"")</f>
        <v/>
      </c>
      <c r="T188" s="70">
        <f>IFERROR(T187/T186,"")</f>
        <v/>
      </c>
      <c r="U188" s="70">
        <f>IFERROR(U187/U186,"")</f>
        <v/>
      </c>
      <c r="V188" s="70">
        <f>IFERROR(V187/V186,"")</f>
        <v/>
      </c>
      <c r="W188" s="70">
        <f>IFERROR(W187/W186,"")</f>
        <v/>
      </c>
      <c r="X188" s="70">
        <f>IFERROR(X187/X186,"")</f>
        <v/>
      </c>
      <c r="Y188" s="70">
        <f>IFERROR(Y187/Y186,"")</f>
        <v/>
      </c>
      <c r="Z188" s="70">
        <f>IFERROR(Z187/Z186,"")</f>
        <v/>
      </c>
      <c r="AA188" s="70">
        <f>IFERROR(AA187/AA186,"")</f>
        <v/>
      </c>
      <c r="AB188" s="70">
        <f>IFERROR(AB187/AB186,"")</f>
        <v/>
      </c>
      <c r="AC188" s="70">
        <f>IFERROR(AC187/AC186,"")</f>
        <v/>
      </c>
      <c r="AD188" s="70">
        <f>IFERROR(AD187/AD186,"")</f>
        <v/>
      </c>
      <c r="AE188" s="70">
        <f>IFERROR(AE187/AE186,"")</f>
        <v/>
      </c>
      <c r="AF188" s="70">
        <f>IFERROR(AF187/AF186,"")</f>
        <v/>
      </c>
      <c r="AG188" s="70">
        <f>IFERROR(AG187/AG186,"")</f>
        <v/>
      </c>
      <c r="AH188" s="70">
        <f>IFERROR(AH187/AH186,"")</f>
        <v/>
      </c>
      <c r="AI188" s="70">
        <f>IFERROR(AI187/AI186,"")</f>
        <v/>
      </c>
      <c r="AJ188" s="70">
        <f>IFERROR(AJ187/AJ186,"")</f>
        <v/>
      </c>
      <c r="AK188" s="70">
        <f>IFERROR(AK187/AK186,"")</f>
        <v/>
      </c>
      <c r="AL188" s="70">
        <f>IFERROR(AL187/AL186,"")</f>
        <v/>
      </c>
      <c r="AM188" s="70">
        <f>IFERROR(AM187/AM186,"")</f>
        <v/>
      </c>
      <c r="AN188" s="70">
        <f>IFERROR(AN187/AN186,"")</f>
        <v/>
      </c>
      <c r="AO188" s="70">
        <f>IFERROR(AO187/AO186,"")</f>
        <v/>
      </c>
      <c r="AP188" s="70">
        <f>IFERROR(AP187/AP186,"")</f>
        <v/>
      </c>
      <c r="AQ188" s="70">
        <f>IFERROR(AQ187/AQ186,"")</f>
        <v/>
      </c>
      <c r="AR188" s="70">
        <f>IFERROR(AR187/AR186,"")</f>
        <v/>
      </c>
      <c r="AS188" s="70">
        <f>IFERROR(AS187/AS186,"")</f>
        <v/>
      </c>
      <c r="AT188" s="70">
        <f>IFERROR(AT187/AT186,"")</f>
        <v/>
      </c>
      <c r="AU188" s="70">
        <f>IFERROR(AU187/AU186,"")</f>
        <v/>
      </c>
      <c r="AV188" s="70">
        <f>IFERROR(AV187/AV186,"")</f>
        <v/>
      </c>
      <c r="AW188" s="70">
        <f>IFERROR(AW187/AW186,"")</f>
        <v/>
      </c>
      <c r="AX188" s="70">
        <f>IFERROR(AX187/AX186,"")</f>
        <v/>
      </c>
      <c r="AY188" s="70">
        <f>IFERROR(AY187/AY186,"")</f>
        <v/>
      </c>
      <c r="AZ188" s="70">
        <f>IFERROR(AZ187/AZ186,"")</f>
        <v/>
      </c>
      <c r="BA188" s="70">
        <f>IFERROR(BA187/BA186,"")</f>
        <v/>
      </c>
      <c r="BB188" s="70">
        <f>IFERROR(BB187/BB186,"")</f>
        <v/>
      </c>
      <c r="BC188" s="70">
        <f>IFERROR(BC187/BC186,"")</f>
        <v/>
      </c>
      <c r="BD188" s="70">
        <f>IFERROR(BD187/BD186,"")</f>
        <v/>
      </c>
      <c r="BE188" s="70">
        <f>IFERROR(BE187/BE186,"")</f>
        <v/>
      </c>
      <c r="BF188" s="70">
        <f>IFERROR(BF187/BF186,"")</f>
        <v/>
      </c>
      <c r="BG188" s="70">
        <f>IFERROR(BG187/BG186,"")</f>
        <v/>
      </c>
      <c r="BH188" s="70">
        <f>IFERROR(BH187/BH186,"")</f>
        <v/>
      </c>
      <c r="BI188" s="70">
        <f>IFERROR(BI187/BI186,"")</f>
        <v/>
      </c>
      <c r="BJ188" s="70">
        <f>IFERROR(BJ187/BJ186,"")</f>
        <v/>
      </c>
      <c r="BK188" s="70">
        <f>IFERROR(BK187/BK186,"")</f>
        <v/>
      </c>
      <c r="BL188" s="70">
        <f>IFERROR(BL187/BL186,"")</f>
        <v/>
      </c>
      <c r="BM188" s="70">
        <f>IFERROR(BM187/BM186,"")</f>
        <v/>
      </c>
      <c r="BN188" s="70">
        <f>IFERROR(BN187/BN186,"")</f>
        <v/>
      </c>
      <c r="BO188" s="70">
        <f>IFERROR(BO187/BO186,"")</f>
        <v/>
      </c>
    </row>
    <row r="189">
      <c r="A189" s="66" t="n"/>
      <c r="B189" s="66" t="n"/>
      <c r="C189" s="63" t="inlineStr">
        <is>
          <t>K2</t>
        </is>
      </c>
      <c r="D189" s="11" t="inlineStr">
        <is>
          <t>Key account approach / Site check</t>
        </is>
      </c>
      <c r="E189" s="64" t="inlineStr">
        <is>
          <t>Roadshow</t>
        </is>
      </c>
      <c r="F189" s="65" t="inlineStr">
        <is>
          <t>Phasing</t>
        </is>
      </c>
      <c r="G189" s="56">
        <f>SUM(H189:BO189)</f>
        <v/>
      </c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2" t="n"/>
      <c r="AK189" s="52" t="n"/>
      <c r="AL189" s="52" t="n"/>
      <c r="AM189" s="52" t="n"/>
      <c r="AN189" s="52" t="n"/>
      <c r="AO189" s="52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  <c r="BB189" s="52" t="n"/>
      <c r="BC189" s="52" t="n"/>
      <c r="BD189" s="52" t="n"/>
      <c r="BE189" s="52" t="n"/>
      <c r="BF189" s="52" t="n"/>
      <c r="BG189" s="52" t="n"/>
      <c r="BH189" s="52" t="n"/>
      <c r="BI189" s="52" t="n"/>
      <c r="BJ189" s="52" t="n"/>
      <c r="BK189" s="52" t="n"/>
      <c r="BL189" s="52" t="n"/>
      <c r="BM189" s="52" t="n"/>
      <c r="BN189" s="52" t="n"/>
      <c r="BO189" s="52" t="n"/>
    </row>
    <row r="190">
      <c r="A190" s="66" t="n"/>
      <c r="B190" s="66" t="n"/>
      <c r="C190" s="66" t="n"/>
      <c r="D190" s="66" t="n"/>
      <c r="E190" s="66" t="n"/>
      <c r="F190" s="65" t="inlineStr">
        <is>
          <t>Actual</t>
        </is>
      </c>
      <c r="G190" s="56">
        <f>SUM(H190:BO190)</f>
        <v/>
      </c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  <c r="BF190" s="52" t="n"/>
      <c r="BG190" s="52" t="n"/>
      <c r="BH190" s="52" t="n"/>
      <c r="BI190" s="52" t="n"/>
      <c r="BJ190" s="52" t="n"/>
      <c r="BK190" s="52" t="n"/>
      <c r="BL190" s="52" t="n"/>
      <c r="BM190" s="52" t="n"/>
      <c r="BN190" s="52" t="n"/>
      <c r="BO190" s="52" t="n"/>
    </row>
    <row r="191">
      <c r="A191" s="66" t="n"/>
      <c r="B191" s="66" t="n"/>
      <c r="C191" s="67" t="n"/>
      <c r="D191" s="67" t="n"/>
      <c r="E191" s="67" t="n"/>
      <c r="F191" s="68" t="inlineStr">
        <is>
          <t>% Achieved</t>
        </is>
      </c>
      <c r="G191" s="69">
        <f>IFERROR(G190/G189,"")</f>
        <v/>
      </c>
      <c r="H191" s="70">
        <f>IFERROR(H190/H189,"")</f>
        <v/>
      </c>
      <c r="I191" s="70">
        <f>IFERROR(I190/I189,"")</f>
        <v/>
      </c>
      <c r="J191" s="70">
        <f>IFERROR(J190/J189,"")</f>
        <v/>
      </c>
      <c r="K191" s="70">
        <f>IFERROR(K190/K189,"")</f>
        <v/>
      </c>
      <c r="L191" s="70">
        <f>IFERROR(L190/L189,"")</f>
        <v/>
      </c>
      <c r="M191" s="70">
        <f>IFERROR(M190/M189,"")</f>
        <v/>
      </c>
      <c r="N191" s="70">
        <f>IFERROR(N190/N189,"")</f>
        <v/>
      </c>
      <c r="O191" s="70">
        <f>IFERROR(O190/O189,"")</f>
        <v/>
      </c>
      <c r="P191" s="70">
        <f>IFERROR(P190/P189,"")</f>
        <v/>
      </c>
      <c r="Q191" s="70">
        <f>IFERROR(Q190/Q189,"")</f>
        <v/>
      </c>
      <c r="R191" s="70">
        <f>IFERROR(R190/R189,"")</f>
        <v/>
      </c>
      <c r="S191" s="70">
        <f>IFERROR(S190/S189,"")</f>
        <v/>
      </c>
      <c r="T191" s="70">
        <f>IFERROR(T190/T189,"")</f>
        <v/>
      </c>
      <c r="U191" s="70">
        <f>IFERROR(U190/U189,"")</f>
        <v/>
      </c>
      <c r="V191" s="70">
        <f>IFERROR(V190/V189,"")</f>
        <v/>
      </c>
      <c r="W191" s="70">
        <f>IFERROR(W190/W189,"")</f>
        <v/>
      </c>
      <c r="X191" s="70">
        <f>IFERROR(X190/X189,"")</f>
        <v/>
      </c>
      <c r="Y191" s="70">
        <f>IFERROR(Y190/Y189,"")</f>
        <v/>
      </c>
      <c r="Z191" s="70">
        <f>IFERROR(Z190/Z189,"")</f>
        <v/>
      </c>
      <c r="AA191" s="70">
        <f>IFERROR(AA190/AA189,"")</f>
        <v/>
      </c>
      <c r="AB191" s="70">
        <f>IFERROR(AB190/AB189,"")</f>
        <v/>
      </c>
      <c r="AC191" s="70">
        <f>IFERROR(AC190/AC189,"")</f>
        <v/>
      </c>
      <c r="AD191" s="70">
        <f>IFERROR(AD190/AD189,"")</f>
        <v/>
      </c>
      <c r="AE191" s="70">
        <f>IFERROR(AE190/AE189,"")</f>
        <v/>
      </c>
      <c r="AF191" s="70">
        <f>IFERROR(AF190/AF189,"")</f>
        <v/>
      </c>
      <c r="AG191" s="70">
        <f>IFERROR(AG190/AG189,"")</f>
        <v/>
      </c>
      <c r="AH191" s="70">
        <f>IFERROR(AH190/AH189,"")</f>
        <v/>
      </c>
      <c r="AI191" s="70">
        <f>IFERROR(AI190/AI189,"")</f>
        <v/>
      </c>
      <c r="AJ191" s="70">
        <f>IFERROR(AJ190/AJ189,"")</f>
        <v/>
      </c>
      <c r="AK191" s="70">
        <f>IFERROR(AK190/AK189,"")</f>
        <v/>
      </c>
      <c r="AL191" s="70">
        <f>IFERROR(AL190/AL189,"")</f>
        <v/>
      </c>
      <c r="AM191" s="70">
        <f>IFERROR(AM190/AM189,"")</f>
        <v/>
      </c>
      <c r="AN191" s="70">
        <f>IFERROR(AN190/AN189,"")</f>
        <v/>
      </c>
      <c r="AO191" s="70">
        <f>IFERROR(AO190/AO189,"")</f>
        <v/>
      </c>
      <c r="AP191" s="70">
        <f>IFERROR(AP190/AP189,"")</f>
        <v/>
      </c>
      <c r="AQ191" s="70">
        <f>IFERROR(AQ190/AQ189,"")</f>
        <v/>
      </c>
      <c r="AR191" s="70">
        <f>IFERROR(AR190/AR189,"")</f>
        <v/>
      </c>
      <c r="AS191" s="70">
        <f>IFERROR(AS190/AS189,"")</f>
        <v/>
      </c>
      <c r="AT191" s="70">
        <f>IFERROR(AT190/AT189,"")</f>
        <v/>
      </c>
      <c r="AU191" s="70">
        <f>IFERROR(AU190/AU189,"")</f>
        <v/>
      </c>
      <c r="AV191" s="70">
        <f>IFERROR(AV190/AV189,"")</f>
        <v/>
      </c>
      <c r="AW191" s="70">
        <f>IFERROR(AW190/AW189,"")</f>
        <v/>
      </c>
      <c r="AX191" s="70">
        <f>IFERROR(AX190/AX189,"")</f>
        <v/>
      </c>
      <c r="AY191" s="70">
        <f>IFERROR(AY190/AY189,"")</f>
        <v/>
      </c>
      <c r="AZ191" s="70">
        <f>IFERROR(AZ190/AZ189,"")</f>
        <v/>
      </c>
      <c r="BA191" s="70">
        <f>IFERROR(BA190/BA189,"")</f>
        <v/>
      </c>
      <c r="BB191" s="70">
        <f>IFERROR(BB190/BB189,"")</f>
        <v/>
      </c>
      <c r="BC191" s="70">
        <f>IFERROR(BC190/BC189,"")</f>
        <v/>
      </c>
      <c r="BD191" s="70">
        <f>IFERROR(BD190/BD189,"")</f>
        <v/>
      </c>
      <c r="BE191" s="70">
        <f>IFERROR(BE190/BE189,"")</f>
        <v/>
      </c>
      <c r="BF191" s="70">
        <f>IFERROR(BF190/BF189,"")</f>
        <v/>
      </c>
      <c r="BG191" s="70">
        <f>IFERROR(BG190/BG189,"")</f>
        <v/>
      </c>
      <c r="BH191" s="70">
        <f>IFERROR(BH190/BH189,"")</f>
        <v/>
      </c>
      <c r="BI191" s="70">
        <f>IFERROR(BI190/BI189,"")</f>
        <v/>
      </c>
      <c r="BJ191" s="70">
        <f>IFERROR(BJ190/BJ189,"")</f>
        <v/>
      </c>
      <c r="BK191" s="70">
        <f>IFERROR(BK190/BK189,"")</f>
        <v/>
      </c>
      <c r="BL191" s="70">
        <f>IFERROR(BL190/BL189,"")</f>
        <v/>
      </c>
      <c r="BM191" s="70">
        <f>IFERROR(BM190/BM189,"")</f>
        <v/>
      </c>
      <c r="BN191" s="70">
        <f>IFERROR(BN190/BN189,"")</f>
        <v/>
      </c>
      <c r="BO191" s="70">
        <f>IFERROR(BO190/BO189,"")</f>
        <v/>
      </c>
    </row>
    <row r="192">
      <c r="A192" s="66" t="n"/>
      <c r="B192" s="66" t="n"/>
      <c r="C192" s="71" t="inlineStr">
        <is>
          <t>K3</t>
        </is>
      </c>
      <c r="D192" s="37" t="inlineStr">
        <is>
          <t>Spec-in Value</t>
        </is>
      </c>
      <c r="E192" s="72" t="inlineStr">
        <is>
          <t>MVND</t>
        </is>
      </c>
      <c r="F192" s="65" t="inlineStr">
        <is>
          <t>Phasing</t>
        </is>
      </c>
      <c r="G192" s="56">
        <f>SUM(H192:BO192)</f>
        <v/>
      </c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2" t="n"/>
      <c r="AK192" s="52" t="n"/>
      <c r="AL192" s="52" t="n"/>
      <c r="AM192" s="52" t="n"/>
      <c r="AN192" s="52" t="n"/>
      <c r="AO192" s="52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  <c r="BB192" s="52" t="n"/>
      <c r="BC192" s="52" t="n"/>
      <c r="BD192" s="52" t="n"/>
      <c r="BE192" s="52" t="n"/>
      <c r="BF192" s="52" t="n"/>
      <c r="BG192" s="52" t="n"/>
      <c r="BH192" s="52" t="n"/>
      <c r="BI192" s="52" t="n"/>
      <c r="BJ192" s="52" t="n"/>
      <c r="BK192" s="52" t="n"/>
      <c r="BL192" s="52" t="n"/>
      <c r="BM192" s="52" t="n"/>
      <c r="BN192" s="52" t="n"/>
      <c r="BO192" s="52" t="n"/>
    </row>
    <row r="193">
      <c r="A193" s="66" t="n"/>
      <c r="B193" s="66" t="n"/>
      <c r="C193" s="66" t="n"/>
      <c r="D193" s="66" t="n"/>
      <c r="E193" s="66" t="n"/>
      <c r="F193" s="65" t="inlineStr">
        <is>
          <t>Actual</t>
        </is>
      </c>
      <c r="G193" s="56">
        <f>SUM(H193:BO193)</f>
        <v/>
      </c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2" t="n"/>
      <c r="AK193" s="52" t="n"/>
      <c r="AL193" s="52" t="n"/>
      <c r="AM193" s="52" t="n"/>
      <c r="AN193" s="52" t="n"/>
      <c r="AO193" s="52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  <c r="BB193" s="52" t="n"/>
      <c r="BC193" s="52" t="n"/>
      <c r="BD193" s="52" t="n"/>
      <c r="BE193" s="52" t="n"/>
      <c r="BF193" s="52" t="n"/>
      <c r="BG193" s="52" t="n"/>
      <c r="BH193" s="52" t="n"/>
      <c r="BI193" s="52" t="n"/>
      <c r="BJ193" s="52" t="n"/>
      <c r="BK193" s="52" t="n"/>
      <c r="BL193" s="52" t="n"/>
      <c r="BM193" s="52" t="n"/>
      <c r="BN193" s="52" t="n"/>
      <c r="BO193" s="52" t="n"/>
    </row>
    <row r="194">
      <c r="A194" s="66" t="n"/>
      <c r="B194" s="66" t="n"/>
      <c r="C194" s="67" t="n"/>
      <c r="D194" s="67" t="n"/>
      <c r="E194" s="67" t="n"/>
      <c r="F194" s="68" t="inlineStr">
        <is>
          <t>% Achieved</t>
        </is>
      </c>
      <c r="G194" s="69">
        <f>IFERROR(G193/G192,"")</f>
        <v/>
      </c>
      <c r="H194" s="70">
        <f>IFERROR(H193/H192,"")</f>
        <v/>
      </c>
      <c r="I194" s="70">
        <f>IFERROR(I193/I192,"")</f>
        <v/>
      </c>
      <c r="J194" s="70">
        <f>IFERROR(J193/J192,"")</f>
        <v/>
      </c>
      <c r="K194" s="70">
        <f>IFERROR(K193/K192,"")</f>
        <v/>
      </c>
      <c r="L194" s="70">
        <f>IFERROR(L193/L192,"")</f>
        <v/>
      </c>
      <c r="M194" s="70">
        <f>IFERROR(M193/M192,"")</f>
        <v/>
      </c>
      <c r="N194" s="70">
        <f>IFERROR(N193/N192,"")</f>
        <v/>
      </c>
      <c r="O194" s="70">
        <f>IFERROR(O193/O192,"")</f>
        <v/>
      </c>
      <c r="P194" s="70">
        <f>IFERROR(P193/P192,"")</f>
        <v/>
      </c>
      <c r="Q194" s="70">
        <f>IFERROR(Q193/Q192,"")</f>
        <v/>
      </c>
      <c r="R194" s="70">
        <f>IFERROR(R193/R192,"")</f>
        <v/>
      </c>
      <c r="S194" s="70">
        <f>IFERROR(S193/S192,"")</f>
        <v/>
      </c>
      <c r="T194" s="70">
        <f>IFERROR(T193/T192,"")</f>
        <v/>
      </c>
      <c r="U194" s="70">
        <f>IFERROR(U193/U192,"")</f>
        <v/>
      </c>
      <c r="V194" s="70">
        <f>IFERROR(V193/V192,"")</f>
        <v/>
      </c>
      <c r="W194" s="70">
        <f>IFERROR(W193/W192,"")</f>
        <v/>
      </c>
      <c r="X194" s="70">
        <f>IFERROR(X193/X192,"")</f>
        <v/>
      </c>
      <c r="Y194" s="70">
        <f>IFERROR(Y193/Y192,"")</f>
        <v/>
      </c>
      <c r="Z194" s="70">
        <f>IFERROR(Z193/Z192,"")</f>
        <v/>
      </c>
      <c r="AA194" s="70">
        <f>IFERROR(AA193/AA192,"")</f>
        <v/>
      </c>
      <c r="AB194" s="70">
        <f>IFERROR(AB193/AB192,"")</f>
        <v/>
      </c>
      <c r="AC194" s="70">
        <f>IFERROR(AC193/AC192,"")</f>
        <v/>
      </c>
      <c r="AD194" s="70">
        <f>IFERROR(AD193/AD192,"")</f>
        <v/>
      </c>
      <c r="AE194" s="70">
        <f>IFERROR(AE193/AE192,"")</f>
        <v/>
      </c>
      <c r="AF194" s="70">
        <f>IFERROR(AF193/AF192,"")</f>
        <v/>
      </c>
      <c r="AG194" s="70">
        <f>IFERROR(AG193/AG192,"")</f>
        <v/>
      </c>
      <c r="AH194" s="70">
        <f>IFERROR(AH193/AH192,"")</f>
        <v/>
      </c>
      <c r="AI194" s="70">
        <f>IFERROR(AI193/AI192,"")</f>
        <v/>
      </c>
      <c r="AJ194" s="70">
        <f>IFERROR(AJ193/AJ192,"")</f>
        <v/>
      </c>
      <c r="AK194" s="70">
        <f>IFERROR(AK193/AK192,"")</f>
        <v/>
      </c>
      <c r="AL194" s="70">
        <f>IFERROR(AL193/AL192,"")</f>
        <v/>
      </c>
      <c r="AM194" s="70">
        <f>IFERROR(AM193/AM192,"")</f>
        <v/>
      </c>
      <c r="AN194" s="70">
        <f>IFERROR(AN193/AN192,"")</f>
        <v/>
      </c>
      <c r="AO194" s="70">
        <f>IFERROR(AO193/AO192,"")</f>
        <v/>
      </c>
      <c r="AP194" s="70">
        <f>IFERROR(AP193/AP192,"")</f>
        <v/>
      </c>
      <c r="AQ194" s="70">
        <f>IFERROR(AQ193/AQ192,"")</f>
        <v/>
      </c>
      <c r="AR194" s="70">
        <f>IFERROR(AR193/AR192,"")</f>
        <v/>
      </c>
      <c r="AS194" s="70">
        <f>IFERROR(AS193/AS192,"")</f>
        <v/>
      </c>
      <c r="AT194" s="70">
        <f>IFERROR(AT193/AT192,"")</f>
        <v/>
      </c>
      <c r="AU194" s="70">
        <f>IFERROR(AU193/AU192,"")</f>
        <v/>
      </c>
      <c r="AV194" s="70">
        <f>IFERROR(AV193/AV192,"")</f>
        <v/>
      </c>
      <c r="AW194" s="70">
        <f>IFERROR(AW193/AW192,"")</f>
        <v/>
      </c>
      <c r="AX194" s="70">
        <f>IFERROR(AX193/AX192,"")</f>
        <v/>
      </c>
      <c r="AY194" s="70">
        <f>IFERROR(AY193/AY192,"")</f>
        <v/>
      </c>
      <c r="AZ194" s="70">
        <f>IFERROR(AZ193/AZ192,"")</f>
        <v/>
      </c>
      <c r="BA194" s="70">
        <f>IFERROR(BA193/BA192,"")</f>
        <v/>
      </c>
      <c r="BB194" s="70">
        <f>IFERROR(BB193/BB192,"")</f>
        <v/>
      </c>
      <c r="BC194" s="70">
        <f>IFERROR(BC193/BC192,"")</f>
        <v/>
      </c>
      <c r="BD194" s="70">
        <f>IFERROR(BD193/BD192,"")</f>
        <v/>
      </c>
      <c r="BE194" s="70">
        <f>IFERROR(BE193/BE192,"")</f>
        <v/>
      </c>
      <c r="BF194" s="70">
        <f>IFERROR(BF193/BF192,"")</f>
        <v/>
      </c>
      <c r="BG194" s="70">
        <f>IFERROR(BG193/BG192,"")</f>
        <v/>
      </c>
      <c r="BH194" s="70">
        <f>IFERROR(BH193/BH192,"")</f>
        <v/>
      </c>
      <c r="BI194" s="70">
        <f>IFERROR(BI193/BI192,"")</f>
        <v/>
      </c>
      <c r="BJ194" s="70">
        <f>IFERROR(BJ193/BJ192,"")</f>
        <v/>
      </c>
      <c r="BK194" s="70">
        <f>IFERROR(BK193/BK192,"")</f>
        <v/>
      </c>
      <c r="BL194" s="70">
        <f>IFERROR(BL193/BL192,"")</f>
        <v/>
      </c>
      <c r="BM194" s="70">
        <f>IFERROR(BM193/BM192,"")</f>
        <v/>
      </c>
      <c r="BN194" s="70">
        <f>IFERROR(BN193/BN192,"")</f>
        <v/>
      </c>
      <c r="BO194" s="70">
        <f>IFERROR(BO193/BO192,"")</f>
        <v/>
      </c>
    </row>
    <row r="195">
      <c r="A195" s="66" t="n"/>
      <c r="B195" s="66" t="n"/>
      <c r="C195" s="71" t="inlineStr">
        <is>
          <t>K4</t>
        </is>
      </c>
      <c r="D195" s="37" t="inlineStr">
        <is>
          <t>Engaged Architect (Submit Design)</t>
        </is>
      </c>
      <c r="E195" s="72" t="inlineStr">
        <is>
          <t>D&amp;B</t>
        </is>
      </c>
      <c r="F195" s="65" t="inlineStr">
        <is>
          <t>Phasing</t>
        </is>
      </c>
      <c r="G195" s="56">
        <f>SUM(H195:BO195)</f>
        <v/>
      </c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  <c r="BF195" s="52" t="n"/>
      <c r="BG195" s="52" t="n"/>
      <c r="BH195" s="52" t="n"/>
      <c r="BI195" s="52" t="n"/>
      <c r="BJ195" s="52" t="n"/>
      <c r="BK195" s="52" t="n"/>
      <c r="BL195" s="52" t="n"/>
      <c r="BM195" s="52" t="n"/>
      <c r="BN195" s="52" t="n"/>
      <c r="BO195" s="52" t="n"/>
    </row>
    <row r="196">
      <c r="A196" s="66" t="n"/>
      <c r="B196" s="66" t="n"/>
      <c r="C196" s="66" t="n"/>
      <c r="D196" s="66" t="n"/>
      <c r="E196" s="66" t="n"/>
      <c r="F196" s="65" t="inlineStr">
        <is>
          <t>Actual</t>
        </is>
      </c>
      <c r="G196" s="56">
        <f>SUM(H196:BO196)</f>
        <v/>
      </c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2" t="n"/>
      <c r="AK196" s="52" t="n"/>
      <c r="AL196" s="52" t="n"/>
      <c r="AM196" s="52" t="n"/>
      <c r="AN196" s="52" t="n"/>
      <c r="AO196" s="52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  <c r="BB196" s="52" t="n"/>
      <c r="BC196" s="52" t="n"/>
      <c r="BD196" s="52" t="n"/>
      <c r="BE196" s="52" t="n"/>
      <c r="BF196" s="52" t="n"/>
      <c r="BG196" s="52" t="n"/>
      <c r="BH196" s="52" t="n"/>
      <c r="BI196" s="52" t="n"/>
      <c r="BJ196" s="52" t="n"/>
      <c r="BK196" s="52" t="n"/>
      <c r="BL196" s="52" t="n"/>
      <c r="BM196" s="52" t="n"/>
      <c r="BN196" s="52" t="n"/>
      <c r="BO196" s="52" t="n"/>
    </row>
    <row r="197">
      <c r="A197" s="66" t="n"/>
      <c r="B197" s="66" t="n"/>
      <c r="C197" s="67" t="n"/>
      <c r="D197" s="67" t="n"/>
      <c r="E197" s="67" t="n"/>
      <c r="F197" s="68" t="inlineStr">
        <is>
          <t>% Achieved</t>
        </is>
      </c>
      <c r="G197" s="69">
        <f>IFERROR(G196/G195,"")</f>
        <v/>
      </c>
      <c r="H197" s="70">
        <f>IFERROR(H196/H195,"")</f>
        <v/>
      </c>
      <c r="I197" s="70">
        <f>IFERROR(I196/I195,"")</f>
        <v/>
      </c>
      <c r="J197" s="70">
        <f>IFERROR(J196/J195,"")</f>
        <v/>
      </c>
      <c r="K197" s="70">
        <f>IFERROR(K196/K195,"")</f>
        <v/>
      </c>
      <c r="L197" s="70">
        <f>IFERROR(L196/L195,"")</f>
        <v/>
      </c>
      <c r="M197" s="70">
        <f>IFERROR(M196/M195,"")</f>
        <v/>
      </c>
      <c r="N197" s="70">
        <f>IFERROR(N196/N195,"")</f>
        <v/>
      </c>
      <c r="O197" s="70">
        <f>IFERROR(O196/O195,"")</f>
        <v/>
      </c>
      <c r="P197" s="70">
        <f>IFERROR(P196/P195,"")</f>
        <v/>
      </c>
      <c r="Q197" s="70">
        <f>IFERROR(Q196/Q195,"")</f>
        <v/>
      </c>
      <c r="R197" s="70">
        <f>IFERROR(R196/R195,"")</f>
        <v/>
      </c>
      <c r="S197" s="70">
        <f>IFERROR(S196/S195,"")</f>
        <v/>
      </c>
      <c r="T197" s="70">
        <f>IFERROR(T196/T195,"")</f>
        <v/>
      </c>
      <c r="U197" s="70">
        <f>IFERROR(U196/U195,"")</f>
        <v/>
      </c>
      <c r="V197" s="70">
        <f>IFERROR(V196/V195,"")</f>
        <v/>
      </c>
      <c r="W197" s="70">
        <f>IFERROR(W196/W195,"")</f>
        <v/>
      </c>
      <c r="X197" s="70">
        <f>IFERROR(X196/X195,"")</f>
        <v/>
      </c>
      <c r="Y197" s="70">
        <f>IFERROR(Y196/Y195,"")</f>
        <v/>
      </c>
      <c r="Z197" s="70">
        <f>IFERROR(Z196/Z195,"")</f>
        <v/>
      </c>
      <c r="AA197" s="70">
        <f>IFERROR(AA196/AA195,"")</f>
        <v/>
      </c>
      <c r="AB197" s="70">
        <f>IFERROR(AB196/AB195,"")</f>
        <v/>
      </c>
      <c r="AC197" s="70">
        <f>IFERROR(AC196/AC195,"")</f>
        <v/>
      </c>
      <c r="AD197" s="70">
        <f>IFERROR(AD196/AD195,"")</f>
        <v/>
      </c>
      <c r="AE197" s="70">
        <f>IFERROR(AE196/AE195,"")</f>
        <v/>
      </c>
      <c r="AF197" s="70">
        <f>IFERROR(AF196/AF195,"")</f>
        <v/>
      </c>
      <c r="AG197" s="70">
        <f>IFERROR(AG196/AG195,"")</f>
        <v/>
      </c>
      <c r="AH197" s="70">
        <f>IFERROR(AH196/AH195,"")</f>
        <v/>
      </c>
      <c r="AI197" s="70">
        <f>IFERROR(AI196/AI195,"")</f>
        <v/>
      </c>
      <c r="AJ197" s="70">
        <f>IFERROR(AJ196/AJ195,"")</f>
        <v/>
      </c>
      <c r="AK197" s="70">
        <f>IFERROR(AK196/AK195,"")</f>
        <v/>
      </c>
      <c r="AL197" s="70">
        <f>IFERROR(AL196/AL195,"")</f>
        <v/>
      </c>
      <c r="AM197" s="70">
        <f>IFERROR(AM196/AM195,"")</f>
        <v/>
      </c>
      <c r="AN197" s="70">
        <f>IFERROR(AN196/AN195,"")</f>
        <v/>
      </c>
      <c r="AO197" s="70">
        <f>IFERROR(AO196/AO195,"")</f>
        <v/>
      </c>
      <c r="AP197" s="70">
        <f>IFERROR(AP196/AP195,"")</f>
        <v/>
      </c>
      <c r="AQ197" s="70">
        <f>IFERROR(AQ196/AQ195,"")</f>
        <v/>
      </c>
      <c r="AR197" s="70">
        <f>IFERROR(AR196/AR195,"")</f>
        <v/>
      </c>
      <c r="AS197" s="70">
        <f>IFERROR(AS196/AS195,"")</f>
        <v/>
      </c>
      <c r="AT197" s="70">
        <f>IFERROR(AT196/AT195,"")</f>
        <v/>
      </c>
      <c r="AU197" s="70">
        <f>IFERROR(AU196/AU195,"")</f>
        <v/>
      </c>
      <c r="AV197" s="70">
        <f>IFERROR(AV196/AV195,"")</f>
        <v/>
      </c>
      <c r="AW197" s="70">
        <f>IFERROR(AW196/AW195,"")</f>
        <v/>
      </c>
      <c r="AX197" s="70">
        <f>IFERROR(AX196/AX195,"")</f>
        <v/>
      </c>
      <c r="AY197" s="70">
        <f>IFERROR(AY196/AY195,"")</f>
        <v/>
      </c>
      <c r="AZ197" s="70">
        <f>IFERROR(AZ196/AZ195,"")</f>
        <v/>
      </c>
      <c r="BA197" s="70">
        <f>IFERROR(BA196/BA195,"")</f>
        <v/>
      </c>
      <c r="BB197" s="70">
        <f>IFERROR(BB196/BB195,"")</f>
        <v/>
      </c>
      <c r="BC197" s="70">
        <f>IFERROR(BC196/BC195,"")</f>
        <v/>
      </c>
      <c r="BD197" s="70">
        <f>IFERROR(BD196/BD195,"")</f>
        <v/>
      </c>
      <c r="BE197" s="70">
        <f>IFERROR(BE196/BE195,"")</f>
        <v/>
      </c>
      <c r="BF197" s="70">
        <f>IFERROR(BF196/BF195,"")</f>
        <v/>
      </c>
      <c r="BG197" s="70">
        <f>IFERROR(BG196/BG195,"")</f>
        <v/>
      </c>
      <c r="BH197" s="70">
        <f>IFERROR(BH196/BH195,"")</f>
        <v/>
      </c>
      <c r="BI197" s="70">
        <f>IFERROR(BI196/BI195,"")</f>
        <v/>
      </c>
      <c r="BJ197" s="70">
        <f>IFERROR(BJ196/BJ195,"")</f>
        <v/>
      </c>
      <c r="BK197" s="70">
        <f>IFERROR(BK196/BK195,"")</f>
        <v/>
      </c>
      <c r="BL197" s="70">
        <f>IFERROR(BL196/BL195,"")</f>
        <v/>
      </c>
      <c r="BM197" s="70">
        <f>IFERROR(BM196/BM195,"")</f>
        <v/>
      </c>
      <c r="BN197" s="70">
        <f>IFERROR(BN196/BN195,"")</f>
        <v/>
      </c>
      <c r="BO197" s="70">
        <f>IFERROR(BO196/BO195,"")</f>
        <v/>
      </c>
    </row>
    <row r="198">
      <c r="A198" s="66" t="n"/>
      <c r="B198" s="66" t="n"/>
      <c r="C198" s="73" t="inlineStr">
        <is>
          <t>K5</t>
        </is>
      </c>
      <c r="D198" s="41" t="inlineStr">
        <is>
          <t>Spec-in Design (submitted design)</t>
        </is>
      </c>
      <c r="E198" s="74" t="inlineStr">
        <is>
          <t>Designs</t>
        </is>
      </c>
      <c r="F198" s="65" t="inlineStr">
        <is>
          <t>Phasing</t>
        </is>
      </c>
      <c r="G198" s="56">
        <f>SUM(H198:BO198)</f>
        <v/>
      </c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L198" s="52" t="n"/>
      <c r="AM198" s="52" t="n"/>
      <c r="AN198" s="52" t="n"/>
      <c r="AO198" s="52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  <c r="BB198" s="52" t="n"/>
      <c r="BC198" s="52" t="n"/>
      <c r="BD198" s="52" t="n"/>
      <c r="BE198" s="52" t="n"/>
      <c r="BF198" s="52" t="n"/>
      <c r="BG198" s="52" t="n"/>
      <c r="BH198" s="52" t="n"/>
      <c r="BI198" s="52" t="n"/>
      <c r="BJ198" s="52" t="n"/>
      <c r="BK198" s="52" t="n"/>
      <c r="BL198" s="52" t="n"/>
      <c r="BM198" s="52" t="n"/>
      <c r="BN198" s="52" t="n"/>
      <c r="BO198" s="52" t="n"/>
    </row>
    <row r="199">
      <c r="A199" s="66" t="n"/>
      <c r="B199" s="66" t="n"/>
      <c r="C199" s="66" t="n"/>
      <c r="D199" s="66" t="n"/>
      <c r="E199" s="66" t="n"/>
      <c r="F199" s="65" t="inlineStr">
        <is>
          <t>Actual</t>
        </is>
      </c>
      <c r="G199" s="56">
        <f>SUM(H199:BO199)</f>
        <v/>
      </c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L199" s="52" t="n"/>
      <c r="AM199" s="52" t="n"/>
      <c r="AN199" s="52" t="n"/>
      <c r="AO199" s="52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  <c r="BB199" s="52" t="n"/>
      <c r="BC199" s="52" t="n"/>
      <c r="BD199" s="52" t="n"/>
      <c r="BE199" s="52" t="n"/>
      <c r="BF199" s="52" t="n"/>
      <c r="BG199" s="52" t="n"/>
      <c r="BH199" s="52" t="n"/>
      <c r="BI199" s="52" t="n"/>
      <c r="BJ199" s="52" t="n"/>
      <c r="BK199" s="52" t="n"/>
      <c r="BL199" s="52" t="n"/>
      <c r="BM199" s="52" t="n"/>
      <c r="BN199" s="52" t="n"/>
      <c r="BO199" s="52" t="n"/>
    </row>
    <row r="200">
      <c r="A200" s="67" t="n"/>
      <c r="B200" s="67" t="n"/>
      <c r="C200" s="67" t="n"/>
      <c r="D200" s="67" t="n"/>
      <c r="E200" s="67" t="n"/>
      <c r="F200" s="68" t="inlineStr">
        <is>
          <t>% Achieved</t>
        </is>
      </c>
      <c r="G200" s="69">
        <f>IFERROR(G199/G198,"")</f>
        <v/>
      </c>
      <c r="H200" s="70">
        <f>IFERROR(H199/H198,"")</f>
        <v/>
      </c>
      <c r="I200" s="70">
        <f>IFERROR(I199/I198,"")</f>
        <v/>
      </c>
      <c r="J200" s="70">
        <f>IFERROR(J199/J198,"")</f>
        <v/>
      </c>
      <c r="K200" s="70">
        <f>IFERROR(K199/K198,"")</f>
        <v/>
      </c>
      <c r="L200" s="70">
        <f>IFERROR(L199/L198,"")</f>
        <v/>
      </c>
      <c r="M200" s="70">
        <f>IFERROR(M199/M198,"")</f>
        <v/>
      </c>
      <c r="N200" s="70">
        <f>IFERROR(N199/N198,"")</f>
        <v/>
      </c>
      <c r="O200" s="70">
        <f>IFERROR(O199/O198,"")</f>
        <v/>
      </c>
      <c r="P200" s="70">
        <f>IFERROR(P199/P198,"")</f>
        <v/>
      </c>
      <c r="Q200" s="70">
        <f>IFERROR(Q199/Q198,"")</f>
        <v/>
      </c>
      <c r="R200" s="70">
        <f>IFERROR(R199/R198,"")</f>
        <v/>
      </c>
      <c r="S200" s="70">
        <f>IFERROR(S199/S198,"")</f>
        <v/>
      </c>
      <c r="T200" s="70">
        <f>IFERROR(T199/T198,"")</f>
        <v/>
      </c>
      <c r="U200" s="70">
        <f>IFERROR(U199/U198,"")</f>
        <v/>
      </c>
      <c r="V200" s="70">
        <f>IFERROR(V199/V198,"")</f>
        <v/>
      </c>
      <c r="W200" s="70">
        <f>IFERROR(W199/W198,"")</f>
        <v/>
      </c>
      <c r="X200" s="70">
        <f>IFERROR(X199/X198,"")</f>
        <v/>
      </c>
      <c r="Y200" s="70">
        <f>IFERROR(Y199/Y198,"")</f>
        <v/>
      </c>
      <c r="Z200" s="70">
        <f>IFERROR(Z199/Z198,"")</f>
        <v/>
      </c>
      <c r="AA200" s="70">
        <f>IFERROR(AA199/AA198,"")</f>
        <v/>
      </c>
      <c r="AB200" s="70">
        <f>IFERROR(AB199/AB198,"")</f>
        <v/>
      </c>
      <c r="AC200" s="70">
        <f>IFERROR(AC199/AC198,"")</f>
        <v/>
      </c>
      <c r="AD200" s="70">
        <f>IFERROR(AD199/AD198,"")</f>
        <v/>
      </c>
      <c r="AE200" s="70">
        <f>IFERROR(AE199/AE198,"")</f>
        <v/>
      </c>
      <c r="AF200" s="70">
        <f>IFERROR(AF199/AF198,"")</f>
        <v/>
      </c>
      <c r="AG200" s="70">
        <f>IFERROR(AG199/AG198,"")</f>
        <v/>
      </c>
      <c r="AH200" s="70">
        <f>IFERROR(AH199/AH198,"")</f>
        <v/>
      </c>
      <c r="AI200" s="70">
        <f>IFERROR(AI199/AI198,"")</f>
        <v/>
      </c>
      <c r="AJ200" s="70">
        <f>IFERROR(AJ199/AJ198,"")</f>
        <v/>
      </c>
      <c r="AK200" s="70">
        <f>IFERROR(AK199/AK198,"")</f>
        <v/>
      </c>
      <c r="AL200" s="70">
        <f>IFERROR(AL199/AL198,"")</f>
        <v/>
      </c>
      <c r="AM200" s="70">
        <f>IFERROR(AM199/AM198,"")</f>
        <v/>
      </c>
      <c r="AN200" s="70">
        <f>IFERROR(AN199/AN198,"")</f>
        <v/>
      </c>
      <c r="AO200" s="70">
        <f>IFERROR(AO199/AO198,"")</f>
        <v/>
      </c>
      <c r="AP200" s="70">
        <f>IFERROR(AP199/AP198,"")</f>
        <v/>
      </c>
      <c r="AQ200" s="70">
        <f>IFERROR(AQ199/AQ198,"")</f>
        <v/>
      </c>
      <c r="AR200" s="70">
        <f>IFERROR(AR199/AR198,"")</f>
        <v/>
      </c>
      <c r="AS200" s="70">
        <f>IFERROR(AS199/AS198,"")</f>
        <v/>
      </c>
      <c r="AT200" s="70">
        <f>IFERROR(AT199/AT198,"")</f>
        <v/>
      </c>
      <c r="AU200" s="70">
        <f>IFERROR(AU199/AU198,"")</f>
        <v/>
      </c>
      <c r="AV200" s="70">
        <f>IFERROR(AV199/AV198,"")</f>
        <v/>
      </c>
      <c r="AW200" s="70">
        <f>IFERROR(AW199/AW198,"")</f>
        <v/>
      </c>
      <c r="AX200" s="70">
        <f>IFERROR(AX199/AX198,"")</f>
        <v/>
      </c>
      <c r="AY200" s="70">
        <f>IFERROR(AY199/AY198,"")</f>
        <v/>
      </c>
      <c r="AZ200" s="70">
        <f>IFERROR(AZ199/AZ198,"")</f>
        <v/>
      </c>
      <c r="BA200" s="70">
        <f>IFERROR(BA199/BA198,"")</f>
        <v/>
      </c>
      <c r="BB200" s="70">
        <f>IFERROR(BB199/BB198,"")</f>
        <v/>
      </c>
      <c r="BC200" s="70">
        <f>IFERROR(BC199/BC198,"")</f>
        <v/>
      </c>
      <c r="BD200" s="70">
        <f>IFERROR(BD199/BD198,"")</f>
        <v/>
      </c>
      <c r="BE200" s="70">
        <f>IFERROR(BE199/BE198,"")</f>
        <v/>
      </c>
      <c r="BF200" s="70">
        <f>IFERROR(BF199/BF198,"")</f>
        <v/>
      </c>
      <c r="BG200" s="70">
        <f>IFERROR(BG199/BG198,"")</f>
        <v/>
      </c>
      <c r="BH200" s="70">
        <f>IFERROR(BH199/BH198,"")</f>
        <v/>
      </c>
      <c r="BI200" s="70">
        <f>IFERROR(BI199/BI198,"")</f>
        <v/>
      </c>
      <c r="BJ200" s="70">
        <f>IFERROR(BJ199/BJ198,"")</f>
        <v/>
      </c>
      <c r="BK200" s="70">
        <f>IFERROR(BK199/BK198,"")</f>
        <v/>
      </c>
      <c r="BL200" s="70">
        <f>IFERROR(BL199/BL198,"")</f>
        <v/>
      </c>
      <c r="BM200" s="70">
        <f>IFERROR(BM199/BM198,"")</f>
        <v/>
      </c>
      <c r="BN200" s="70">
        <f>IFERROR(BN199/BN198,"")</f>
        <v/>
      </c>
      <c r="BO200" s="70">
        <f>IFERROR(BO199/BO198,"")</f>
        <v/>
      </c>
    </row>
    <row r="201">
      <c r="A201" s="61">
        <f>IFERROR(INDEX(Team_Master!$C$6:$C$20,14),"")</f>
        <v/>
      </c>
      <c r="B201" s="62">
        <f>IFERROR(INDEX(Team_Master!$G$6:$G$20,14),"")</f>
        <v/>
      </c>
      <c r="C201" s="63" t="inlineStr">
        <is>
          <t>K1</t>
        </is>
      </c>
      <c r="D201" s="11" t="inlineStr">
        <is>
          <t>Invoiced Value</t>
        </is>
      </c>
      <c r="E201" s="64" t="inlineStr">
        <is>
          <t>MVND</t>
        </is>
      </c>
      <c r="F201" s="75" t="inlineStr">
        <is>
          <t>Phasing</t>
        </is>
      </c>
      <c r="G201" s="56">
        <f>SUM(H201:BO201)</f>
        <v/>
      </c>
      <c r="H201" s="52" t="n"/>
      <c r="I201" s="52" t="n"/>
      <c r="J201" s="52" t="n"/>
      <c r="K201" s="52" t="n"/>
      <c r="L201" s="52" t="n"/>
      <c r="M201" s="52" t="n"/>
      <c r="N201" s="52" t="n"/>
      <c r="O201" s="52" t="n"/>
      <c r="P201" s="52" t="n"/>
      <c r="Q201" s="52" t="n"/>
      <c r="R201" s="52" t="n"/>
      <c r="S201" s="52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  <c r="BF201" s="52" t="n"/>
      <c r="BG201" s="52" t="n"/>
      <c r="BH201" s="52" t="n"/>
      <c r="BI201" s="52" t="n"/>
      <c r="BJ201" s="52" t="n"/>
      <c r="BK201" s="52" t="n"/>
      <c r="BL201" s="52" t="n"/>
      <c r="BM201" s="52" t="n"/>
      <c r="BN201" s="52" t="n"/>
      <c r="BO201" s="52" t="n"/>
    </row>
    <row r="202">
      <c r="A202" s="66" t="n"/>
      <c r="B202" s="66" t="n"/>
      <c r="C202" s="66" t="n"/>
      <c r="D202" s="66" t="n"/>
      <c r="E202" s="66" t="n"/>
      <c r="F202" s="75" t="inlineStr">
        <is>
          <t>Actual</t>
        </is>
      </c>
      <c r="G202" s="56">
        <f>SUM(H202:BO202)</f>
        <v/>
      </c>
      <c r="H202" s="52" t="n"/>
      <c r="I202" s="52" t="n"/>
      <c r="J202" s="52" t="n"/>
      <c r="K202" s="52" t="n"/>
      <c r="L202" s="52" t="n"/>
      <c r="M202" s="52" t="n"/>
      <c r="N202" s="52" t="n"/>
      <c r="O202" s="52" t="n"/>
      <c r="P202" s="52" t="n"/>
      <c r="Q202" s="52" t="n"/>
      <c r="R202" s="52" t="n"/>
      <c r="S202" s="52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  <c r="BF202" s="52" t="n"/>
      <c r="BG202" s="52" t="n"/>
      <c r="BH202" s="52" t="n"/>
      <c r="BI202" s="52" t="n"/>
      <c r="BJ202" s="52" t="n"/>
      <c r="BK202" s="52" t="n"/>
      <c r="BL202" s="52" t="n"/>
      <c r="BM202" s="52" t="n"/>
      <c r="BN202" s="52" t="n"/>
      <c r="BO202" s="52" t="n"/>
    </row>
    <row r="203">
      <c r="A203" s="66" t="n"/>
      <c r="B203" s="66" t="n"/>
      <c r="C203" s="67" t="n"/>
      <c r="D203" s="67" t="n"/>
      <c r="E203" s="67" t="n"/>
      <c r="F203" s="68" t="inlineStr">
        <is>
          <t>% Achieved</t>
        </is>
      </c>
      <c r="G203" s="69">
        <f>IFERROR(G202/G201,"")</f>
        <v/>
      </c>
      <c r="H203" s="70">
        <f>IFERROR(H202/H201,"")</f>
        <v/>
      </c>
      <c r="I203" s="70">
        <f>IFERROR(I202/I201,"")</f>
        <v/>
      </c>
      <c r="J203" s="70">
        <f>IFERROR(J202/J201,"")</f>
        <v/>
      </c>
      <c r="K203" s="70">
        <f>IFERROR(K202/K201,"")</f>
        <v/>
      </c>
      <c r="L203" s="70">
        <f>IFERROR(L202/L201,"")</f>
        <v/>
      </c>
      <c r="M203" s="70">
        <f>IFERROR(M202/M201,"")</f>
        <v/>
      </c>
      <c r="N203" s="70">
        <f>IFERROR(N202/N201,"")</f>
        <v/>
      </c>
      <c r="O203" s="70">
        <f>IFERROR(O202/O201,"")</f>
        <v/>
      </c>
      <c r="P203" s="70">
        <f>IFERROR(P202/P201,"")</f>
        <v/>
      </c>
      <c r="Q203" s="70">
        <f>IFERROR(Q202/Q201,"")</f>
        <v/>
      </c>
      <c r="R203" s="70">
        <f>IFERROR(R202/R201,"")</f>
        <v/>
      </c>
      <c r="S203" s="70">
        <f>IFERROR(S202/S201,"")</f>
        <v/>
      </c>
      <c r="T203" s="70">
        <f>IFERROR(T202/T201,"")</f>
        <v/>
      </c>
      <c r="U203" s="70">
        <f>IFERROR(U202/U201,"")</f>
        <v/>
      </c>
      <c r="V203" s="70">
        <f>IFERROR(V202/V201,"")</f>
        <v/>
      </c>
      <c r="W203" s="70">
        <f>IFERROR(W202/W201,"")</f>
        <v/>
      </c>
      <c r="X203" s="70">
        <f>IFERROR(X202/X201,"")</f>
        <v/>
      </c>
      <c r="Y203" s="70">
        <f>IFERROR(Y202/Y201,"")</f>
        <v/>
      </c>
      <c r="Z203" s="70">
        <f>IFERROR(Z202/Z201,"")</f>
        <v/>
      </c>
      <c r="AA203" s="70">
        <f>IFERROR(AA202/AA201,"")</f>
        <v/>
      </c>
      <c r="AB203" s="70">
        <f>IFERROR(AB202/AB201,"")</f>
        <v/>
      </c>
      <c r="AC203" s="70">
        <f>IFERROR(AC202/AC201,"")</f>
        <v/>
      </c>
      <c r="AD203" s="70">
        <f>IFERROR(AD202/AD201,"")</f>
        <v/>
      </c>
      <c r="AE203" s="70">
        <f>IFERROR(AE202/AE201,"")</f>
        <v/>
      </c>
      <c r="AF203" s="70">
        <f>IFERROR(AF202/AF201,"")</f>
        <v/>
      </c>
      <c r="AG203" s="70">
        <f>IFERROR(AG202/AG201,"")</f>
        <v/>
      </c>
      <c r="AH203" s="70">
        <f>IFERROR(AH202/AH201,"")</f>
        <v/>
      </c>
      <c r="AI203" s="70">
        <f>IFERROR(AI202/AI201,"")</f>
        <v/>
      </c>
      <c r="AJ203" s="70">
        <f>IFERROR(AJ202/AJ201,"")</f>
        <v/>
      </c>
      <c r="AK203" s="70">
        <f>IFERROR(AK202/AK201,"")</f>
        <v/>
      </c>
      <c r="AL203" s="70">
        <f>IFERROR(AL202/AL201,"")</f>
        <v/>
      </c>
      <c r="AM203" s="70">
        <f>IFERROR(AM202/AM201,"")</f>
        <v/>
      </c>
      <c r="AN203" s="70">
        <f>IFERROR(AN202/AN201,"")</f>
        <v/>
      </c>
      <c r="AO203" s="70">
        <f>IFERROR(AO202/AO201,"")</f>
        <v/>
      </c>
      <c r="AP203" s="70">
        <f>IFERROR(AP202/AP201,"")</f>
        <v/>
      </c>
      <c r="AQ203" s="70">
        <f>IFERROR(AQ202/AQ201,"")</f>
        <v/>
      </c>
      <c r="AR203" s="70">
        <f>IFERROR(AR202/AR201,"")</f>
        <v/>
      </c>
      <c r="AS203" s="70">
        <f>IFERROR(AS202/AS201,"")</f>
        <v/>
      </c>
      <c r="AT203" s="70">
        <f>IFERROR(AT202/AT201,"")</f>
        <v/>
      </c>
      <c r="AU203" s="70">
        <f>IFERROR(AU202/AU201,"")</f>
        <v/>
      </c>
      <c r="AV203" s="70">
        <f>IFERROR(AV202/AV201,"")</f>
        <v/>
      </c>
      <c r="AW203" s="70">
        <f>IFERROR(AW202/AW201,"")</f>
        <v/>
      </c>
      <c r="AX203" s="70">
        <f>IFERROR(AX202/AX201,"")</f>
        <v/>
      </c>
      <c r="AY203" s="70">
        <f>IFERROR(AY202/AY201,"")</f>
        <v/>
      </c>
      <c r="AZ203" s="70">
        <f>IFERROR(AZ202/AZ201,"")</f>
        <v/>
      </c>
      <c r="BA203" s="70">
        <f>IFERROR(BA202/BA201,"")</f>
        <v/>
      </c>
      <c r="BB203" s="70">
        <f>IFERROR(BB202/BB201,"")</f>
        <v/>
      </c>
      <c r="BC203" s="70">
        <f>IFERROR(BC202/BC201,"")</f>
        <v/>
      </c>
      <c r="BD203" s="70">
        <f>IFERROR(BD202/BD201,"")</f>
        <v/>
      </c>
      <c r="BE203" s="70">
        <f>IFERROR(BE202/BE201,"")</f>
        <v/>
      </c>
      <c r="BF203" s="70">
        <f>IFERROR(BF202/BF201,"")</f>
        <v/>
      </c>
      <c r="BG203" s="70">
        <f>IFERROR(BG202/BG201,"")</f>
        <v/>
      </c>
      <c r="BH203" s="70">
        <f>IFERROR(BH202/BH201,"")</f>
        <v/>
      </c>
      <c r="BI203" s="70">
        <f>IFERROR(BI202/BI201,"")</f>
        <v/>
      </c>
      <c r="BJ203" s="70">
        <f>IFERROR(BJ202/BJ201,"")</f>
        <v/>
      </c>
      <c r="BK203" s="70">
        <f>IFERROR(BK202/BK201,"")</f>
        <v/>
      </c>
      <c r="BL203" s="70">
        <f>IFERROR(BL202/BL201,"")</f>
        <v/>
      </c>
      <c r="BM203" s="70">
        <f>IFERROR(BM202/BM201,"")</f>
        <v/>
      </c>
      <c r="BN203" s="70">
        <f>IFERROR(BN202/BN201,"")</f>
        <v/>
      </c>
      <c r="BO203" s="70">
        <f>IFERROR(BO202/BO201,"")</f>
        <v/>
      </c>
    </row>
    <row r="204">
      <c r="A204" s="66" t="n"/>
      <c r="B204" s="66" t="n"/>
      <c r="C204" s="63" t="inlineStr">
        <is>
          <t>K2</t>
        </is>
      </c>
      <c r="D204" s="11" t="inlineStr">
        <is>
          <t>Key account approach / Site check</t>
        </is>
      </c>
      <c r="E204" s="64" t="inlineStr">
        <is>
          <t>Roadshow</t>
        </is>
      </c>
      <c r="F204" s="75" t="inlineStr">
        <is>
          <t>Phasing</t>
        </is>
      </c>
      <c r="G204" s="56">
        <f>SUM(H204:BO204)</f>
        <v/>
      </c>
      <c r="H204" s="52" t="n"/>
      <c r="I204" s="52" t="n"/>
      <c r="J204" s="52" t="n"/>
      <c r="K204" s="52" t="n"/>
      <c r="L204" s="52" t="n"/>
      <c r="M204" s="52" t="n"/>
      <c r="N204" s="52" t="n"/>
      <c r="O204" s="52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L204" s="52" t="n"/>
      <c r="AM204" s="52" t="n"/>
      <c r="AN204" s="52" t="n"/>
      <c r="AO204" s="52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  <c r="BB204" s="52" t="n"/>
      <c r="BC204" s="52" t="n"/>
      <c r="BD204" s="52" t="n"/>
      <c r="BE204" s="52" t="n"/>
      <c r="BF204" s="52" t="n"/>
      <c r="BG204" s="52" t="n"/>
      <c r="BH204" s="52" t="n"/>
      <c r="BI204" s="52" t="n"/>
      <c r="BJ204" s="52" t="n"/>
      <c r="BK204" s="52" t="n"/>
      <c r="BL204" s="52" t="n"/>
      <c r="BM204" s="52" t="n"/>
      <c r="BN204" s="52" t="n"/>
      <c r="BO204" s="52" t="n"/>
    </row>
    <row r="205">
      <c r="A205" s="66" t="n"/>
      <c r="B205" s="66" t="n"/>
      <c r="C205" s="66" t="n"/>
      <c r="D205" s="66" t="n"/>
      <c r="E205" s="66" t="n"/>
      <c r="F205" s="75" t="inlineStr">
        <is>
          <t>Actual</t>
        </is>
      </c>
      <c r="G205" s="56">
        <f>SUM(H205:BO205)</f>
        <v/>
      </c>
      <c r="H205" s="52" t="n"/>
      <c r="I205" s="52" t="n"/>
      <c r="J205" s="52" t="n"/>
      <c r="K205" s="52" t="n"/>
      <c r="L205" s="52" t="n"/>
      <c r="M205" s="52" t="n"/>
      <c r="N205" s="52" t="n"/>
      <c r="O205" s="52" t="n"/>
      <c r="P205" s="52" t="n"/>
      <c r="Q205" s="52" t="n"/>
      <c r="R205" s="52" t="n"/>
      <c r="S205" s="52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L205" s="52" t="n"/>
      <c r="AM205" s="52" t="n"/>
      <c r="AN205" s="52" t="n"/>
      <c r="AO205" s="52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  <c r="BB205" s="52" t="n"/>
      <c r="BC205" s="52" t="n"/>
      <c r="BD205" s="52" t="n"/>
      <c r="BE205" s="52" t="n"/>
      <c r="BF205" s="52" t="n"/>
      <c r="BG205" s="52" t="n"/>
      <c r="BH205" s="52" t="n"/>
      <c r="BI205" s="52" t="n"/>
      <c r="BJ205" s="52" t="n"/>
      <c r="BK205" s="52" t="n"/>
      <c r="BL205" s="52" t="n"/>
      <c r="BM205" s="52" t="n"/>
      <c r="BN205" s="52" t="n"/>
      <c r="BO205" s="52" t="n"/>
    </row>
    <row r="206">
      <c r="A206" s="66" t="n"/>
      <c r="B206" s="66" t="n"/>
      <c r="C206" s="67" t="n"/>
      <c r="D206" s="67" t="n"/>
      <c r="E206" s="67" t="n"/>
      <c r="F206" s="68" t="inlineStr">
        <is>
          <t>% Achieved</t>
        </is>
      </c>
      <c r="G206" s="69">
        <f>IFERROR(G205/G204,"")</f>
        <v/>
      </c>
      <c r="H206" s="70">
        <f>IFERROR(H205/H204,"")</f>
        <v/>
      </c>
      <c r="I206" s="70">
        <f>IFERROR(I205/I204,"")</f>
        <v/>
      </c>
      <c r="J206" s="70">
        <f>IFERROR(J205/J204,"")</f>
        <v/>
      </c>
      <c r="K206" s="70">
        <f>IFERROR(K205/K204,"")</f>
        <v/>
      </c>
      <c r="L206" s="70">
        <f>IFERROR(L205/L204,"")</f>
        <v/>
      </c>
      <c r="M206" s="70">
        <f>IFERROR(M205/M204,"")</f>
        <v/>
      </c>
      <c r="N206" s="70">
        <f>IFERROR(N205/N204,"")</f>
        <v/>
      </c>
      <c r="O206" s="70">
        <f>IFERROR(O205/O204,"")</f>
        <v/>
      </c>
      <c r="P206" s="70">
        <f>IFERROR(P205/P204,"")</f>
        <v/>
      </c>
      <c r="Q206" s="70">
        <f>IFERROR(Q205/Q204,"")</f>
        <v/>
      </c>
      <c r="R206" s="70">
        <f>IFERROR(R205/R204,"")</f>
        <v/>
      </c>
      <c r="S206" s="70">
        <f>IFERROR(S205/S204,"")</f>
        <v/>
      </c>
      <c r="T206" s="70">
        <f>IFERROR(T205/T204,"")</f>
        <v/>
      </c>
      <c r="U206" s="70">
        <f>IFERROR(U205/U204,"")</f>
        <v/>
      </c>
      <c r="V206" s="70">
        <f>IFERROR(V205/V204,"")</f>
        <v/>
      </c>
      <c r="W206" s="70">
        <f>IFERROR(W205/W204,"")</f>
        <v/>
      </c>
      <c r="X206" s="70">
        <f>IFERROR(X205/X204,"")</f>
        <v/>
      </c>
      <c r="Y206" s="70">
        <f>IFERROR(Y205/Y204,"")</f>
        <v/>
      </c>
      <c r="Z206" s="70">
        <f>IFERROR(Z205/Z204,"")</f>
        <v/>
      </c>
      <c r="AA206" s="70">
        <f>IFERROR(AA205/AA204,"")</f>
        <v/>
      </c>
      <c r="AB206" s="70">
        <f>IFERROR(AB205/AB204,"")</f>
        <v/>
      </c>
      <c r="AC206" s="70">
        <f>IFERROR(AC205/AC204,"")</f>
        <v/>
      </c>
      <c r="AD206" s="70">
        <f>IFERROR(AD205/AD204,"")</f>
        <v/>
      </c>
      <c r="AE206" s="70">
        <f>IFERROR(AE205/AE204,"")</f>
        <v/>
      </c>
      <c r="AF206" s="70">
        <f>IFERROR(AF205/AF204,"")</f>
        <v/>
      </c>
      <c r="AG206" s="70">
        <f>IFERROR(AG205/AG204,"")</f>
        <v/>
      </c>
      <c r="AH206" s="70">
        <f>IFERROR(AH205/AH204,"")</f>
        <v/>
      </c>
      <c r="AI206" s="70">
        <f>IFERROR(AI205/AI204,"")</f>
        <v/>
      </c>
      <c r="AJ206" s="70">
        <f>IFERROR(AJ205/AJ204,"")</f>
        <v/>
      </c>
      <c r="AK206" s="70">
        <f>IFERROR(AK205/AK204,"")</f>
        <v/>
      </c>
      <c r="AL206" s="70">
        <f>IFERROR(AL205/AL204,"")</f>
        <v/>
      </c>
      <c r="AM206" s="70">
        <f>IFERROR(AM205/AM204,"")</f>
        <v/>
      </c>
      <c r="AN206" s="70">
        <f>IFERROR(AN205/AN204,"")</f>
        <v/>
      </c>
      <c r="AO206" s="70">
        <f>IFERROR(AO205/AO204,"")</f>
        <v/>
      </c>
      <c r="AP206" s="70">
        <f>IFERROR(AP205/AP204,"")</f>
        <v/>
      </c>
      <c r="AQ206" s="70">
        <f>IFERROR(AQ205/AQ204,"")</f>
        <v/>
      </c>
      <c r="AR206" s="70">
        <f>IFERROR(AR205/AR204,"")</f>
        <v/>
      </c>
      <c r="AS206" s="70">
        <f>IFERROR(AS205/AS204,"")</f>
        <v/>
      </c>
      <c r="AT206" s="70">
        <f>IFERROR(AT205/AT204,"")</f>
        <v/>
      </c>
      <c r="AU206" s="70">
        <f>IFERROR(AU205/AU204,"")</f>
        <v/>
      </c>
      <c r="AV206" s="70">
        <f>IFERROR(AV205/AV204,"")</f>
        <v/>
      </c>
      <c r="AW206" s="70">
        <f>IFERROR(AW205/AW204,"")</f>
        <v/>
      </c>
      <c r="AX206" s="70">
        <f>IFERROR(AX205/AX204,"")</f>
        <v/>
      </c>
      <c r="AY206" s="70">
        <f>IFERROR(AY205/AY204,"")</f>
        <v/>
      </c>
      <c r="AZ206" s="70">
        <f>IFERROR(AZ205/AZ204,"")</f>
        <v/>
      </c>
      <c r="BA206" s="70">
        <f>IFERROR(BA205/BA204,"")</f>
        <v/>
      </c>
      <c r="BB206" s="70">
        <f>IFERROR(BB205/BB204,"")</f>
        <v/>
      </c>
      <c r="BC206" s="70">
        <f>IFERROR(BC205/BC204,"")</f>
        <v/>
      </c>
      <c r="BD206" s="70">
        <f>IFERROR(BD205/BD204,"")</f>
        <v/>
      </c>
      <c r="BE206" s="70">
        <f>IFERROR(BE205/BE204,"")</f>
        <v/>
      </c>
      <c r="BF206" s="70">
        <f>IFERROR(BF205/BF204,"")</f>
        <v/>
      </c>
      <c r="BG206" s="70">
        <f>IFERROR(BG205/BG204,"")</f>
        <v/>
      </c>
      <c r="BH206" s="70">
        <f>IFERROR(BH205/BH204,"")</f>
        <v/>
      </c>
      <c r="BI206" s="70">
        <f>IFERROR(BI205/BI204,"")</f>
        <v/>
      </c>
      <c r="BJ206" s="70">
        <f>IFERROR(BJ205/BJ204,"")</f>
        <v/>
      </c>
      <c r="BK206" s="70">
        <f>IFERROR(BK205/BK204,"")</f>
        <v/>
      </c>
      <c r="BL206" s="70">
        <f>IFERROR(BL205/BL204,"")</f>
        <v/>
      </c>
      <c r="BM206" s="70">
        <f>IFERROR(BM205/BM204,"")</f>
        <v/>
      </c>
      <c r="BN206" s="70">
        <f>IFERROR(BN205/BN204,"")</f>
        <v/>
      </c>
      <c r="BO206" s="70">
        <f>IFERROR(BO205/BO204,"")</f>
        <v/>
      </c>
    </row>
    <row r="207">
      <c r="A207" s="66" t="n"/>
      <c r="B207" s="66" t="n"/>
      <c r="C207" s="71" t="inlineStr">
        <is>
          <t>K3</t>
        </is>
      </c>
      <c r="D207" s="37" t="inlineStr">
        <is>
          <t>Spec-in Value</t>
        </is>
      </c>
      <c r="E207" s="72" t="inlineStr">
        <is>
          <t>MVND</t>
        </is>
      </c>
      <c r="F207" s="75" t="inlineStr">
        <is>
          <t>Phasing</t>
        </is>
      </c>
      <c r="G207" s="56">
        <f>SUM(H207:BO207)</f>
        <v/>
      </c>
      <c r="H207" s="52" t="n"/>
      <c r="I207" s="52" t="n"/>
      <c r="J207" s="52" t="n"/>
      <c r="K207" s="52" t="n"/>
      <c r="L207" s="52" t="n"/>
      <c r="M207" s="52" t="n"/>
      <c r="N207" s="52" t="n"/>
      <c r="O207" s="52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L207" s="52" t="n"/>
      <c r="AM207" s="52" t="n"/>
      <c r="AN207" s="52" t="n"/>
      <c r="AO207" s="52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  <c r="BB207" s="52" t="n"/>
      <c r="BC207" s="52" t="n"/>
      <c r="BD207" s="52" t="n"/>
      <c r="BE207" s="52" t="n"/>
      <c r="BF207" s="52" t="n"/>
      <c r="BG207" s="52" t="n"/>
      <c r="BH207" s="52" t="n"/>
      <c r="BI207" s="52" t="n"/>
      <c r="BJ207" s="52" t="n"/>
      <c r="BK207" s="52" t="n"/>
      <c r="BL207" s="52" t="n"/>
      <c r="BM207" s="52" t="n"/>
      <c r="BN207" s="52" t="n"/>
      <c r="BO207" s="52" t="n"/>
    </row>
    <row r="208">
      <c r="A208" s="66" t="n"/>
      <c r="B208" s="66" t="n"/>
      <c r="C208" s="66" t="n"/>
      <c r="D208" s="66" t="n"/>
      <c r="E208" s="66" t="n"/>
      <c r="F208" s="75" t="inlineStr">
        <is>
          <t>Actual</t>
        </is>
      </c>
      <c r="G208" s="56">
        <f>SUM(H208:BO208)</f>
        <v/>
      </c>
      <c r="H208" s="52" t="n"/>
      <c r="I208" s="52" t="n"/>
      <c r="J208" s="52" t="n"/>
      <c r="K208" s="52" t="n"/>
      <c r="L208" s="52" t="n"/>
      <c r="M208" s="52" t="n"/>
      <c r="N208" s="52" t="n"/>
      <c r="O208" s="52" t="n"/>
      <c r="P208" s="52" t="n"/>
      <c r="Q208" s="52" t="n"/>
      <c r="R208" s="52" t="n"/>
      <c r="S208" s="52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  <c r="BF208" s="52" t="n"/>
      <c r="BG208" s="52" t="n"/>
      <c r="BH208" s="52" t="n"/>
      <c r="BI208" s="52" t="n"/>
      <c r="BJ208" s="52" t="n"/>
      <c r="BK208" s="52" t="n"/>
      <c r="BL208" s="52" t="n"/>
      <c r="BM208" s="52" t="n"/>
      <c r="BN208" s="52" t="n"/>
      <c r="BO208" s="52" t="n"/>
    </row>
    <row r="209">
      <c r="A209" s="66" t="n"/>
      <c r="B209" s="66" t="n"/>
      <c r="C209" s="67" t="n"/>
      <c r="D209" s="67" t="n"/>
      <c r="E209" s="67" t="n"/>
      <c r="F209" s="68" t="inlineStr">
        <is>
          <t>% Achieved</t>
        </is>
      </c>
      <c r="G209" s="69">
        <f>IFERROR(G208/G207,"")</f>
        <v/>
      </c>
      <c r="H209" s="70">
        <f>IFERROR(H208/H207,"")</f>
        <v/>
      </c>
      <c r="I209" s="70">
        <f>IFERROR(I208/I207,"")</f>
        <v/>
      </c>
      <c r="J209" s="70">
        <f>IFERROR(J208/J207,"")</f>
        <v/>
      </c>
      <c r="K209" s="70">
        <f>IFERROR(K208/K207,"")</f>
        <v/>
      </c>
      <c r="L209" s="70">
        <f>IFERROR(L208/L207,"")</f>
        <v/>
      </c>
      <c r="M209" s="70">
        <f>IFERROR(M208/M207,"")</f>
        <v/>
      </c>
      <c r="N209" s="70">
        <f>IFERROR(N208/N207,"")</f>
        <v/>
      </c>
      <c r="O209" s="70">
        <f>IFERROR(O208/O207,"")</f>
        <v/>
      </c>
      <c r="P209" s="70">
        <f>IFERROR(P208/P207,"")</f>
        <v/>
      </c>
      <c r="Q209" s="70">
        <f>IFERROR(Q208/Q207,"")</f>
        <v/>
      </c>
      <c r="R209" s="70">
        <f>IFERROR(R208/R207,"")</f>
        <v/>
      </c>
      <c r="S209" s="70">
        <f>IFERROR(S208/S207,"")</f>
        <v/>
      </c>
      <c r="T209" s="70">
        <f>IFERROR(T208/T207,"")</f>
        <v/>
      </c>
      <c r="U209" s="70">
        <f>IFERROR(U208/U207,"")</f>
        <v/>
      </c>
      <c r="V209" s="70">
        <f>IFERROR(V208/V207,"")</f>
        <v/>
      </c>
      <c r="W209" s="70">
        <f>IFERROR(W208/W207,"")</f>
        <v/>
      </c>
      <c r="X209" s="70">
        <f>IFERROR(X208/X207,"")</f>
        <v/>
      </c>
      <c r="Y209" s="70">
        <f>IFERROR(Y208/Y207,"")</f>
        <v/>
      </c>
      <c r="Z209" s="70">
        <f>IFERROR(Z208/Z207,"")</f>
        <v/>
      </c>
      <c r="AA209" s="70">
        <f>IFERROR(AA208/AA207,"")</f>
        <v/>
      </c>
      <c r="AB209" s="70">
        <f>IFERROR(AB208/AB207,"")</f>
        <v/>
      </c>
      <c r="AC209" s="70">
        <f>IFERROR(AC208/AC207,"")</f>
        <v/>
      </c>
      <c r="AD209" s="70">
        <f>IFERROR(AD208/AD207,"")</f>
        <v/>
      </c>
      <c r="AE209" s="70">
        <f>IFERROR(AE208/AE207,"")</f>
        <v/>
      </c>
      <c r="AF209" s="70">
        <f>IFERROR(AF208/AF207,"")</f>
        <v/>
      </c>
      <c r="AG209" s="70">
        <f>IFERROR(AG208/AG207,"")</f>
        <v/>
      </c>
      <c r="AH209" s="70">
        <f>IFERROR(AH208/AH207,"")</f>
        <v/>
      </c>
      <c r="AI209" s="70">
        <f>IFERROR(AI208/AI207,"")</f>
        <v/>
      </c>
      <c r="AJ209" s="70">
        <f>IFERROR(AJ208/AJ207,"")</f>
        <v/>
      </c>
      <c r="AK209" s="70">
        <f>IFERROR(AK208/AK207,"")</f>
        <v/>
      </c>
      <c r="AL209" s="70">
        <f>IFERROR(AL208/AL207,"")</f>
        <v/>
      </c>
      <c r="AM209" s="70">
        <f>IFERROR(AM208/AM207,"")</f>
        <v/>
      </c>
      <c r="AN209" s="70">
        <f>IFERROR(AN208/AN207,"")</f>
        <v/>
      </c>
      <c r="AO209" s="70">
        <f>IFERROR(AO208/AO207,"")</f>
        <v/>
      </c>
      <c r="AP209" s="70">
        <f>IFERROR(AP208/AP207,"")</f>
        <v/>
      </c>
      <c r="AQ209" s="70">
        <f>IFERROR(AQ208/AQ207,"")</f>
        <v/>
      </c>
      <c r="AR209" s="70">
        <f>IFERROR(AR208/AR207,"")</f>
        <v/>
      </c>
      <c r="AS209" s="70">
        <f>IFERROR(AS208/AS207,"")</f>
        <v/>
      </c>
      <c r="AT209" s="70">
        <f>IFERROR(AT208/AT207,"")</f>
        <v/>
      </c>
      <c r="AU209" s="70">
        <f>IFERROR(AU208/AU207,"")</f>
        <v/>
      </c>
      <c r="AV209" s="70">
        <f>IFERROR(AV208/AV207,"")</f>
        <v/>
      </c>
      <c r="AW209" s="70">
        <f>IFERROR(AW208/AW207,"")</f>
        <v/>
      </c>
      <c r="AX209" s="70">
        <f>IFERROR(AX208/AX207,"")</f>
        <v/>
      </c>
      <c r="AY209" s="70">
        <f>IFERROR(AY208/AY207,"")</f>
        <v/>
      </c>
      <c r="AZ209" s="70">
        <f>IFERROR(AZ208/AZ207,"")</f>
        <v/>
      </c>
      <c r="BA209" s="70">
        <f>IFERROR(BA208/BA207,"")</f>
        <v/>
      </c>
      <c r="BB209" s="70">
        <f>IFERROR(BB208/BB207,"")</f>
        <v/>
      </c>
      <c r="BC209" s="70">
        <f>IFERROR(BC208/BC207,"")</f>
        <v/>
      </c>
      <c r="BD209" s="70">
        <f>IFERROR(BD208/BD207,"")</f>
        <v/>
      </c>
      <c r="BE209" s="70">
        <f>IFERROR(BE208/BE207,"")</f>
        <v/>
      </c>
      <c r="BF209" s="70">
        <f>IFERROR(BF208/BF207,"")</f>
        <v/>
      </c>
      <c r="BG209" s="70">
        <f>IFERROR(BG208/BG207,"")</f>
        <v/>
      </c>
      <c r="BH209" s="70">
        <f>IFERROR(BH208/BH207,"")</f>
        <v/>
      </c>
      <c r="BI209" s="70">
        <f>IFERROR(BI208/BI207,"")</f>
        <v/>
      </c>
      <c r="BJ209" s="70">
        <f>IFERROR(BJ208/BJ207,"")</f>
        <v/>
      </c>
      <c r="BK209" s="70">
        <f>IFERROR(BK208/BK207,"")</f>
        <v/>
      </c>
      <c r="BL209" s="70">
        <f>IFERROR(BL208/BL207,"")</f>
        <v/>
      </c>
      <c r="BM209" s="70">
        <f>IFERROR(BM208/BM207,"")</f>
        <v/>
      </c>
      <c r="BN209" s="70">
        <f>IFERROR(BN208/BN207,"")</f>
        <v/>
      </c>
      <c r="BO209" s="70">
        <f>IFERROR(BO208/BO207,"")</f>
        <v/>
      </c>
    </row>
    <row r="210">
      <c r="A210" s="66" t="n"/>
      <c r="B210" s="66" t="n"/>
      <c r="C210" s="71" t="inlineStr">
        <is>
          <t>K4</t>
        </is>
      </c>
      <c r="D210" s="37" t="inlineStr">
        <is>
          <t>Engaged Architect (Submit Design)</t>
        </is>
      </c>
      <c r="E210" s="72" t="inlineStr">
        <is>
          <t>D&amp;B</t>
        </is>
      </c>
      <c r="F210" s="75" t="inlineStr">
        <is>
          <t>Phasing</t>
        </is>
      </c>
      <c r="G210" s="56">
        <f>SUM(H210:BO210)</f>
        <v/>
      </c>
      <c r="H210" s="52" t="n"/>
      <c r="I210" s="52" t="n"/>
      <c r="J210" s="52" t="n"/>
      <c r="K210" s="52" t="n"/>
      <c r="L210" s="52" t="n"/>
      <c r="M210" s="52" t="n"/>
      <c r="N210" s="52" t="n"/>
      <c r="O210" s="52" t="n"/>
      <c r="P210" s="52" t="n"/>
      <c r="Q210" s="52" t="n"/>
      <c r="R210" s="52" t="n"/>
      <c r="S210" s="52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  <c r="AL210" s="52" t="n"/>
      <c r="AM210" s="52" t="n"/>
      <c r="AN210" s="52" t="n"/>
      <c r="AO210" s="52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  <c r="BB210" s="52" t="n"/>
      <c r="BC210" s="52" t="n"/>
      <c r="BD210" s="52" t="n"/>
      <c r="BE210" s="52" t="n"/>
      <c r="BF210" s="52" t="n"/>
      <c r="BG210" s="52" t="n"/>
      <c r="BH210" s="52" t="n"/>
      <c r="BI210" s="52" t="n"/>
      <c r="BJ210" s="52" t="n"/>
      <c r="BK210" s="52" t="n"/>
      <c r="BL210" s="52" t="n"/>
      <c r="BM210" s="52" t="n"/>
      <c r="BN210" s="52" t="n"/>
      <c r="BO210" s="52" t="n"/>
    </row>
    <row r="211">
      <c r="A211" s="66" t="n"/>
      <c r="B211" s="66" t="n"/>
      <c r="C211" s="66" t="n"/>
      <c r="D211" s="66" t="n"/>
      <c r="E211" s="66" t="n"/>
      <c r="F211" s="75" t="inlineStr">
        <is>
          <t>Actual</t>
        </is>
      </c>
      <c r="G211" s="56">
        <f>SUM(H211:BO211)</f>
        <v/>
      </c>
      <c r="H211" s="52" t="n"/>
      <c r="I211" s="52" t="n"/>
      <c r="J211" s="52" t="n"/>
      <c r="K211" s="52" t="n"/>
      <c r="L211" s="52" t="n"/>
      <c r="M211" s="52" t="n"/>
      <c r="N211" s="52" t="n"/>
      <c r="O211" s="52" t="n"/>
      <c r="P211" s="52" t="n"/>
      <c r="Q211" s="52" t="n"/>
      <c r="R211" s="52" t="n"/>
      <c r="S211" s="52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  <c r="BF211" s="52" t="n"/>
      <c r="BG211" s="52" t="n"/>
      <c r="BH211" s="52" t="n"/>
      <c r="BI211" s="52" t="n"/>
      <c r="BJ211" s="52" t="n"/>
      <c r="BK211" s="52" t="n"/>
      <c r="BL211" s="52" t="n"/>
      <c r="BM211" s="52" t="n"/>
      <c r="BN211" s="52" t="n"/>
      <c r="BO211" s="52" t="n"/>
    </row>
    <row r="212">
      <c r="A212" s="66" t="n"/>
      <c r="B212" s="66" t="n"/>
      <c r="C212" s="67" t="n"/>
      <c r="D212" s="67" t="n"/>
      <c r="E212" s="67" t="n"/>
      <c r="F212" s="68" t="inlineStr">
        <is>
          <t>% Achieved</t>
        </is>
      </c>
      <c r="G212" s="69">
        <f>IFERROR(G211/G210,"")</f>
        <v/>
      </c>
      <c r="H212" s="70">
        <f>IFERROR(H211/H210,"")</f>
        <v/>
      </c>
      <c r="I212" s="70">
        <f>IFERROR(I211/I210,"")</f>
        <v/>
      </c>
      <c r="J212" s="70">
        <f>IFERROR(J211/J210,"")</f>
        <v/>
      </c>
      <c r="K212" s="70">
        <f>IFERROR(K211/K210,"")</f>
        <v/>
      </c>
      <c r="L212" s="70">
        <f>IFERROR(L211/L210,"")</f>
        <v/>
      </c>
      <c r="M212" s="70">
        <f>IFERROR(M211/M210,"")</f>
        <v/>
      </c>
      <c r="N212" s="70">
        <f>IFERROR(N211/N210,"")</f>
        <v/>
      </c>
      <c r="O212" s="70">
        <f>IFERROR(O211/O210,"")</f>
        <v/>
      </c>
      <c r="P212" s="70">
        <f>IFERROR(P211/P210,"")</f>
        <v/>
      </c>
      <c r="Q212" s="70">
        <f>IFERROR(Q211/Q210,"")</f>
        <v/>
      </c>
      <c r="R212" s="70">
        <f>IFERROR(R211/R210,"")</f>
        <v/>
      </c>
      <c r="S212" s="70">
        <f>IFERROR(S211/S210,"")</f>
        <v/>
      </c>
      <c r="T212" s="70">
        <f>IFERROR(T211/T210,"")</f>
        <v/>
      </c>
      <c r="U212" s="70">
        <f>IFERROR(U211/U210,"")</f>
        <v/>
      </c>
      <c r="V212" s="70">
        <f>IFERROR(V211/V210,"")</f>
        <v/>
      </c>
      <c r="W212" s="70">
        <f>IFERROR(W211/W210,"")</f>
        <v/>
      </c>
      <c r="X212" s="70">
        <f>IFERROR(X211/X210,"")</f>
        <v/>
      </c>
      <c r="Y212" s="70">
        <f>IFERROR(Y211/Y210,"")</f>
        <v/>
      </c>
      <c r="Z212" s="70">
        <f>IFERROR(Z211/Z210,"")</f>
        <v/>
      </c>
      <c r="AA212" s="70">
        <f>IFERROR(AA211/AA210,"")</f>
        <v/>
      </c>
      <c r="AB212" s="70">
        <f>IFERROR(AB211/AB210,"")</f>
        <v/>
      </c>
      <c r="AC212" s="70">
        <f>IFERROR(AC211/AC210,"")</f>
        <v/>
      </c>
      <c r="AD212" s="70">
        <f>IFERROR(AD211/AD210,"")</f>
        <v/>
      </c>
      <c r="AE212" s="70">
        <f>IFERROR(AE211/AE210,"")</f>
        <v/>
      </c>
      <c r="AF212" s="70">
        <f>IFERROR(AF211/AF210,"")</f>
        <v/>
      </c>
      <c r="AG212" s="70">
        <f>IFERROR(AG211/AG210,"")</f>
        <v/>
      </c>
      <c r="AH212" s="70">
        <f>IFERROR(AH211/AH210,"")</f>
        <v/>
      </c>
      <c r="AI212" s="70">
        <f>IFERROR(AI211/AI210,"")</f>
        <v/>
      </c>
      <c r="AJ212" s="70">
        <f>IFERROR(AJ211/AJ210,"")</f>
        <v/>
      </c>
      <c r="AK212" s="70">
        <f>IFERROR(AK211/AK210,"")</f>
        <v/>
      </c>
      <c r="AL212" s="70">
        <f>IFERROR(AL211/AL210,"")</f>
        <v/>
      </c>
      <c r="AM212" s="70">
        <f>IFERROR(AM211/AM210,"")</f>
        <v/>
      </c>
      <c r="AN212" s="70">
        <f>IFERROR(AN211/AN210,"")</f>
        <v/>
      </c>
      <c r="AO212" s="70">
        <f>IFERROR(AO211/AO210,"")</f>
        <v/>
      </c>
      <c r="AP212" s="70">
        <f>IFERROR(AP211/AP210,"")</f>
        <v/>
      </c>
      <c r="AQ212" s="70">
        <f>IFERROR(AQ211/AQ210,"")</f>
        <v/>
      </c>
      <c r="AR212" s="70">
        <f>IFERROR(AR211/AR210,"")</f>
        <v/>
      </c>
      <c r="AS212" s="70">
        <f>IFERROR(AS211/AS210,"")</f>
        <v/>
      </c>
      <c r="AT212" s="70">
        <f>IFERROR(AT211/AT210,"")</f>
        <v/>
      </c>
      <c r="AU212" s="70">
        <f>IFERROR(AU211/AU210,"")</f>
        <v/>
      </c>
      <c r="AV212" s="70">
        <f>IFERROR(AV211/AV210,"")</f>
        <v/>
      </c>
      <c r="AW212" s="70">
        <f>IFERROR(AW211/AW210,"")</f>
        <v/>
      </c>
      <c r="AX212" s="70">
        <f>IFERROR(AX211/AX210,"")</f>
        <v/>
      </c>
      <c r="AY212" s="70">
        <f>IFERROR(AY211/AY210,"")</f>
        <v/>
      </c>
      <c r="AZ212" s="70">
        <f>IFERROR(AZ211/AZ210,"")</f>
        <v/>
      </c>
      <c r="BA212" s="70">
        <f>IFERROR(BA211/BA210,"")</f>
        <v/>
      </c>
      <c r="BB212" s="70">
        <f>IFERROR(BB211/BB210,"")</f>
        <v/>
      </c>
      <c r="BC212" s="70">
        <f>IFERROR(BC211/BC210,"")</f>
        <v/>
      </c>
      <c r="BD212" s="70">
        <f>IFERROR(BD211/BD210,"")</f>
        <v/>
      </c>
      <c r="BE212" s="70">
        <f>IFERROR(BE211/BE210,"")</f>
        <v/>
      </c>
      <c r="BF212" s="70">
        <f>IFERROR(BF211/BF210,"")</f>
        <v/>
      </c>
      <c r="BG212" s="70">
        <f>IFERROR(BG211/BG210,"")</f>
        <v/>
      </c>
      <c r="BH212" s="70">
        <f>IFERROR(BH211/BH210,"")</f>
        <v/>
      </c>
      <c r="BI212" s="70">
        <f>IFERROR(BI211/BI210,"")</f>
        <v/>
      </c>
      <c r="BJ212" s="70">
        <f>IFERROR(BJ211/BJ210,"")</f>
        <v/>
      </c>
      <c r="BK212" s="70">
        <f>IFERROR(BK211/BK210,"")</f>
        <v/>
      </c>
      <c r="BL212" s="70">
        <f>IFERROR(BL211/BL210,"")</f>
        <v/>
      </c>
      <c r="BM212" s="70">
        <f>IFERROR(BM211/BM210,"")</f>
        <v/>
      </c>
      <c r="BN212" s="70">
        <f>IFERROR(BN211/BN210,"")</f>
        <v/>
      </c>
      <c r="BO212" s="70">
        <f>IFERROR(BO211/BO210,"")</f>
        <v/>
      </c>
    </row>
    <row r="213">
      <c r="A213" s="66" t="n"/>
      <c r="B213" s="66" t="n"/>
      <c r="C213" s="73" t="inlineStr">
        <is>
          <t>K5</t>
        </is>
      </c>
      <c r="D213" s="41" t="inlineStr">
        <is>
          <t>Spec-in Design (submitted design)</t>
        </is>
      </c>
      <c r="E213" s="74" t="inlineStr">
        <is>
          <t>Designs</t>
        </is>
      </c>
      <c r="F213" s="75" t="inlineStr">
        <is>
          <t>Phasing</t>
        </is>
      </c>
      <c r="G213" s="56">
        <f>SUM(H213:BO213)</f>
        <v/>
      </c>
      <c r="H213" s="52" t="n"/>
      <c r="I213" s="52" t="n"/>
      <c r="J213" s="52" t="n"/>
      <c r="K213" s="52" t="n"/>
      <c r="L213" s="52" t="n"/>
      <c r="M213" s="52" t="n"/>
      <c r="N213" s="52" t="n"/>
      <c r="O213" s="52" t="n"/>
      <c r="P213" s="52" t="n"/>
      <c r="Q213" s="52" t="n"/>
      <c r="R213" s="52" t="n"/>
      <c r="S213" s="52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  <c r="AL213" s="52" t="n"/>
      <c r="AM213" s="52" t="n"/>
      <c r="AN213" s="52" t="n"/>
      <c r="AO213" s="52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  <c r="BB213" s="52" t="n"/>
      <c r="BC213" s="52" t="n"/>
      <c r="BD213" s="52" t="n"/>
      <c r="BE213" s="52" t="n"/>
      <c r="BF213" s="52" t="n"/>
      <c r="BG213" s="52" t="n"/>
      <c r="BH213" s="52" t="n"/>
      <c r="BI213" s="52" t="n"/>
      <c r="BJ213" s="52" t="n"/>
      <c r="BK213" s="52" t="n"/>
      <c r="BL213" s="52" t="n"/>
      <c r="BM213" s="52" t="n"/>
      <c r="BN213" s="52" t="n"/>
      <c r="BO213" s="52" t="n"/>
    </row>
    <row r="214">
      <c r="A214" s="66" t="n"/>
      <c r="B214" s="66" t="n"/>
      <c r="C214" s="66" t="n"/>
      <c r="D214" s="66" t="n"/>
      <c r="E214" s="66" t="n"/>
      <c r="F214" s="75" t="inlineStr">
        <is>
          <t>Actual</t>
        </is>
      </c>
      <c r="G214" s="56">
        <f>SUM(H214:BO214)</f>
        <v/>
      </c>
      <c r="H214" s="52" t="n"/>
      <c r="I214" s="52" t="n"/>
      <c r="J214" s="52" t="n"/>
      <c r="K214" s="52" t="n"/>
      <c r="L214" s="52" t="n"/>
      <c r="M214" s="52" t="n"/>
      <c r="N214" s="52" t="n"/>
      <c r="O214" s="52" t="n"/>
      <c r="P214" s="52" t="n"/>
      <c r="Q214" s="52" t="n"/>
      <c r="R214" s="52" t="n"/>
      <c r="S214" s="52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</row>
    <row r="215">
      <c r="A215" s="67" t="n"/>
      <c r="B215" s="67" t="n"/>
      <c r="C215" s="67" t="n"/>
      <c r="D215" s="67" t="n"/>
      <c r="E215" s="67" t="n"/>
      <c r="F215" s="68" t="inlineStr">
        <is>
          <t>% Achieved</t>
        </is>
      </c>
      <c r="G215" s="69">
        <f>IFERROR(G214/G213,"")</f>
        <v/>
      </c>
      <c r="H215" s="70">
        <f>IFERROR(H214/H213,"")</f>
        <v/>
      </c>
      <c r="I215" s="70">
        <f>IFERROR(I214/I213,"")</f>
        <v/>
      </c>
      <c r="J215" s="70">
        <f>IFERROR(J214/J213,"")</f>
        <v/>
      </c>
      <c r="K215" s="70">
        <f>IFERROR(K214/K213,"")</f>
        <v/>
      </c>
      <c r="L215" s="70">
        <f>IFERROR(L214/L213,"")</f>
        <v/>
      </c>
      <c r="M215" s="70">
        <f>IFERROR(M214/M213,"")</f>
        <v/>
      </c>
      <c r="N215" s="70">
        <f>IFERROR(N214/N213,"")</f>
        <v/>
      </c>
      <c r="O215" s="70">
        <f>IFERROR(O214/O213,"")</f>
        <v/>
      </c>
      <c r="P215" s="70">
        <f>IFERROR(P214/P213,"")</f>
        <v/>
      </c>
      <c r="Q215" s="70">
        <f>IFERROR(Q214/Q213,"")</f>
        <v/>
      </c>
      <c r="R215" s="70">
        <f>IFERROR(R214/R213,"")</f>
        <v/>
      </c>
      <c r="S215" s="70">
        <f>IFERROR(S214/S213,"")</f>
        <v/>
      </c>
      <c r="T215" s="70">
        <f>IFERROR(T214/T213,"")</f>
        <v/>
      </c>
      <c r="U215" s="70">
        <f>IFERROR(U214/U213,"")</f>
        <v/>
      </c>
      <c r="V215" s="70">
        <f>IFERROR(V214/V213,"")</f>
        <v/>
      </c>
      <c r="W215" s="70">
        <f>IFERROR(W214/W213,"")</f>
        <v/>
      </c>
      <c r="X215" s="70">
        <f>IFERROR(X214/X213,"")</f>
        <v/>
      </c>
      <c r="Y215" s="70">
        <f>IFERROR(Y214/Y213,"")</f>
        <v/>
      </c>
      <c r="Z215" s="70">
        <f>IFERROR(Z214/Z213,"")</f>
        <v/>
      </c>
      <c r="AA215" s="70">
        <f>IFERROR(AA214/AA213,"")</f>
        <v/>
      </c>
      <c r="AB215" s="70">
        <f>IFERROR(AB214/AB213,"")</f>
        <v/>
      </c>
      <c r="AC215" s="70">
        <f>IFERROR(AC214/AC213,"")</f>
        <v/>
      </c>
      <c r="AD215" s="70">
        <f>IFERROR(AD214/AD213,"")</f>
        <v/>
      </c>
      <c r="AE215" s="70">
        <f>IFERROR(AE214/AE213,"")</f>
        <v/>
      </c>
      <c r="AF215" s="70">
        <f>IFERROR(AF214/AF213,"")</f>
        <v/>
      </c>
      <c r="AG215" s="70">
        <f>IFERROR(AG214/AG213,"")</f>
        <v/>
      </c>
      <c r="AH215" s="70">
        <f>IFERROR(AH214/AH213,"")</f>
        <v/>
      </c>
      <c r="AI215" s="70">
        <f>IFERROR(AI214/AI213,"")</f>
        <v/>
      </c>
      <c r="AJ215" s="70">
        <f>IFERROR(AJ214/AJ213,"")</f>
        <v/>
      </c>
      <c r="AK215" s="70">
        <f>IFERROR(AK214/AK213,"")</f>
        <v/>
      </c>
      <c r="AL215" s="70">
        <f>IFERROR(AL214/AL213,"")</f>
        <v/>
      </c>
      <c r="AM215" s="70">
        <f>IFERROR(AM214/AM213,"")</f>
        <v/>
      </c>
      <c r="AN215" s="70">
        <f>IFERROR(AN214/AN213,"")</f>
        <v/>
      </c>
      <c r="AO215" s="70">
        <f>IFERROR(AO214/AO213,"")</f>
        <v/>
      </c>
      <c r="AP215" s="70">
        <f>IFERROR(AP214/AP213,"")</f>
        <v/>
      </c>
      <c r="AQ215" s="70">
        <f>IFERROR(AQ214/AQ213,"")</f>
        <v/>
      </c>
      <c r="AR215" s="70">
        <f>IFERROR(AR214/AR213,"")</f>
        <v/>
      </c>
      <c r="AS215" s="70">
        <f>IFERROR(AS214/AS213,"")</f>
        <v/>
      </c>
      <c r="AT215" s="70">
        <f>IFERROR(AT214/AT213,"")</f>
        <v/>
      </c>
      <c r="AU215" s="70">
        <f>IFERROR(AU214/AU213,"")</f>
        <v/>
      </c>
      <c r="AV215" s="70">
        <f>IFERROR(AV214/AV213,"")</f>
        <v/>
      </c>
      <c r="AW215" s="70">
        <f>IFERROR(AW214/AW213,"")</f>
        <v/>
      </c>
      <c r="AX215" s="70">
        <f>IFERROR(AX214/AX213,"")</f>
        <v/>
      </c>
      <c r="AY215" s="70">
        <f>IFERROR(AY214/AY213,"")</f>
        <v/>
      </c>
      <c r="AZ215" s="70">
        <f>IFERROR(AZ214/AZ213,"")</f>
        <v/>
      </c>
      <c r="BA215" s="70">
        <f>IFERROR(BA214/BA213,"")</f>
        <v/>
      </c>
      <c r="BB215" s="70">
        <f>IFERROR(BB214/BB213,"")</f>
        <v/>
      </c>
      <c r="BC215" s="70">
        <f>IFERROR(BC214/BC213,"")</f>
        <v/>
      </c>
      <c r="BD215" s="70">
        <f>IFERROR(BD214/BD213,"")</f>
        <v/>
      </c>
      <c r="BE215" s="70">
        <f>IFERROR(BE214/BE213,"")</f>
        <v/>
      </c>
      <c r="BF215" s="70">
        <f>IFERROR(BF214/BF213,"")</f>
        <v/>
      </c>
      <c r="BG215" s="70">
        <f>IFERROR(BG214/BG213,"")</f>
        <v/>
      </c>
      <c r="BH215" s="70">
        <f>IFERROR(BH214/BH213,"")</f>
        <v/>
      </c>
      <c r="BI215" s="70">
        <f>IFERROR(BI214/BI213,"")</f>
        <v/>
      </c>
      <c r="BJ215" s="70">
        <f>IFERROR(BJ214/BJ213,"")</f>
        <v/>
      </c>
      <c r="BK215" s="70">
        <f>IFERROR(BK214/BK213,"")</f>
        <v/>
      </c>
      <c r="BL215" s="70">
        <f>IFERROR(BL214/BL213,"")</f>
        <v/>
      </c>
      <c r="BM215" s="70">
        <f>IFERROR(BM214/BM213,"")</f>
        <v/>
      </c>
      <c r="BN215" s="70">
        <f>IFERROR(BN214/BN213,"")</f>
        <v/>
      </c>
      <c r="BO215" s="70">
        <f>IFERROR(BO214/BO213,"")</f>
        <v/>
      </c>
    </row>
    <row r="216">
      <c r="A216" s="61">
        <f>IFERROR(INDEX(Team_Master!$C$6:$C$20,15),"")</f>
        <v/>
      </c>
      <c r="B216" s="62">
        <f>IFERROR(INDEX(Team_Master!$G$6:$G$20,15),"")</f>
        <v/>
      </c>
      <c r="C216" s="63" t="inlineStr">
        <is>
          <t>K1</t>
        </is>
      </c>
      <c r="D216" s="11" t="inlineStr">
        <is>
          <t>Invoiced Value</t>
        </is>
      </c>
      <c r="E216" s="64" t="inlineStr">
        <is>
          <t>MVND</t>
        </is>
      </c>
      <c r="F216" s="65" t="inlineStr">
        <is>
          <t>Phasing</t>
        </is>
      </c>
      <c r="G216" s="56">
        <f>SUM(H216:BO216)</f>
        <v/>
      </c>
      <c r="H216" s="52" t="n"/>
      <c r="I216" s="52" t="n"/>
      <c r="J216" s="52" t="n"/>
      <c r="K216" s="52" t="n"/>
      <c r="L216" s="52" t="n"/>
      <c r="M216" s="52" t="n"/>
      <c r="N216" s="52" t="n"/>
      <c r="O216" s="52" t="n"/>
      <c r="P216" s="52" t="n"/>
      <c r="Q216" s="52" t="n"/>
      <c r="R216" s="52" t="n"/>
      <c r="S216" s="52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  <c r="AL216" s="52" t="n"/>
      <c r="AM216" s="52" t="n"/>
      <c r="AN216" s="52" t="n"/>
      <c r="AO216" s="52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  <c r="BB216" s="52" t="n"/>
      <c r="BC216" s="52" t="n"/>
      <c r="BD216" s="52" t="n"/>
      <c r="BE216" s="52" t="n"/>
      <c r="BF216" s="52" t="n"/>
      <c r="BG216" s="52" t="n"/>
      <c r="BH216" s="52" t="n"/>
      <c r="BI216" s="52" t="n"/>
      <c r="BJ216" s="52" t="n"/>
      <c r="BK216" s="52" t="n"/>
      <c r="BL216" s="52" t="n"/>
      <c r="BM216" s="52" t="n"/>
      <c r="BN216" s="52" t="n"/>
      <c r="BO216" s="52" t="n"/>
    </row>
    <row r="217">
      <c r="A217" s="66" t="n"/>
      <c r="B217" s="66" t="n"/>
      <c r="C217" s="66" t="n"/>
      <c r="D217" s="66" t="n"/>
      <c r="E217" s="66" t="n"/>
      <c r="F217" s="65" t="inlineStr">
        <is>
          <t>Actual</t>
        </is>
      </c>
      <c r="G217" s="56">
        <f>SUM(H217:BO217)</f>
        <v/>
      </c>
      <c r="H217" s="52" t="n"/>
      <c r="I217" s="52" t="n"/>
      <c r="J217" s="52" t="n"/>
      <c r="K217" s="52" t="n"/>
      <c r="L217" s="52" t="n"/>
      <c r="M217" s="52" t="n"/>
      <c r="N217" s="52" t="n"/>
      <c r="O217" s="52" t="n"/>
      <c r="P217" s="52" t="n"/>
      <c r="Q217" s="52" t="n"/>
      <c r="R217" s="52" t="n"/>
      <c r="S217" s="52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  <c r="AL217" s="52" t="n"/>
      <c r="AM217" s="52" t="n"/>
      <c r="AN217" s="52" t="n"/>
      <c r="AO217" s="52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  <c r="BB217" s="52" t="n"/>
      <c r="BC217" s="52" t="n"/>
      <c r="BD217" s="52" t="n"/>
      <c r="BE217" s="52" t="n"/>
      <c r="BF217" s="52" t="n"/>
      <c r="BG217" s="52" t="n"/>
      <c r="BH217" s="52" t="n"/>
      <c r="BI217" s="52" t="n"/>
      <c r="BJ217" s="52" t="n"/>
      <c r="BK217" s="52" t="n"/>
      <c r="BL217" s="52" t="n"/>
      <c r="BM217" s="52" t="n"/>
      <c r="BN217" s="52" t="n"/>
      <c r="BO217" s="52" t="n"/>
    </row>
    <row r="218">
      <c r="A218" s="66" t="n"/>
      <c r="B218" s="66" t="n"/>
      <c r="C218" s="67" t="n"/>
      <c r="D218" s="67" t="n"/>
      <c r="E218" s="67" t="n"/>
      <c r="F218" s="68" t="inlineStr">
        <is>
          <t>% Achieved</t>
        </is>
      </c>
      <c r="G218" s="69">
        <f>IFERROR(G217/G216,"")</f>
        <v/>
      </c>
      <c r="H218" s="70">
        <f>IFERROR(H217/H216,"")</f>
        <v/>
      </c>
      <c r="I218" s="70">
        <f>IFERROR(I217/I216,"")</f>
        <v/>
      </c>
      <c r="J218" s="70">
        <f>IFERROR(J217/J216,"")</f>
        <v/>
      </c>
      <c r="K218" s="70">
        <f>IFERROR(K217/K216,"")</f>
        <v/>
      </c>
      <c r="L218" s="70">
        <f>IFERROR(L217/L216,"")</f>
        <v/>
      </c>
      <c r="M218" s="70">
        <f>IFERROR(M217/M216,"")</f>
        <v/>
      </c>
      <c r="N218" s="70">
        <f>IFERROR(N217/N216,"")</f>
        <v/>
      </c>
      <c r="O218" s="70">
        <f>IFERROR(O217/O216,"")</f>
        <v/>
      </c>
      <c r="P218" s="70">
        <f>IFERROR(P217/P216,"")</f>
        <v/>
      </c>
      <c r="Q218" s="70">
        <f>IFERROR(Q217/Q216,"")</f>
        <v/>
      </c>
      <c r="R218" s="70">
        <f>IFERROR(R217/R216,"")</f>
        <v/>
      </c>
      <c r="S218" s="70">
        <f>IFERROR(S217/S216,"")</f>
        <v/>
      </c>
      <c r="T218" s="70">
        <f>IFERROR(T217/T216,"")</f>
        <v/>
      </c>
      <c r="U218" s="70">
        <f>IFERROR(U217/U216,"")</f>
        <v/>
      </c>
      <c r="V218" s="70">
        <f>IFERROR(V217/V216,"")</f>
        <v/>
      </c>
      <c r="W218" s="70">
        <f>IFERROR(W217/W216,"")</f>
        <v/>
      </c>
      <c r="X218" s="70">
        <f>IFERROR(X217/X216,"")</f>
        <v/>
      </c>
      <c r="Y218" s="70">
        <f>IFERROR(Y217/Y216,"")</f>
        <v/>
      </c>
      <c r="Z218" s="70">
        <f>IFERROR(Z217/Z216,"")</f>
        <v/>
      </c>
      <c r="AA218" s="70">
        <f>IFERROR(AA217/AA216,"")</f>
        <v/>
      </c>
      <c r="AB218" s="70">
        <f>IFERROR(AB217/AB216,"")</f>
        <v/>
      </c>
      <c r="AC218" s="70">
        <f>IFERROR(AC217/AC216,"")</f>
        <v/>
      </c>
      <c r="AD218" s="70">
        <f>IFERROR(AD217/AD216,"")</f>
        <v/>
      </c>
      <c r="AE218" s="70">
        <f>IFERROR(AE217/AE216,"")</f>
        <v/>
      </c>
      <c r="AF218" s="70">
        <f>IFERROR(AF217/AF216,"")</f>
        <v/>
      </c>
      <c r="AG218" s="70">
        <f>IFERROR(AG217/AG216,"")</f>
        <v/>
      </c>
      <c r="AH218" s="70">
        <f>IFERROR(AH217/AH216,"")</f>
        <v/>
      </c>
      <c r="AI218" s="70">
        <f>IFERROR(AI217/AI216,"")</f>
        <v/>
      </c>
      <c r="AJ218" s="70">
        <f>IFERROR(AJ217/AJ216,"")</f>
        <v/>
      </c>
      <c r="AK218" s="70">
        <f>IFERROR(AK217/AK216,"")</f>
        <v/>
      </c>
      <c r="AL218" s="70">
        <f>IFERROR(AL217/AL216,"")</f>
        <v/>
      </c>
      <c r="AM218" s="70">
        <f>IFERROR(AM217/AM216,"")</f>
        <v/>
      </c>
      <c r="AN218" s="70">
        <f>IFERROR(AN217/AN216,"")</f>
        <v/>
      </c>
      <c r="AO218" s="70">
        <f>IFERROR(AO217/AO216,"")</f>
        <v/>
      </c>
      <c r="AP218" s="70">
        <f>IFERROR(AP217/AP216,"")</f>
        <v/>
      </c>
      <c r="AQ218" s="70">
        <f>IFERROR(AQ217/AQ216,"")</f>
        <v/>
      </c>
      <c r="AR218" s="70">
        <f>IFERROR(AR217/AR216,"")</f>
        <v/>
      </c>
      <c r="AS218" s="70">
        <f>IFERROR(AS217/AS216,"")</f>
        <v/>
      </c>
      <c r="AT218" s="70">
        <f>IFERROR(AT217/AT216,"")</f>
        <v/>
      </c>
      <c r="AU218" s="70">
        <f>IFERROR(AU217/AU216,"")</f>
        <v/>
      </c>
      <c r="AV218" s="70">
        <f>IFERROR(AV217/AV216,"")</f>
        <v/>
      </c>
      <c r="AW218" s="70">
        <f>IFERROR(AW217/AW216,"")</f>
        <v/>
      </c>
      <c r="AX218" s="70">
        <f>IFERROR(AX217/AX216,"")</f>
        <v/>
      </c>
      <c r="AY218" s="70">
        <f>IFERROR(AY217/AY216,"")</f>
        <v/>
      </c>
      <c r="AZ218" s="70">
        <f>IFERROR(AZ217/AZ216,"")</f>
        <v/>
      </c>
      <c r="BA218" s="70">
        <f>IFERROR(BA217/BA216,"")</f>
        <v/>
      </c>
      <c r="BB218" s="70">
        <f>IFERROR(BB217/BB216,"")</f>
        <v/>
      </c>
      <c r="BC218" s="70">
        <f>IFERROR(BC217/BC216,"")</f>
        <v/>
      </c>
      <c r="BD218" s="70">
        <f>IFERROR(BD217/BD216,"")</f>
        <v/>
      </c>
      <c r="BE218" s="70">
        <f>IFERROR(BE217/BE216,"")</f>
        <v/>
      </c>
      <c r="BF218" s="70">
        <f>IFERROR(BF217/BF216,"")</f>
        <v/>
      </c>
      <c r="BG218" s="70">
        <f>IFERROR(BG217/BG216,"")</f>
        <v/>
      </c>
      <c r="BH218" s="70">
        <f>IFERROR(BH217/BH216,"")</f>
        <v/>
      </c>
      <c r="BI218" s="70">
        <f>IFERROR(BI217/BI216,"")</f>
        <v/>
      </c>
      <c r="BJ218" s="70">
        <f>IFERROR(BJ217/BJ216,"")</f>
        <v/>
      </c>
      <c r="BK218" s="70">
        <f>IFERROR(BK217/BK216,"")</f>
        <v/>
      </c>
      <c r="BL218" s="70">
        <f>IFERROR(BL217/BL216,"")</f>
        <v/>
      </c>
      <c r="BM218" s="70">
        <f>IFERROR(BM217/BM216,"")</f>
        <v/>
      </c>
      <c r="BN218" s="70">
        <f>IFERROR(BN217/BN216,"")</f>
        <v/>
      </c>
      <c r="BO218" s="70">
        <f>IFERROR(BO217/BO216,"")</f>
        <v/>
      </c>
    </row>
    <row r="219">
      <c r="A219" s="66" t="n"/>
      <c r="B219" s="66" t="n"/>
      <c r="C219" s="63" t="inlineStr">
        <is>
          <t>K2</t>
        </is>
      </c>
      <c r="D219" s="11" t="inlineStr">
        <is>
          <t>Key account approach / Site check</t>
        </is>
      </c>
      <c r="E219" s="64" t="inlineStr">
        <is>
          <t>Roadshow</t>
        </is>
      </c>
      <c r="F219" s="65" t="inlineStr">
        <is>
          <t>Phasing</t>
        </is>
      </c>
      <c r="G219" s="56">
        <f>SUM(H219:BO219)</f>
        <v/>
      </c>
      <c r="H219" s="52" t="n"/>
      <c r="I219" s="52" t="n"/>
      <c r="J219" s="52" t="n"/>
      <c r="K219" s="52" t="n"/>
      <c r="L219" s="52" t="n"/>
      <c r="M219" s="52" t="n"/>
      <c r="N219" s="52" t="n"/>
      <c r="O219" s="52" t="n"/>
      <c r="P219" s="52" t="n"/>
      <c r="Q219" s="52" t="n"/>
      <c r="R219" s="52" t="n"/>
      <c r="S219" s="52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  <c r="AL219" s="52" t="n"/>
      <c r="AM219" s="52" t="n"/>
      <c r="AN219" s="52" t="n"/>
      <c r="AO219" s="52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  <c r="BB219" s="52" t="n"/>
      <c r="BC219" s="52" t="n"/>
      <c r="BD219" s="52" t="n"/>
      <c r="BE219" s="52" t="n"/>
      <c r="BF219" s="52" t="n"/>
      <c r="BG219" s="52" t="n"/>
      <c r="BH219" s="52" t="n"/>
      <c r="BI219" s="52" t="n"/>
      <c r="BJ219" s="52" t="n"/>
      <c r="BK219" s="52" t="n"/>
      <c r="BL219" s="52" t="n"/>
      <c r="BM219" s="52" t="n"/>
      <c r="BN219" s="52" t="n"/>
      <c r="BO219" s="52" t="n"/>
    </row>
    <row r="220">
      <c r="A220" s="66" t="n"/>
      <c r="B220" s="66" t="n"/>
      <c r="C220" s="66" t="n"/>
      <c r="D220" s="66" t="n"/>
      <c r="E220" s="66" t="n"/>
      <c r="F220" s="65" t="inlineStr">
        <is>
          <t>Actual</t>
        </is>
      </c>
      <c r="G220" s="56">
        <f>SUM(H220:BO220)</f>
        <v/>
      </c>
      <c r="H220" s="52" t="n"/>
      <c r="I220" s="52" t="n"/>
      <c r="J220" s="52" t="n"/>
      <c r="K220" s="52" t="n"/>
      <c r="L220" s="52" t="n"/>
      <c r="M220" s="52" t="n"/>
      <c r="N220" s="52" t="n"/>
      <c r="O220" s="52" t="n"/>
      <c r="P220" s="52" t="n"/>
      <c r="Q220" s="52" t="n"/>
      <c r="R220" s="52" t="n"/>
      <c r="S220" s="52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  <c r="AL220" s="52" t="n"/>
      <c r="AM220" s="52" t="n"/>
      <c r="AN220" s="52" t="n"/>
      <c r="AO220" s="52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  <c r="BB220" s="52" t="n"/>
      <c r="BC220" s="52" t="n"/>
      <c r="BD220" s="52" t="n"/>
      <c r="BE220" s="52" t="n"/>
      <c r="BF220" s="52" t="n"/>
      <c r="BG220" s="52" t="n"/>
      <c r="BH220" s="52" t="n"/>
      <c r="BI220" s="52" t="n"/>
      <c r="BJ220" s="52" t="n"/>
      <c r="BK220" s="52" t="n"/>
      <c r="BL220" s="52" t="n"/>
      <c r="BM220" s="52" t="n"/>
      <c r="BN220" s="52" t="n"/>
      <c r="BO220" s="52" t="n"/>
    </row>
    <row r="221">
      <c r="A221" s="66" t="n"/>
      <c r="B221" s="66" t="n"/>
      <c r="C221" s="67" t="n"/>
      <c r="D221" s="67" t="n"/>
      <c r="E221" s="67" t="n"/>
      <c r="F221" s="68" t="inlineStr">
        <is>
          <t>% Achieved</t>
        </is>
      </c>
      <c r="G221" s="69">
        <f>IFERROR(G220/G219,"")</f>
        <v/>
      </c>
      <c r="H221" s="70">
        <f>IFERROR(H220/H219,"")</f>
        <v/>
      </c>
      <c r="I221" s="70">
        <f>IFERROR(I220/I219,"")</f>
        <v/>
      </c>
      <c r="J221" s="70">
        <f>IFERROR(J220/J219,"")</f>
        <v/>
      </c>
      <c r="K221" s="70">
        <f>IFERROR(K220/K219,"")</f>
        <v/>
      </c>
      <c r="L221" s="70">
        <f>IFERROR(L220/L219,"")</f>
        <v/>
      </c>
      <c r="M221" s="70">
        <f>IFERROR(M220/M219,"")</f>
        <v/>
      </c>
      <c r="N221" s="70">
        <f>IFERROR(N220/N219,"")</f>
        <v/>
      </c>
      <c r="O221" s="70">
        <f>IFERROR(O220/O219,"")</f>
        <v/>
      </c>
      <c r="P221" s="70">
        <f>IFERROR(P220/P219,"")</f>
        <v/>
      </c>
      <c r="Q221" s="70">
        <f>IFERROR(Q220/Q219,"")</f>
        <v/>
      </c>
      <c r="R221" s="70">
        <f>IFERROR(R220/R219,"")</f>
        <v/>
      </c>
      <c r="S221" s="70">
        <f>IFERROR(S220/S219,"")</f>
        <v/>
      </c>
      <c r="T221" s="70">
        <f>IFERROR(T220/T219,"")</f>
        <v/>
      </c>
      <c r="U221" s="70">
        <f>IFERROR(U220/U219,"")</f>
        <v/>
      </c>
      <c r="V221" s="70">
        <f>IFERROR(V220/V219,"")</f>
        <v/>
      </c>
      <c r="W221" s="70">
        <f>IFERROR(W220/W219,"")</f>
        <v/>
      </c>
      <c r="X221" s="70">
        <f>IFERROR(X220/X219,"")</f>
        <v/>
      </c>
      <c r="Y221" s="70">
        <f>IFERROR(Y220/Y219,"")</f>
        <v/>
      </c>
      <c r="Z221" s="70">
        <f>IFERROR(Z220/Z219,"")</f>
        <v/>
      </c>
      <c r="AA221" s="70">
        <f>IFERROR(AA220/AA219,"")</f>
        <v/>
      </c>
      <c r="AB221" s="70">
        <f>IFERROR(AB220/AB219,"")</f>
        <v/>
      </c>
      <c r="AC221" s="70">
        <f>IFERROR(AC220/AC219,"")</f>
        <v/>
      </c>
      <c r="AD221" s="70">
        <f>IFERROR(AD220/AD219,"")</f>
        <v/>
      </c>
      <c r="AE221" s="70">
        <f>IFERROR(AE220/AE219,"")</f>
        <v/>
      </c>
      <c r="AF221" s="70">
        <f>IFERROR(AF220/AF219,"")</f>
        <v/>
      </c>
      <c r="AG221" s="70">
        <f>IFERROR(AG220/AG219,"")</f>
        <v/>
      </c>
      <c r="AH221" s="70">
        <f>IFERROR(AH220/AH219,"")</f>
        <v/>
      </c>
      <c r="AI221" s="70">
        <f>IFERROR(AI220/AI219,"")</f>
        <v/>
      </c>
      <c r="AJ221" s="70">
        <f>IFERROR(AJ220/AJ219,"")</f>
        <v/>
      </c>
      <c r="AK221" s="70">
        <f>IFERROR(AK220/AK219,"")</f>
        <v/>
      </c>
      <c r="AL221" s="70">
        <f>IFERROR(AL220/AL219,"")</f>
        <v/>
      </c>
      <c r="AM221" s="70">
        <f>IFERROR(AM220/AM219,"")</f>
        <v/>
      </c>
      <c r="AN221" s="70">
        <f>IFERROR(AN220/AN219,"")</f>
        <v/>
      </c>
      <c r="AO221" s="70">
        <f>IFERROR(AO220/AO219,"")</f>
        <v/>
      </c>
      <c r="AP221" s="70">
        <f>IFERROR(AP220/AP219,"")</f>
        <v/>
      </c>
      <c r="AQ221" s="70">
        <f>IFERROR(AQ220/AQ219,"")</f>
        <v/>
      </c>
      <c r="AR221" s="70">
        <f>IFERROR(AR220/AR219,"")</f>
        <v/>
      </c>
      <c r="AS221" s="70">
        <f>IFERROR(AS220/AS219,"")</f>
        <v/>
      </c>
      <c r="AT221" s="70">
        <f>IFERROR(AT220/AT219,"")</f>
        <v/>
      </c>
      <c r="AU221" s="70">
        <f>IFERROR(AU220/AU219,"")</f>
        <v/>
      </c>
      <c r="AV221" s="70">
        <f>IFERROR(AV220/AV219,"")</f>
        <v/>
      </c>
      <c r="AW221" s="70">
        <f>IFERROR(AW220/AW219,"")</f>
        <v/>
      </c>
      <c r="AX221" s="70">
        <f>IFERROR(AX220/AX219,"")</f>
        <v/>
      </c>
      <c r="AY221" s="70">
        <f>IFERROR(AY220/AY219,"")</f>
        <v/>
      </c>
      <c r="AZ221" s="70">
        <f>IFERROR(AZ220/AZ219,"")</f>
        <v/>
      </c>
      <c r="BA221" s="70">
        <f>IFERROR(BA220/BA219,"")</f>
        <v/>
      </c>
      <c r="BB221" s="70">
        <f>IFERROR(BB220/BB219,"")</f>
        <v/>
      </c>
      <c r="BC221" s="70">
        <f>IFERROR(BC220/BC219,"")</f>
        <v/>
      </c>
      <c r="BD221" s="70">
        <f>IFERROR(BD220/BD219,"")</f>
        <v/>
      </c>
      <c r="BE221" s="70">
        <f>IFERROR(BE220/BE219,"")</f>
        <v/>
      </c>
      <c r="BF221" s="70">
        <f>IFERROR(BF220/BF219,"")</f>
        <v/>
      </c>
      <c r="BG221" s="70">
        <f>IFERROR(BG220/BG219,"")</f>
        <v/>
      </c>
      <c r="BH221" s="70">
        <f>IFERROR(BH220/BH219,"")</f>
        <v/>
      </c>
      <c r="BI221" s="70">
        <f>IFERROR(BI220/BI219,"")</f>
        <v/>
      </c>
      <c r="BJ221" s="70">
        <f>IFERROR(BJ220/BJ219,"")</f>
        <v/>
      </c>
      <c r="BK221" s="70">
        <f>IFERROR(BK220/BK219,"")</f>
        <v/>
      </c>
      <c r="BL221" s="70">
        <f>IFERROR(BL220/BL219,"")</f>
        <v/>
      </c>
      <c r="BM221" s="70">
        <f>IFERROR(BM220/BM219,"")</f>
        <v/>
      </c>
      <c r="BN221" s="70">
        <f>IFERROR(BN220/BN219,"")</f>
        <v/>
      </c>
      <c r="BO221" s="70">
        <f>IFERROR(BO220/BO219,"")</f>
        <v/>
      </c>
    </row>
    <row r="222">
      <c r="A222" s="66" t="n"/>
      <c r="B222" s="66" t="n"/>
      <c r="C222" s="71" t="inlineStr">
        <is>
          <t>K3</t>
        </is>
      </c>
      <c r="D222" s="37" t="inlineStr">
        <is>
          <t>Spec-in Value</t>
        </is>
      </c>
      <c r="E222" s="72" t="inlineStr">
        <is>
          <t>MVND</t>
        </is>
      </c>
      <c r="F222" s="65" t="inlineStr">
        <is>
          <t>Phasing</t>
        </is>
      </c>
      <c r="G222" s="56">
        <f>SUM(H222:BO222)</f>
        <v/>
      </c>
      <c r="H222" s="52" t="n"/>
      <c r="I222" s="52" t="n"/>
      <c r="J222" s="52" t="n"/>
      <c r="K222" s="52" t="n"/>
      <c r="L222" s="52" t="n"/>
      <c r="M222" s="52" t="n"/>
      <c r="N222" s="52" t="n"/>
      <c r="O222" s="52" t="n"/>
      <c r="P222" s="52" t="n"/>
      <c r="Q222" s="52" t="n"/>
      <c r="R222" s="52" t="n"/>
      <c r="S222" s="52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  <c r="AL222" s="52" t="n"/>
      <c r="AM222" s="52" t="n"/>
      <c r="AN222" s="52" t="n"/>
      <c r="AO222" s="52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  <c r="BB222" s="52" t="n"/>
      <c r="BC222" s="52" t="n"/>
      <c r="BD222" s="52" t="n"/>
      <c r="BE222" s="52" t="n"/>
      <c r="BF222" s="52" t="n"/>
      <c r="BG222" s="52" t="n"/>
      <c r="BH222" s="52" t="n"/>
      <c r="BI222" s="52" t="n"/>
      <c r="BJ222" s="52" t="n"/>
      <c r="BK222" s="52" t="n"/>
      <c r="BL222" s="52" t="n"/>
      <c r="BM222" s="52" t="n"/>
      <c r="BN222" s="52" t="n"/>
      <c r="BO222" s="52" t="n"/>
    </row>
    <row r="223">
      <c r="A223" s="66" t="n"/>
      <c r="B223" s="66" t="n"/>
      <c r="C223" s="66" t="n"/>
      <c r="D223" s="66" t="n"/>
      <c r="E223" s="66" t="n"/>
      <c r="F223" s="65" t="inlineStr">
        <is>
          <t>Actual</t>
        </is>
      </c>
      <c r="G223" s="56">
        <f>SUM(H223:BO223)</f>
        <v/>
      </c>
      <c r="H223" s="52" t="n"/>
      <c r="I223" s="52" t="n"/>
      <c r="J223" s="52" t="n"/>
      <c r="K223" s="52" t="n"/>
      <c r="L223" s="52" t="n"/>
      <c r="M223" s="52" t="n"/>
      <c r="N223" s="52" t="n"/>
      <c r="O223" s="52" t="n"/>
      <c r="P223" s="52" t="n"/>
      <c r="Q223" s="52" t="n"/>
      <c r="R223" s="52" t="n"/>
      <c r="S223" s="52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  <c r="AG223" s="52" t="n"/>
      <c r="AH223" s="52" t="n"/>
      <c r="AI223" s="52" t="n"/>
      <c r="AJ223" s="52" t="n"/>
      <c r="AK223" s="52" t="n"/>
      <c r="AL223" s="52" t="n"/>
      <c r="AM223" s="52" t="n"/>
      <c r="AN223" s="52" t="n"/>
      <c r="AO223" s="52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  <c r="BB223" s="52" t="n"/>
      <c r="BC223" s="52" t="n"/>
      <c r="BD223" s="52" t="n"/>
      <c r="BE223" s="52" t="n"/>
      <c r="BF223" s="52" t="n"/>
      <c r="BG223" s="52" t="n"/>
      <c r="BH223" s="52" t="n"/>
      <c r="BI223" s="52" t="n"/>
      <c r="BJ223" s="52" t="n"/>
      <c r="BK223" s="52" t="n"/>
      <c r="BL223" s="52" t="n"/>
      <c r="BM223" s="52" t="n"/>
      <c r="BN223" s="52" t="n"/>
      <c r="BO223" s="52" t="n"/>
    </row>
    <row r="224">
      <c r="A224" s="66" t="n"/>
      <c r="B224" s="66" t="n"/>
      <c r="C224" s="67" t="n"/>
      <c r="D224" s="67" t="n"/>
      <c r="E224" s="67" t="n"/>
      <c r="F224" s="68" t="inlineStr">
        <is>
          <t>% Achieved</t>
        </is>
      </c>
      <c r="G224" s="69">
        <f>IFERROR(G223/G222,"")</f>
        <v/>
      </c>
      <c r="H224" s="70">
        <f>IFERROR(H223/H222,"")</f>
        <v/>
      </c>
      <c r="I224" s="70">
        <f>IFERROR(I223/I222,"")</f>
        <v/>
      </c>
      <c r="J224" s="70">
        <f>IFERROR(J223/J222,"")</f>
        <v/>
      </c>
      <c r="K224" s="70">
        <f>IFERROR(K223/K222,"")</f>
        <v/>
      </c>
      <c r="L224" s="70">
        <f>IFERROR(L223/L222,"")</f>
        <v/>
      </c>
      <c r="M224" s="70">
        <f>IFERROR(M223/M222,"")</f>
        <v/>
      </c>
      <c r="N224" s="70">
        <f>IFERROR(N223/N222,"")</f>
        <v/>
      </c>
      <c r="O224" s="70">
        <f>IFERROR(O223/O222,"")</f>
        <v/>
      </c>
      <c r="P224" s="70">
        <f>IFERROR(P223/P222,"")</f>
        <v/>
      </c>
      <c r="Q224" s="70">
        <f>IFERROR(Q223/Q222,"")</f>
        <v/>
      </c>
      <c r="R224" s="70">
        <f>IFERROR(R223/R222,"")</f>
        <v/>
      </c>
      <c r="S224" s="70">
        <f>IFERROR(S223/S222,"")</f>
        <v/>
      </c>
      <c r="T224" s="70">
        <f>IFERROR(T223/T222,"")</f>
        <v/>
      </c>
      <c r="U224" s="70">
        <f>IFERROR(U223/U222,"")</f>
        <v/>
      </c>
      <c r="V224" s="70">
        <f>IFERROR(V223/V222,"")</f>
        <v/>
      </c>
      <c r="W224" s="70">
        <f>IFERROR(W223/W222,"")</f>
        <v/>
      </c>
      <c r="X224" s="70">
        <f>IFERROR(X223/X222,"")</f>
        <v/>
      </c>
      <c r="Y224" s="70">
        <f>IFERROR(Y223/Y222,"")</f>
        <v/>
      </c>
      <c r="Z224" s="70">
        <f>IFERROR(Z223/Z222,"")</f>
        <v/>
      </c>
      <c r="AA224" s="70">
        <f>IFERROR(AA223/AA222,"")</f>
        <v/>
      </c>
      <c r="AB224" s="70">
        <f>IFERROR(AB223/AB222,"")</f>
        <v/>
      </c>
      <c r="AC224" s="70">
        <f>IFERROR(AC223/AC222,"")</f>
        <v/>
      </c>
      <c r="AD224" s="70">
        <f>IFERROR(AD223/AD222,"")</f>
        <v/>
      </c>
      <c r="AE224" s="70">
        <f>IFERROR(AE223/AE222,"")</f>
        <v/>
      </c>
      <c r="AF224" s="70">
        <f>IFERROR(AF223/AF222,"")</f>
        <v/>
      </c>
      <c r="AG224" s="70">
        <f>IFERROR(AG223/AG222,"")</f>
        <v/>
      </c>
      <c r="AH224" s="70">
        <f>IFERROR(AH223/AH222,"")</f>
        <v/>
      </c>
      <c r="AI224" s="70">
        <f>IFERROR(AI223/AI222,"")</f>
        <v/>
      </c>
      <c r="AJ224" s="70">
        <f>IFERROR(AJ223/AJ222,"")</f>
        <v/>
      </c>
      <c r="AK224" s="70">
        <f>IFERROR(AK223/AK222,"")</f>
        <v/>
      </c>
      <c r="AL224" s="70">
        <f>IFERROR(AL223/AL222,"")</f>
        <v/>
      </c>
      <c r="AM224" s="70">
        <f>IFERROR(AM223/AM222,"")</f>
        <v/>
      </c>
      <c r="AN224" s="70">
        <f>IFERROR(AN223/AN222,"")</f>
        <v/>
      </c>
      <c r="AO224" s="70">
        <f>IFERROR(AO223/AO222,"")</f>
        <v/>
      </c>
      <c r="AP224" s="70">
        <f>IFERROR(AP223/AP222,"")</f>
        <v/>
      </c>
      <c r="AQ224" s="70">
        <f>IFERROR(AQ223/AQ222,"")</f>
        <v/>
      </c>
      <c r="AR224" s="70">
        <f>IFERROR(AR223/AR222,"")</f>
        <v/>
      </c>
      <c r="AS224" s="70">
        <f>IFERROR(AS223/AS222,"")</f>
        <v/>
      </c>
      <c r="AT224" s="70">
        <f>IFERROR(AT223/AT222,"")</f>
        <v/>
      </c>
      <c r="AU224" s="70">
        <f>IFERROR(AU223/AU222,"")</f>
        <v/>
      </c>
      <c r="AV224" s="70">
        <f>IFERROR(AV223/AV222,"")</f>
        <v/>
      </c>
      <c r="AW224" s="70">
        <f>IFERROR(AW223/AW222,"")</f>
        <v/>
      </c>
      <c r="AX224" s="70">
        <f>IFERROR(AX223/AX222,"")</f>
        <v/>
      </c>
      <c r="AY224" s="70">
        <f>IFERROR(AY223/AY222,"")</f>
        <v/>
      </c>
      <c r="AZ224" s="70">
        <f>IFERROR(AZ223/AZ222,"")</f>
        <v/>
      </c>
      <c r="BA224" s="70">
        <f>IFERROR(BA223/BA222,"")</f>
        <v/>
      </c>
      <c r="BB224" s="70">
        <f>IFERROR(BB223/BB222,"")</f>
        <v/>
      </c>
      <c r="BC224" s="70">
        <f>IFERROR(BC223/BC222,"")</f>
        <v/>
      </c>
      <c r="BD224" s="70">
        <f>IFERROR(BD223/BD222,"")</f>
        <v/>
      </c>
      <c r="BE224" s="70">
        <f>IFERROR(BE223/BE222,"")</f>
        <v/>
      </c>
      <c r="BF224" s="70">
        <f>IFERROR(BF223/BF222,"")</f>
        <v/>
      </c>
      <c r="BG224" s="70">
        <f>IFERROR(BG223/BG222,"")</f>
        <v/>
      </c>
      <c r="BH224" s="70">
        <f>IFERROR(BH223/BH222,"")</f>
        <v/>
      </c>
      <c r="BI224" s="70">
        <f>IFERROR(BI223/BI222,"")</f>
        <v/>
      </c>
      <c r="BJ224" s="70">
        <f>IFERROR(BJ223/BJ222,"")</f>
        <v/>
      </c>
      <c r="BK224" s="70">
        <f>IFERROR(BK223/BK222,"")</f>
        <v/>
      </c>
      <c r="BL224" s="70">
        <f>IFERROR(BL223/BL222,"")</f>
        <v/>
      </c>
      <c r="BM224" s="70">
        <f>IFERROR(BM223/BM222,"")</f>
        <v/>
      </c>
      <c r="BN224" s="70">
        <f>IFERROR(BN223/BN222,"")</f>
        <v/>
      </c>
      <c r="BO224" s="70">
        <f>IFERROR(BO223/BO222,"")</f>
        <v/>
      </c>
    </row>
    <row r="225">
      <c r="A225" s="66" t="n"/>
      <c r="B225" s="66" t="n"/>
      <c r="C225" s="71" t="inlineStr">
        <is>
          <t>K4</t>
        </is>
      </c>
      <c r="D225" s="37" t="inlineStr">
        <is>
          <t>Engaged Architect (Submit Design)</t>
        </is>
      </c>
      <c r="E225" s="72" t="inlineStr">
        <is>
          <t>D&amp;B</t>
        </is>
      </c>
      <c r="F225" s="65" t="inlineStr">
        <is>
          <t>Phasing</t>
        </is>
      </c>
      <c r="G225" s="56">
        <f>SUM(H225:BO225)</f>
        <v/>
      </c>
      <c r="H225" s="52" t="n"/>
      <c r="I225" s="52" t="n"/>
      <c r="J225" s="52" t="n"/>
      <c r="K225" s="52" t="n"/>
      <c r="L225" s="52" t="n"/>
      <c r="M225" s="52" t="n"/>
      <c r="N225" s="52" t="n"/>
      <c r="O225" s="52" t="n"/>
      <c r="P225" s="52" t="n"/>
      <c r="Q225" s="52" t="n"/>
      <c r="R225" s="52" t="n"/>
      <c r="S225" s="52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  <c r="AG225" s="52" t="n"/>
      <c r="AH225" s="52" t="n"/>
      <c r="AI225" s="52" t="n"/>
      <c r="AJ225" s="52" t="n"/>
      <c r="AK225" s="52" t="n"/>
      <c r="AL225" s="52" t="n"/>
      <c r="AM225" s="52" t="n"/>
      <c r="AN225" s="52" t="n"/>
      <c r="AO225" s="52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  <c r="BB225" s="52" t="n"/>
      <c r="BC225" s="52" t="n"/>
      <c r="BD225" s="52" t="n"/>
      <c r="BE225" s="52" t="n"/>
      <c r="BF225" s="52" t="n"/>
      <c r="BG225" s="52" t="n"/>
      <c r="BH225" s="52" t="n"/>
      <c r="BI225" s="52" t="n"/>
      <c r="BJ225" s="52" t="n"/>
      <c r="BK225" s="52" t="n"/>
      <c r="BL225" s="52" t="n"/>
      <c r="BM225" s="52" t="n"/>
      <c r="BN225" s="52" t="n"/>
      <c r="BO225" s="52" t="n"/>
    </row>
    <row r="226">
      <c r="A226" s="66" t="n"/>
      <c r="B226" s="66" t="n"/>
      <c r="C226" s="66" t="n"/>
      <c r="D226" s="66" t="n"/>
      <c r="E226" s="66" t="n"/>
      <c r="F226" s="65" t="inlineStr">
        <is>
          <t>Actual</t>
        </is>
      </c>
      <c r="G226" s="56">
        <f>SUM(H226:BO226)</f>
        <v/>
      </c>
      <c r="H226" s="52" t="n"/>
      <c r="I226" s="52" t="n"/>
      <c r="J226" s="52" t="n"/>
      <c r="K226" s="52" t="n"/>
      <c r="L226" s="52" t="n"/>
      <c r="M226" s="52" t="n"/>
      <c r="N226" s="52" t="n"/>
      <c r="O226" s="52" t="n"/>
      <c r="P226" s="52" t="n"/>
      <c r="Q226" s="52" t="n"/>
      <c r="R226" s="52" t="n"/>
      <c r="S226" s="52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  <c r="AG226" s="52" t="n"/>
      <c r="AH226" s="52" t="n"/>
      <c r="AI226" s="52" t="n"/>
      <c r="AJ226" s="52" t="n"/>
      <c r="AK226" s="52" t="n"/>
      <c r="AL226" s="52" t="n"/>
      <c r="AM226" s="52" t="n"/>
      <c r="AN226" s="52" t="n"/>
      <c r="AO226" s="52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  <c r="BB226" s="52" t="n"/>
      <c r="BC226" s="52" t="n"/>
      <c r="BD226" s="52" t="n"/>
      <c r="BE226" s="52" t="n"/>
      <c r="BF226" s="52" t="n"/>
      <c r="BG226" s="52" t="n"/>
      <c r="BH226" s="52" t="n"/>
      <c r="BI226" s="52" t="n"/>
      <c r="BJ226" s="52" t="n"/>
      <c r="BK226" s="52" t="n"/>
      <c r="BL226" s="52" t="n"/>
      <c r="BM226" s="52" t="n"/>
      <c r="BN226" s="52" t="n"/>
      <c r="BO226" s="52" t="n"/>
    </row>
    <row r="227">
      <c r="A227" s="66" t="n"/>
      <c r="B227" s="66" t="n"/>
      <c r="C227" s="67" t="n"/>
      <c r="D227" s="67" t="n"/>
      <c r="E227" s="67" t="n"/>
      <c r="F227" s="68" t="inlineStr">
        <is>
          <t>% Achieved</t>
        </is>
      </c>
      <c r="G227" s="69">
        <f>IFERROR(G226/G225,"")</f>
        <v/>
      </c>
      <c r="H227" s="70">
        <f>IFERROR(H226/H225,"")</f>
        <v/>
      </c>
      <c r="I227" s="70">
        <f>IFERROR(I226/I225,"")</f>
        <v/>
      </c>
      <c r="J227" s="70">
        <f>IFERROR(J226/J225,"")</f>
        <v/>
      </c>
      <c r="K227" s="70">
        <f>IFERROR(K226/K225,"")</f>
        <v/>
      </c>
      <c r="L227" s="70">
        <f>IFERROR(L226/L225,"")</f>
        <v/>
      </c>
      <c r="M227" s="70">
        <f>IFERROR(M226/M225,"")</f>
        <v/>
      </c>
      <c r="N227" s="70">
        <f>IFERROR(N226/N225,"")</f>
        <v/>
      </c>
      <c r="O227" s="70">
        <f>IFERROR(O226/O225,"")</f>
        <v/>
      </c>
      <c r="P227" s="70">
        <f>IFERROR(P226/P225,"")</f>
        <v/>
      </c>
      <c r="Q227" s="70">
        <f>IFERROR(Q226/Q225,"")</f>
        <v/>
      </c>
      <c r="R227" s="70">
        <f>IFERROR(R226/R225,"")</f>
        <v/>
      </c>
      <c r="S227" s="70">
        <f>IFERROR(S226/S225,"")</f>
        <v/>
      </c>
      <c r="T227" s="70">
        <f>IFERROR(T226/T225,"")</f>
        <v/>
      </c>
      <c r="U227" s="70">
        <f>IFERROR(U226/U225,"")</f>
        <v/>
      </c>
      <c r="V227" s="70">
        <f>IFERROR(V226/V225,"")</f>
        <v/>
      </c>
      <c r="W227" s="70">
        <f>IFERROR(W226/W225,"")</f>
        <v/>
      </c>
      <c r="X227" s="70">
        <f>IFERROR(X226/X225,"")</f>
        <v/>
      </c>
      <c r="Y227" s="70">
        <f>IFERROR(Y226/Y225,"")</f>
        <v/>
      </c>
      <c r="Z227" s="70">
        <f>IFERROR(Z226/Z225,"")</f>
        <v/>
      </c>
      <c r="AA227" s="70">
        <f>IFERROR(AA226/AA225,"")</f>
        <v/>
      </c>
      <c r="AB227" s="70">
        <f>IFERROR(AB226/AB225,"")</f>
        <v/>
      </c>
      <c r="AC227" s="70">
        <f>IFERROR(AC226/AC225,"")</f>
        <v/>
      </c>
      <c r="AD227" s="70">
        <f>IFERROR(AD226/AD225,"")</f>
        <v/>
      </c>
      <c r="AE227" s="70">
        <f>IFERROR(AE226/AE225,"")</f>
        <v/>
      </c>
      <c r="AF227" s="70">
        <f>IFERROR(AF226/AF225,"")</f>
        <v/>
      </c>
      <c r="AG227" s="70">
        <f>IFERROR(AG226/AG225,"")</f>
        <v/>
      </c>
      <c r="AH227" s="70">
        <f>IFERROR(AH226/AH225,"")</f>
        <v/>
      </c>
      <c r="AI227" s="70">
        <f>IFERROR(AI226/AI225,"")</f>
        <v/>
      </c>
      <c r="AJ227" s="70">
        <f>IFERROR(AJ226/AJ225,"")</f>
        <v/>
      </c>
      <c r="AK227" s="70">
        <f>IFERROR(AK226/AK225,"")</f>
        <v/>
      </c>
      <c r="AL227" s="70">
        <f>IFERROR(AL226/AL225,"")</f>
        <v/>
      </c>
      <c r="AM227" s="70">
        <f>IFERROR(AM226/AM225,"")</f>
        <v/>
      </c>
      <c r="AN227" s="70">
        <f>IFERROR(AN226/AN225,"")</f>
        <v/>
      </c>
      <c r="AO227" s="70">
        <f>IFERROR(AO226/AO225,"")</f>
        <v/>
      </c>
      <c r="AP227" s="70">
        <f>IFERROR(AP226/AP225,"")</f>
        <v/>
      </c>
      <c r="AQ227" s="70">
        <f>IFERROR(AQ226/AQ225,"")</f>
        <v/>
      </c>
      <c r="AR227" s="70">
        <f>IFERROR(AR226/AR225,"")</f>
        <v/>
      </c>
      <c r="AS227" s="70">
        <f>IFERROR(AS226/AS225,"")</f>
        <v/>
      </c>
      <c r="AT227" s="70">
        <f>IFERROR(AT226/AT225,"")</f>
        <v/>
      </c>
      <c r="AU227" s="70">
        <f>IFERROR(AU226/AU225,"")</f>
        <v/>
      </c>
      <c r="AV227" s="70">
        <f>IFERROR(AV226/AV225,"")</f>
        <v/>
      </c>
      <c r="AW227" s="70">
        <f>IFERROR(AW226/AW225,"")</f>
        <v/>
      </c>
      <c r="AX227" s="70">
        <f>IFERROR(AX226/AX225,"")</f>
        <v/>
      </c>
      <c r="AY227" s="70">
        <f>IFERROR(AY226/AY225,"")</f>
        <v/>
      </c>
      <c r="AZ227" s="70">
        <f>IFERROR(AZ226/AZ225,"")</f>
        <v/>
      </c>
      <c r="BA227" s="70">
        <f>IFERROR(BA226/BA225,"")</f>
        <v/>
      </c>
      <c r="BB227" s="70">
        <f>IFERROR(BB226/BB225,"")</f>
        <v/>
      </c>
      <c r="BC227" s="70">
        <f>IFERROR(BC226/BC225,"")</f>
        <v/>
      </c>
      <c r="BD227" s="70">
        <f>IFERROR(BD226/BD225,"")</f>
        <v/>
      </c>
      <c r="BE227" s="70">
        <f>IFERROR(BE226/BE225,"")</f>
        <v/>
      </c>
      <c r="BF227" s="70">
        <f>IFERROR(BF226/BF225,"")</f>
        <v/>
      </c>
      <c r="BG227" s="70">
        <f>IFERROR(BG226/BG225,"")</f>
        <v/>
      </c>
      <c r="BH227" s="70">
        <f>IFERROR(BH226/BH225,"")</f>
        <v/>
      </c>
      <c r="BI227" s="70">
        <f>IFERROR(BI226/BI225,"")</f>
        <v/>
      </c>
      <c r="BJ227" s="70">
        <f>IFERROR(BJ226/BJ225,"")</f>
        <v/>
      </c>
      <c r="BK227" s="70">
        <f>IFERROR(BK226/BK225,"")</f>
        <v/>
      </c>
      <c r="BL227" s="70">
        <f>IFERROR(BL226/BL225,"")</f>
        <v/>
      </c>
      <c r="BM227" s="70">
        <f>IFERROR(BM226/BM225,"")</f>
        <v/>
      </c>
      <c r="BN227" s="70">
        <f>IFERROR(BN226/BN225,"")</f>
        <v/>
      </c>
      <c r="BO227" s="70">
        <f>IFERROR(BO226/BO225,"")</f>
        <v/>
      </c>
    </row>
    <row r="228">
      <c r="A228" s="66" t="n"/>
      <c r="B228" s="66" t="n"/>
      <c r="C228" s="73" t="inlineStr">
        <is>
          <t>K5</t>
        </is>
      </c>
      <c r="D228" s="41" t="inlineStr">
        <is>
          <t>Spec-in Design (submitted design)</t>
        </is>
      </c>
      <c r="E228" s="74" t="inlineStr">
        <is>
          <t>Designs</t>
        </is>
      </c>
      <c r="F228" s="65" t="inlineStr">
        <is>
          <t>Phasing</t>
        </is>
      </c>
      <c r="G228" s="56">
        <f>SUM(H228:BO228)</f>
        <v/>
      </c>
      <c r="H228" s="52" t="n"/>
      <c r="I228" s="52" t="n"/>
      <c r="J228" s="52" t="n"/>
      <c r="K228" s="52" t="n"/>
      <c r="L228" s="52" t="n"/>
      <c r="M228" s="52" t="n"/>
      <c r="N228" s="52" t="n"/>
      <c r="O228" s="52" t="n"/>
      <c r="P228" s="52" t="n"/>
      <c r="Q228" s="52" t="n"/>
      <c r="R228" s="52" t="n"/>
      <c r="S228" s="52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  <c r="AG228" s="52" t="n"/>
      <c r="AH228" s="52" t="n"/>
      <c r="AI228" s="52" t="n"/>
      <c r="AJ228" s="52" t="n"/>
      <c r="AK228" s="52" t="n"/>
      <c r="AL228" s="52" t="n"/>
      <c r="AM228" s="52" t="n"/>
      <c r="AN228" s="52" t="n"/>
      <c r="AO228" s="52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  <c r="BB228" s="52" t="n"/>
      <c r="BC228" s="52" t="n"/>
      <c r="BD228" s="52" t="n"/>
      <c r="BE228" s="52" t="n"/>
      <c r="BF228" s="52" t="n"/>
      <c r="BG228" s="52" t="n"/>
      <c r="BH228" s="52" t="n"/>
      <c r="BI228" s="52" t="n"/>
      <c r="BJ228" s="52" t="n"/>
      <c r="BK228" s="52" t="n"/>
      <c r="BL228" s="52" t="n"/>
      <c r="BM228" s="52" t="n"/>
      <c r="BN228" s="52" t="n"/>
      <c r="BO228" s="52" t="n"/>
    </row>
    <row r="229">
      <c r="A229" s="66" t="n"/>
      <c r="B229" s="66" t="n"/>
      <c r="C229" s="66" t="n"/>
      <c r="D229" s="66" t="n"/>
      <c r="E229" s="66" t="n"/>
      <c r="F229" s="65" t="inlineStr">
        <is>
          <t>Actual</t>
        </is>
      </c>
      <c r="G229" s="56">
        <f>SUM(H229:BO229)</f>
        <v/>
      </c>
      <c r="H229" s="52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  <c r="AG229" s="52" t="n"/>
      <c r="AH229" s="52" t="n"/>
      <c r="AI229" s="52" t="n"/>
      <c r="AJ229" s="52" t="n"/>
      <c r="AK229" s="52" t="n"/>
      <c r="AL229" s="52" t="n"/>
      <c r="AM229" s="52" t="n"/>
      <c r="AN229" s="52" t="n"/>
      <c r="AO229" s="52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  <c r="BB229" s="52" t="n"/>
      <c r="BC229" s="52" t="n"/>
      <c r="BD229" s="52" t="n"/>
      <c r="BE229" s="52" t="n"/>
      <c r="BF229" s="52" t="n"/>
      <c r="BG229" s="52" t="n"/>
      <c r="BH229" s="52" t="n"/>
      <c r="BI229" s="52" t="n"/>
      <c r="BJ229" s="52" t="n"/>
      <c r="BK229" s="52" t="n"/>
      <c r="BL229" s="52" t="n"/>
      <c r="BM229" s="52" t="n"/>
      <c r="BN229" s="52" t="n"/>
      <c r="BO229" s="52" t="n"/>
    </row>
    <row r="230">
      <c r="A230" s="67" t="n"/>
      <c r="B230" s="67" t="n"/>
      <c r="C230" s="67" t="n"/>
      <c r="D230" s="67" t="n"/>
      <c r="E230" s="67" t="n"/>
      <c r="F230" s="68" t="inlineStr">
        <is>
          <t>% Achieved</t>
        </is>
      </c>
      <c r="G230" s="69">
        <f>IFERROR(G229/G228,"")</f>
        <v/>
      </c>
      <c r="H230" s="70">
        <f>IFERROR(H229/H228,"")</f>
        <v/>
      </c>
      <c r="I230" s="70">
        <f>IFERROR(I229/I228,"")</f>
        <v/>
      </c>
      <c r="J230" s="70">
        <f>IFERROR(J229/J228,"")</f>
        <v/>
      </c>
      <c r="K230" s="70">
        <f>IFERROR(K229/K228,"")</f>
        <v/>
      </c>
      <c r="L230" s="70">
        <f>IFERROR(L229/L228,"")</f>
        <v/>
      </c>
      <c r="M230" s="70">
        <f>IFERROR(M229/M228,"")</f>
        <v/>
      </c>
      <c r="N230" s="70">
        <f>IFERROR(N229/N228,"")</f>
        <v/>
      </c>
      <c r="O230" s="70">
        <f>IFERROR(O229/O228,"")</f>
        <v/>
      </c>
      <c r="P230" s="70">
        <f>IFERROR(P229/P228,"")</f>
        <v/>
      </c>
      <c r="Q230" s="70">
        <f>IFERROR(Q229/Q228,"")</f>
        <v/>
      </c>
      <c r="R230" s="70">
        <f>IFERROR(R229/R228,"")</f>
        <v/>
      </c>
      <c r="S230" s="70">
        <f>IFERROR(S229/S228,"")</f>
        <v/>
      </c>
      <c r="T230" s="70">
        <f>IFERROR(T229/T228,"")</f>
        <v/>
      </c>
      <c r="U230" s="70">
        <f>IFERROR(U229/U228,"")</f>
        <v/>
      </c>
      <c r="V230" s="70">
        <f>IFERROR(V229/V228,"")</f>
        <v/>
      </c>
      <c r="W230" s="70">
        <f>IFERROR(W229/W228,"")</f>
        <v/>
      </c>
      <c r="X230" s="70">
        <f>IFERROR(X229/X228,"")</f>
        <v/>
      </c>
      <c r="Y230" s="70">
        <f>IFERROR(Y229/Y228,"")</f>
        <v/>
      </c>
      <c r="Z230" s="70">
        <f>IFERROR(Z229/Z228,"")</f>
        <v/>
      </c>
      <c r="AA230" s="70">
        <f>IFERROR(AA229/AA228,"")</f>
        <v/>
      </c>
      <c r="AB230" s="70">
        <f>IFERROR(AB229/AB228,"")</f>
        <v/>
      </c>
      <c r="AC230" s="70">
        <f>IFERROR(AC229/AC228,"")</f>
        <v/>
      </c>
      <c r="AD230" s="70">
        <f>IFERROR(AD229/AD228,"")</f>
        <v/>
      </c>
      <c r="AE230" s="70">
        <f>IFERROR(AE229/AE228,"")</f>
        <v/>
      </c>
      <c r="AF230" s="70">
        <f>IFERROR(AF229/AF228,"")</f>
        <v/>
      </c>
      <c r="AG230" s="70">
        <f>IFERROR(AG229/AG228,"")</f>
        <v/>
      </c>
      <c r="AH230" s="70">
        <f>IFERROR(AH229/AH228,"")</f>
        <v/>
      </c>
      <c r="AI230" s="70">
        <f>IFERROR(AI229/AI228,"")</f>
        <v/>
      </c>
      <c r="AJ230" s="70">
        <f>IFERROR(AJ229/AJ228,"")</f>
        <v/>
      </c>
      <c r="AK230" s="70">
        <f>IFERROR(AK229/AK228,"")</f>
        <v/>
      </c>
      <c r="AL230" s="70">
        <f>IFERROR(AL229/AL228,"")</f>
        <v/>
      </c>
      <c r="AM230" s="70">
        <f>IFERROR(AM229/AM228,"")</f>
        <v/>
      </c>
      <c r="AN230" s="70">
        <f>IFERROR(AN229/AN228,"")</f>
        <v/>
      </c>
      <c r="AO230" s="70">
        <f>IFERROR(AO229/AO228,"")</f>
        <v/>
      </c>
      <c r="AP230" s="70">
        <f>IFERROR(AP229/AP228,"")</f>
        <v/>
      </c>
      <c r="AQ230" s="70">
        <f>IFERROR(AQ229/AQ228,"")</f>
        <v/>
      </c>
      <c r="AR230" s="70">
        <f>IFERROR(AR229/AR228,"")</f>
        <v/>
      </c>
      <c r="AS230" s="70">
        <f>IFERROR(AS229/AS228,"")</f>
        <v/>
      </c>
      <c r="AT230" s="70">
        <f>IFERROR(AT229/AT228,"")</f>
        <v/>
      </c>
      <c r="AU230" s="70">
        <f>IFERROR(AU229/AU228,"")</f>
        <v/>
      </c>
      <c r="AV230" s="70">
        <f>IFERROR(AV229/AV228,"")</f>
        <v/>
      </c>
      <c r="AW230" s="70">
        <f>IFERROR(AW229/AW228,"")</f>
        <v/>
      </c>
      <c r="AX230" s="70">
        <f>IFERROR(AX229/AX228,"")</f>
        <v/>
      </c>
      <c r="AY230" s="70">
        <f>IFERROR(AY229/AY228,"")</f>
        <v/>
      </c>
      <c r="AZ230" s="70">
        <f>IFERROR(AZ229/AZ228,"")</f>
        <v/>
      </c>
      <c r="BA230" s="70">
        <f>IFERROR(BA229/BA228,"")</f>
        <v/>
      </c>
      <c r="BB230" s="70">
        <f>IFERROR(BB229/BB228,"")</f>
        <v/>
      </c>
      <c r="BC230" s="70">
        <f>IFERROR(BC229/BC228,"")</f>
        <v/>
      </c>
      <c r="BD230" s="70">
        <f>IFERROR(BD229/BD228,"")</f>
        <v/>
      </c>
      <c r="BE230" s="70">
        <f>IFERROR(BE229/BE228,"")</f>
        <v/>
      </c>
      <c r="BF230" s="70">
        <f>IFERROR(BF229/BF228,"")</f>
        <v/>
      </c>
      <c r="BG230" s="70">
        <f>IFERROR(BG229/BG228,"")</f>
        <v/>
      </c>
      <c r="BH230" s="70">
        <f>IFERROR(BH229/BH228,"")</f>
        <v/>
      </c>
      <c r="BI230" s="70">
        <f>IFERROR(BI229/BI228,"")</f>
        <v/>
      </c>
      <c r="BJ230" s="70">
        <f>IFERROR(BJ229/BJ228,"")</f>
        <v/>
      </c>
      <c r="BK230" s="70">
        <f>IFERROR(BK229/BK228,"")</f>
        <v/>
      </c>
      <c r="BL230" s="70">
        <f>IFERROR(BL229/BL228,"")</f>
        <v/>
      </c>
      <c r="BM230" s="70">
        <f>IFERROR(BM229/BM228,"")</f>
        <v/>
      </c>
      <c r="BN230" s="70">
        <f>IFERROR(BN229/BN228,"")</f>
        <v/>
      </c>
      <c r="BO230" s="70">
        <f>IFERROR(BO229/BO228,"")</f>
        <v/>
      </c>
    </row>
  </sheetData>
  <mergeCells count="268">
    <mergeCell ref="E225:E227"/>
    <mergeCell ref="D75:D77"/>
    <mergeCell ref="C21:C23"/>
    <mergeCell ref="E120:E122"/>
    <mergeCell ref="D180:D182"/>
    <mergeCell ref="C39:C41"/>
    <mergeCell ref="C51:C53"/>
    <mergeCell ref="C144:C146"/>
    <mergeCell ref="C48:C50"/>
    <mergeCell ref="A51:A65"/>
    <mergeCell ref="C153:C155"/>
    <mergeCell ref="E162:E164"/>
    <mergeCell ref="D102:D104"/>
    <mergeCell ref="D117:D119"/>
    <mergeCell ref="C81:C83"/>
    <mergeCell ref="B111:B125"/>
    <mergeCell ref="E159:E161"/>
    <mergeCell ref="D9:D11"/>
    <mergeCell ref="D30:D32"/>
    <mergeCell ref="D39:D41"/>
    <mergeCell ref="C78:C80"/>
    <mergeCell ref="D132:D134"/>
    <mergeCell ref="C87:C89"/>
    <mergeCell ref="E192:E194"/>
    <mergeCell ref="E81:E83"/>
    <mergeCell ref="D207:D209"/>
    <mergeCell ref="E126:E128"/>
    <mergeCell ref="D216:D218"/>
    <mergeCell ref="C24:C26"/>
    <mergeCell ref="C18:C20"/>
    <mergeCell ref="B186:B200"/>
    <mergeCell ref="E18:E20"/>
    <mergeCell ref="D84:D86"/>
    <mergeCell ref="BK4:BO4"/>
    <mergeCell ref="D144:D146"/>
    <mergeCell ref="E51:E53"/>
    <mergeCell ref="D21:D23"/>
    <mergeCell ref="E60:E62"/>
    <mergeCell ref="E165:E167"/>
    <mergeCell ref="C63:C65"/>
    <mergeCell ref="C141:C143"/>
    <mergeCell ref="D186:D188"/>
    <mergeCell ref="D120:D122"/>
    <mergeCell ref="A141:A155"/>
    <mergeCell ref="C93:C95"/>
    <mergeCell ref="E123:E125"/>
    <mergeCell ref="D219:D221"/>
    <mergeCell ref="A111:A125"/>
    <mergeCell ref="D57:D59"/>
    <mergeCell ref="D210:D212"/>
    <mergeCell ref="B51:B65"/>
    <mergeCell ref="C99:C101"/>
    <mergeCell ref="C183:C185"/>
    <mergeCell ref="B66:B80"/>
    <mergeCell ref="E99:E101"/>
    <mergeCell ref="C192:C194"/>
    <mergeCell ref="E108:E110"/>
    <mergeCell ref="A186:A200"/>
    <mergeCell ref="D225:D227"/>
    <mergeCell ref="C84:C86"/>
    <mergeCell ref="E84:E86"/>
    <mergeCell ref="C207:C209"/>
    <mergeCell ref="C36:C38"/>
    <mergeCell ref="C198:C200"/>
    <mergeCell ref="E36:E38"/>
    <mergeCell ref="E207:E209"/>
    <mergeCell ref="AV4:AZ4"/>
    <mergeCell ref="E30:E32"/>
    <mergeCell ref="E45:E47"/>
    <mergeCell ref="D162:D164"/>
    <mergeCell ref="C12:C14"/>
    <mergeCell ref="D171:D173"/>
    <mergeCell ref="C135:C137"/>
    <mergeCell ref="B156:B170"/>
    <mergeCell ref="D33:D35"/>
    <mergeCell ref="D93:D95"/>
    <mergeCell ref="R4:V4"/>
    <mergeCell ref="D42:D44"/>
    <mergeCell ref="C159:C161"/>
    <mergeCell ref="E144:E146"/>
    <mergeCell ref="C186:C188"/>
    <mergeCell ref="D201:D203"/>
    <mergeCell ref="C69:C71"/>
    <mergeCell ref="C96:C98"/>
    <mergeCell ref="E12:E14"/>
    <mergeCell ref="E72:E74"/>
    <mergeCell ref="D222:D224"/>
    <mergeCell ref="E21:E23"/>
    <mergeCell ref="D138:D140"/>
    <mergeCell ref="E195:E197"/>
    <mergeCell ref="D6:D8"/>
    <mergeCell ref="C216:C218"/>
    <mergeCell ref="E96:E98"/>
    <mergeCell ref="B6:B20"/>
    <mergeCell ref="C54:C56"/>
    <mergeCell ref="C225:C227"/>
    <mergeCell ref="E48:E50"/>
    <mergeCell ref="D69:D71"/>
    <mergeCell ref="E219:E221"/>
    <mergeCell ref="C15:C17"/>
    <mergeCell ref="E63:E65"/>
    <mergeCell ref="E141:E143"/>
    <mergeCell ref="D174:D176"/>
    <mergeCell ref="E24:E26"/>
    <mergeCell ref="D183:D185"/>
    <mergeCell ref="C147:C149"/>
    <mergeCell ref="E147:E149"/>
    <mergeCell ref="C156:C158"/>
    <mergeCell ref="E156:E158"/>
    <mergeCell ref="A156:A170"/>
    <mergeCell ref="D189:D191"/>
    <mergeCell ref="D198:D200"/>
    <mergeCell ref="D111:D113"/>
    <mergeCell ref="B216:B230"/>
    <mergeCell ref="AQ4:AU4"/>
    <mergeCell ref="E171:E173"/>
    <mergeCell ref="C180:C182"/>
    <mergeCell ref="E153:E155"/>
    <mergeCell ref="BA4:BE4"/>
    <mergeCell ref="D126:D128"/>
    <mergeCell ref="E180:E182"/>
    <mergeCell ref="D135:D137"/>
    <mergeCell ref="D48:D50"/>
    <mergeCell ref="C90:C92"/>
    <mergeCell ref="C117:C119"/>
    <mergeCell ref="E90:E92"/>
    <mergeCell ref="D150:D152"/>
    <mergeCell ref="C9:C11"/>
    <mergeCell ref="W4:AA4"/>
    <mergeCell ref="E9:E11"/>
    <mergeCell ref="C27:C29"/>
    <mergeCell ref="C132:C134"/>
    <mergeCell ref="D168:D170"/>
    <mergeCell ref="E27:E29"/>
    <mergeCell ref="D177:D179"/>
    <mergeCell ref="D78:D80"/>
    <mergeCell ref="D87:D89"/>
    <mergeCell ref="B81:B95"/>
    <mergeCell ref="B96:B110"/>
    <mergeCell ref="A4:G4"/>
    <mergeCell ref="C213:C215"/>
    <mergeCell ref="A36:A50"/>
    <mergeCell ref="C72:C74"/>
    <mergeCell ref="C165:C167"/>
    <mergeCell ref="C174:C176"/>
    <mergeCell ref="D24:D26"/>
    <mergeCell ref="H4:L4"/>
    <mergeCell ref="E168:E170"/>
    <mergeCell ref="D18:D20"/>
    <mergeCell ref="E183:E185"/>
    <mergeCell ref="C66:C68"/>
    <mergeCell ref="D129:D131"/>
    <mergeCell ref="AB4:AF4"/>
    <mergeCell ref="E66:E68"/>
    <mergeCell ref="A66:A80"/>
    <mergeCell ref="C150:C152"/>
    <mergeCell ref="C102:C104"/>
    <mergeCell ref="E75:E77"/>
    <mergeCell ref="C111:C113"/>
    <mergeCell ref="D51:D53"/>
    <mergeCell ref="D60:D62"/>
    <mergeCell ref="D153:D155"/>
    <mergeCell ref="C108:C110"/>
    <mergeCell ref="E102:E104"/>
    <mergeCell ref="D123:D125"/>
    <mergeCell ref="E129:E131"/>
    <mergeCell ref="E111:E113"/>
    <mergeCell ref="D228:D230"/>
    <mergeCell ref="B171:B185"/>
    <mergeCell ref="A21:A35"/>
    <mergeCell ref="C30:C32"/>
    <mergeCell ref="C45:C47"/>
    <mergeCell ref="E39:E41"/>
    <mergeCell ref="C210:C212"/>
    <mergeCell ref="D105:D107"/>
    <mergeCell ref="BF4:BJ4"/>
    <mergeCell ref="E210:E212"/>
    <mergeCell ref="D99:D101"/>
    <mergeCell ref="D108:D110"/>
    <mergeCell ref="D27:D29"/>
    <mergeCell ref="E186:E188"/>
    <mergeCell ref="D36:D38"/>
    <mergeCell ref="B36:B50"/>
    <mergeCell ref="D45:D47"/>
    <mergeCell ref="C162:C164"/>
    <mergeCell ref="E78:E80"/>
    <mergeCell ref="C171:C173"/>
    <mergeCell ref="C114:C116"/>
    <mergeCell ref="E87:E89"/>
    <mergeCell ref="E114:E116"/>
    <mergeCell ref="C123:C125"/>
    <mergeCell ref="A171:A185"/>
    <mergeCell ref="D204:D206"/>
    <mergeCell ref="D213:D215"/>
    <mergeCell ref="E15:E17"/>
    <mergeCell ref="D165:D167"/>
    <mergeCell ref="D141:D143"/>
    <mergeCell ref="C60:C62"/>
    <mergeCell ref="B126:B140"/>
    <mergeCell ref="B141:B155"/>
    <mergeCell ref="M4:Q4"/>
    <mergeCell ref="C201:C203"/>
    <mergeCell ref="D15:D17"/>
    <mergeCell ref="C219:C221"/>
    <mergeCell ref="AG4:AK4"/>
    <mergeCell ref="C105:C107"/>
    <mergeCell ref="E105:E107"/>
    <mergeCell ref="A201:A215"/>
    <mergeCell ref="C228:C230"/>
    <mergeCell ref="C57:C59"/>
    <mergeCell ref="D12:D14"/>
    <mergeCell ref="E201:E203"/>
    <mergeCell ref="E57:E59"/>
    <mergeCell ref="D72:D74"/>
    <mergeCell ref="C222:C224"/>
    <mergeCell ref="C138:C140"/>
    <mergeCell ref="E222:E224"/>
    <mergeCell ref="B21:B35"/>
    <mergeCell ref="E54:E56"/>
    <mergeCell ref="C120:C122"/>
    <mergeCell ref="D192:D194"/>
    <mergeCell ref="A216:A230"/>
    <mergeCell ref="A6:A20"/>
    <mergeCell ref="D54:D56"/>
    <mergeCell ref="D114:D116"/>
    <mergeCell ref="D63:D65"/>
    <mergeCell ref="E228:E230"/>
    <mergeCell ref="E174:E176"/>
    <mergeCell ref="C195:C197"/>
    <mergeCell ref="C189:C191"/>
    <mergeCell ref="C33:C35"/>
    <mergeCell ref="C204:C206"/>
    <mergeCell ref="E189:E191"/>
    <mergeCell ref="C6:C8"/>
    <mergeCell ref="E33:E35"/>
    <mergeCell ref="C42:C44"/>
    <mergeCell ref="E93:E95"/>
    <mergeCell ref="E42:E44"/>
    <mergeCell ref="E198:E200"/>
    <mergeCell ref="D159:D161"/>
    <mergeCell ref="E204:E206"/>
    <mergeCell ref="E213:E215"/>
    <mergeCell ref="C126:C128"/>
    <mergeCell ref="A126:A140"/>
    <mergeCell ref="E117:E119"/>
    <mergeCell ref="E135:E137"/>
    <mergeCell ref="D81:D83"/>
    <mergeCell ref="D96:D98"/>
    <mergeCell ref="D90:D92"/>
    <mergeCell ref="E138:E140"/>
    <mergeCell ref="E150:E152"/>
    <mergeCell ref="E132:E134"/>
    <mergeCell ref="C168:C170"/>
    <mergeCell ref="E6:E8"/>
    <mergeCell ref="C177:C179"/>
    <mergeCell ref="E177:E179"/>
    <mergeCell ref="B201:B215"/>
    <mergeCell ref="C75:C77"/>
    <mergeCell ref="E69:E71"/>
    <mergeCell ref="AL4:AP4"/>
    <mergeCell ref="A81:A95"/>
    <mergeCell ref="A96:A110"/>
    <mergeCell ref="D195:D197"/>
    <mergeCell ref="D147:D149"/>
    <mergeCell ref="D156:D158"/>
    <mergeCell ref="C129:C131"/>
    <mergeCell ref="E216:E218"/>
    <mergeCell ref="D66:D68"/>
  </mergeCells>
  <conditionalFormatting sqref="H6:BO230">
    <cfRule type="expression" priority="1" dxfId="0">
      <formula>AND($F6="% Achieved",H6&lt;&gt;"",H6&lt;0.8)</formula>
    </cfRule>
    <cfRule type="expression" priority="2" dxfId="1">
      <formula>AND($F6="% Achieved",H6&lt;&gt;"",H6&lt;1)</formula>
    </cfRule>
    <cfRule type="expression" priority="3" dxfId="2">
      <formula>AND($F6="% Achieved",H6&lt;&gt;"",H6&gt;=1)</formula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AC88"/>
  <sheetViews>
    <sheetView showGridLines="0"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7" customWidth="1" min="4" max="4"/>
    <col width="26" customWidth="1" min="5" max="5"/>
    <col width="9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8" customWidth="1" min="29" max="29"/>
  </cols>
  <sheetData>
    <row r="2">
      <c r="B2" s="16" t="inlineStr">
        <is>
          <t>TARGET / PHASING FY2026 – gom từ Weekly_Tracker</t>
        </is>
      </c>
    </row>
    <row r="3">
      <c r="B3" s="48" t="inlineStr">
        <is>
          <t>Chỉ nhập cột 'FY Target (nhập)' – các cột còn lại gom từ phasing tuần. Cột 'Check phasing' báo lệch nếu phasing cả năm chưa khớp FY target.</t>
        </is>
      </c>
    </row>
    <row r="4">
      <c r="L4" s="76" t="inlineStr">
        <is>
          <t>TỰ GOM TỪ WEEKLY_TRACKER →</t>
        </is>
      </c>
    </row>
    <row r="5" ht="26" customHeight="1">
      <c r="A5" s="28" t="inlineStr">
        <is>
          <t>Key</t>
        </is>
      </c>
      <c r="B5" s="28" t="inlineStr">
        <is>
          <t>Emp Code</t>
        </is>
      </c>
      <c r="C5" s="28" t="inlineStr">
        <is>
          <t>Name of Sales Person</t>
        </is>
      </c>
      <c r="D5" s="28" t="inlineStr">
        <is>
          <t>KPI</t>
        </is>
      </c>
      <c r="E5" s="28" t="inlineStr">
        <is>
          <t>KPI name</t>
        </is>
      </c>
      <c r="F5" s="28" t="inlineStr">
        <is>
          <t>Unit</t>
        </is>
      </c>
      <c r="G5" s="28" t="inlineStr">
        <is>
          <t>FY total</t>
        </is>
      </c>
      <c r="H5" s="77" t="inlineStr">
        <is>
          <t>Q1</t>
        </is>
      </c>
      <c r="I5" s="77" t="inlineStr">
        <is>
          <t>Q2</t>
        </is>
      </c>
      <c r="J5" s="77" t="inlineStr">
        <is>
          <t>Q3</t>
        </is>
      </c>
      <c r="K5" s="77" t="inlineStr">
        <is>
          <t>Q4</t>
        </is>
      </c>
      <c r="L5" s="78" t="inlineStr">
        <is>
          <t>Jan</t>
        </is>
      </c>
      <c r="M5" s="78" t="inlineStr">
        <is>
          <t>Feb</t>
        </is>
      </c>
      <c r="N5" s="78" t="inlineStr">
        <is>
          <t>Mar</t>
        </is>
      </c>
      <c r="O5" s="78" t="inlineStr">
        <is>
          <t>Apr</t>
        </is>
      </c>
      <c r="P5" s="78" t="inlineStr">
        <is>
          <t>May</t>
        </is>
      </c>
      <c r="Q5" s="78" t="inlineStr">
        <is>
          <t>Jun</t>
        </is>
      </c>
      <c r="R5" s="78" t="inlineStr">
        <is>
          <t>Jul</t>
        </is>
      </c>
      <c r="S5" s="78" t="inlineStr">
        <is>
          <t>Aug</t>
        </is>
      </c>
      <c r="T5" s="78" t="inlineStr">
        <is>
          <t>Sep</t>
        </is>
      </c>
      <c r="U5" s="78" t="inlineStr">
        <is>
          <t>Oct</t>
        </is>
      </c>
      <c r="V5" s="78" t="inlineStr">
        <is>
          <t>Nov</t>
        </is>
      </c>
      <c r="W5" s="78" t="inlineStr">
        <is>
          <t>Dec</t>
        </is>
      </c>
      <c r="X5" s="79" t="inlineStr">
        <is>
          <t>YTD Q1</t>
        </is>
      </c>
      <c r="Y5" s="79" t="inlineStr">
        <is>
          <t>YTD Q2</t>
        </is>
      </c>
      <c r="Z5" s="79" t="inlineStr">
        <is>
          <t>YTD Q3</t>
        </is>
      </c>
      <c r="AA5" s="79" t="inlineStr">
        <is>
          <t>YTD Q4</t>
        </is>
      </c>
      <c r="AB5" s="80" t="inlineStr">
        <is>
          <t>FY Target (nhập)</t>
        </is>
      </c>
      <c r="AC5" s="80" t="inlineStr">
        <is>
          <t>Check phasing</t>
        </is>
      </c>
    </row>
    <row r="6">
      <c r="A6" s="81">
        <f>IF($B6="","",$B6&amp;"|"&amp;$D6)</f>
        <v/>
      </c>
      <c r="B6" s="82">
        <f>IFERROR(INDEX(Team_Master!$C$6:$C$20,1),"")</f>
        <v/>
      </c>
      <c r="C6" s="83">
        <f>IFERROR(INDEX(Team_Master!$G$6:$G$20,1),"")</f>
        <v/>
      </c>
      <c r="D6" s="63" t="inlineStr">
        <is>
          <t>K1</t>
        </is>
      </c>
      <c r="E6" s="12" t="inlineStr">
        <is>
          <t>Invoiced Value</t>
        </is>
      </c>
      <c r="F6" s="64" t="inlineStr">
        <is>
          <t>MVND</t>
        </is>
      </c>
      <c r="G6" s="56">
        <f>SUM(H6:K6)</f>
        <v/>
      </c>
      <c r="H6" s="84">
        <f>SUM(L6:N6)</f>
        <v/>
      </c>
      <c r="I6" s="84">
        <f>SUM(O6:Q6)</f>
        <v/>
      </c>
      <c r="J6" s="84">
        <f>SUM(R6:T6)</f>
        <v/>
      </c>
      <c r="K6" s="84">
        <f>SUM(U6:W6)</f>
        <v/>
      </c>
      <c r="L6" s="54">
        <f>SUM(Weekly_Tracker!H6:L6)</f>
        <v/>
      </c>
      <c r="M6" s="54">
        <f>SUM(Weekly_Tracker!M6:Q6)</f>
        <v/>
      </c>
      <c r="N6" s="54">
        <f>SUM(Weekly_Tracker!R6:V6)</f>
        <v/>
      </c>
      <c r="O6" s="54">
        <f>SUM(Weekly_Tracker!W6:AA6)</f>
        <v/>
      </c>
      <c r="P6" s="54">
        <f>SUM(Weekly_Tracker!AB6:AF6)</f>
        <v/>
      </c>
      <c r="Q6" s="54">
        <f>SUM(Weekly_Tracker!AG6:AK6)</f>
        <v/>
      </c>
      <c r="R6" s="54">
        <f>SUM(Weekly_Tracker!AL6:AP6)</f>
        <v/>
      </c>
      <c r="S6" s="54">
        <f>SUM(Weekly_Tracker!AQ6:AU6)</f>
        <v/>
      </c>
      <c r="T6" s="54">
        <f>SUM(Weekly_Tracker!AV6:AZ6)</f>
        <v/>
      </c>
      <c r="U6" s="54">
        <f>SUM(Weekly_Tracker!BA6:BE6)</f>
        <v/>
      </c>
      <c r="V6" s="54">
        <f>SUM(Weekly_Tracker!BF6:BJ6)</f>
        <v/>
      </c>
      <c r="W6" s="54">
        <f>SUM(Weekly_Tracker!BK6:BO6)</f>
        <v/>
      </c>
      <c r="X6" s="53">
        <f>H6</f>
        <v/>
      </c>
      <c r="Y6" s="53">
        <f>X6+I6</f>
        <v/>
      </c>
      <c r="Z6" s="53">
        <f>Y6+J6</f>
        <v/>
      </c>
      <c r="AA6" s="53">
        <f>Z6+K6</f>
        <v/>
      </c>
      <c r="AB6" s="85" t="n">
        <v>12000</v>
      </c>
      <c r="AC6" s="86">
        <f>IF($B6="","",IF(AB6=0,"chưa nhập FY target",IF(ROUND(G6-AB6,2)=0,"OK","Lệch "&amp;TEXT(G6-AB6,"#,##0"))))</f>
        <v/>
      </c>
    </row>
    <row r="7">
      <c r="A7" s="81">
        <f>IF($B7="","",$B7&amp;"|"&amp;$D7)</f>
        <v/>
      </c>
      <c r="B7" s="82">
        <f>IFERROR(INDEX(Team_Master!$C$6:$C$20,1),"")</f>
        <v/>
      </c>
      <c r="C7" s="83">
        <f>IFERROR(INDEX(Team_Master!$G$6:$G$20,1),"")</f>
        <v/>
      </c>
      <c r="D7" s="63" t="inlineStr">
        <is>
          <t>K2</t>
        </is>
      </c>
      <c r="E7" s="12" t="inlineStr">
        <is>
          <t>Key account approach / Site check</t>
        </is>
      </c>
      <c r="F7" s="64" t="inlineStr">
        <is>
          <t>Roadshow</t>
        </is>
      </c>
      <c r="G7" s="56">
        <f>SUM(H7:K7)</f>
        <v/>
      </c>
      <c r="H7" s="84">
        <f>SUM(L7:N7)</f>
        <v/>
      </c>
      <c r="I7" s="84">
        <f>SUM(O7:Q7)</f>
        <v/>
      </c>
      <c r="J7" s="84">
        <f>SUM(R7:T7)</f>
        <v/>
      </c>
      <c r="K7" s="84">
        <f>SUM(U7:W7)</f>
        <v/>
      </c>
      <c r="L7" s="54">
        <f>SUM(Weekly_Tracker!H9:L9)</f>
        <v/>
      </c>
      <c r="M7" s="54">
        <f>SUM(Weekly_Tracker!M9:Q9)</f>
        <v/>
      </c>
      <c r="N7" s="54">
        <f>SUM(Weekly_Tracker!R9:V9)</f>
        <v/>
      </c>
      <c r="O7" s="54">
        <f>SUM(Weekly_Tracker!W9:AA9)</f>
        <v/>
      </c>
      <c r="P7" s="54">
        <f>SUM(Weekly_Tracker!AB9:AF9)</f>
        <v/>
      </c>
      <c r="Q7" s="54">
        <f>SUM(Weekly_Tracker!AG9:AK9)</f>
        <v/>
      </c>
      <c r="R7" s="54">
        <f>SUM(Weekly_Tracker!AL9:AP9)</f>
        <v/>
      </c>
      <c r="S7" s="54">
        <f>SUM(Weekly_Tracker!AQ9:AU9)</f>
        <v/>
      </c>
      <c r="T7" s="54">
        <f>SUM(Weekly_Tracker!AV9:AZ9)</f>
        <v/>
      </c>
      <c r="U7" s="54">
        <f>SUM(Weekly_Tracker!BA9:BE9)</f>
        <v/>
      </c>
      <c r="V7" s="54">
        <f>SUM(Weekly_Tracker!BF9:BJ9)</f>
        <v/>
      </c>
      <c r="W7" s="54">
        <f>SUM(Weekly_Tracker!BK9:BO9)</f>
        <v/>
      </c>
      <c r="X7" s="53">
        <f>H7</f>
        <v/>
      </c>
      <c r="Y7" s="53">
        <f>X7+I7</f>
        <v/>
      </c>
      <c r="Z7" s="53">
        <f>Y7+J7</f>
        <v/>
      </c>
      <c r="AA7" s="53">
        <f>Z7+K7</f>
        <v/>
      </c>
      <c r="AB7" s="85" t="n">
        <v>215</v>
      </c>
      <c r="AC7" s="86">
        <f>IF($B7="","",IF(AB7=0,"chưa nhập FY target",IF(ROUND(G7-AB7,2)=0,"OK","Lệch "&amp;TEXT(G7-AB7,"#,##0"))))</f>
        <v/>
      </c>
    </row>
    <row r="8">
      <c r="A8" s="81">
        <f>IF($B8="","",$B8&amp;"|"&amp;$D8)</f>
        <v/>
      </c>
      <c r="B8" s="82">
        <f>IFERROR(INDEX(Team_Master!$C$6:$C$20,1),"")</f>
        <v/>
      </c>
      <c r="C8" s="83">
        <f>IFERROR(INDEX(Team_Master!$G$6:$G$20,1),"")</f>
        <v/>
      </c>
      <c r="D8" s="71" t="inlineStr">
        <is>
          <t>K3</t>
        </is>
      </c>
      <c r="E8" s="38" t="inlineStr">
        <is>
          <t>Spec-in Value</t>
        </is>
      </c>
      <c r="F8" s="72" t="inlineStr">
        <is>
          <t>MVND</t>
        </is>
      </c>
      <c r="G8" s="56">
        <f>SUM(H8:K8)</f>
        <v/>
      </c>
      <c r="H8" s="84">
        <f>SUM(L8:N8)</f>
        <v/>
      </c>
      <c r="I8" s="84">
        <f>SUM(O8:Q8)</f>
        <v/>
      </c>
      <c r="J8" s="84">
        <f>SUM(R8:T8)</f>
        <v/>
      </c>
      <c r="K8" s="84">
        <f>SUM(U8:W8)</f>
        <v/>
      </c>
      <c r="L8" s="54">
        <f>SUM(Weekly_Tracker!H12:L12)</f>
        <v/>
      </c>
      <c r="M8" s="54">
        <f>SUM(Weekly_Tracker!M12:Q12)</f>
        <v/>
      </c>
      <c r="N8" s="54">
        <f>SUM(Weekly_Tracker!R12:V12)</f>
        <v/>
      </c>
      <c r="O8" s="54">
        <f>SUM(Weekly_Tracker!W12:AA12)</f>
        <v/>
      </c>
      <c r="P8" s="54">
        <f>SUM(Weekly_Tracker!AB12:AF12)</f>
        <v/>
      </c>
      <c r="Q8" s="54">
        <f>SUM(Weekly_Tracker!AG12:AK12)</f>
        <v/>
      </c>
      <c r="R8" s="54">
        <f>SUM(Weekly_Tracker!AL12:AP12)</f>
        <v/>
      </c>
      <c r="S8" s="54">
        <f>SUM(Weekly_Tracker!AQ12:AU12)</f>
        <v/>
      </c>
      <c r="T8" s="54">
        <f>SUM(Weekly_Tracker!AV12:AZ12)</f>
        <v/>
      </c>
      <c r="U8" s="54">
        <f>SUM(Weekly_Tracker!BA12:BE12)</f>
        <v/>
      </c>
      <c r="V8" s="54">
        <f>SUM(Weekly_Tracker!BF12:BJ12)</f>
        <v/>
      </c>
      <c r="W8" s="54">
        <f>SUM(Weekly_Tracker!BK12:BO12)</f>
        <v/>
      </c>
      <c r="X8" s="53">
        <f>H8</f>
        <v/>
      </c>
      <c r="Y8" s="53">
        <f>X8+I8</f>
        <v/>
      </c>
      <c r="Z8" s="53">
        <f>Y8+J8</f>
        <v/>
      </c>
      <c r="AA8" s="53">
        <f>Z8+K8</f>
        <v/>
      </c>
      <c r="AB8" s="85" t="n">
        <v>4250</v>
      </c>
      <c r="AC8" s="86">
        <f>IF($B8="","",IF(AB8=0,"chưa nhập FY target",IF(ROUND(G8-AB8,2)=0,"OK","Lệch "&amp;TEXT(G8-AB8,"#,##0"))))</f>
        <v/>
      </c>
    </row>
    <row r="9">
      <c r="A9" s="81">
        <f>IF($B9="","",$B9&amp;"|"&amp;$D9)</f>
        <v/>
      </c>
      <c r="B9" s="82">
        <f>IFERROR(INDEX(Team_Master!$C$6:$C$20,1),"")</f>
        <v/>
      </c>
      <c r="C9" s="83">
        <f>IFERROR(INDEX(Team_Master!$G$6:$G$20,1),"")</f>
        <v/>
      </c>
      <c r="D9" s="71" t="inlineStr">
        <is>
          <t>K4</t>
        </is>
      </c>
      <c r="E9" s="38" t="inlineStr">
        <is>
          <t>Engaged Architect (Submit Design)</t>
        </is>
      </c>
      <c r="F9" s="72" t="inlineStr">
        <is>
          <t>D&amp;B</t>
        </is>
      </c>
      <c r="G9" s="56">
        <f>SUM(H9:K9)</f>
        <v/>
      </c>
      <c r="H9" s="84">
        <f>SUM(L9:N9)</f>
        <v/>
      </c>
      <c r="I9" s="84">
        <f>SUM(O9:Q9)</f>
        <v/>
      </c>
      <c r="J9" s="84">
        <f>SUM(R9:T9)</f>
        <v/>
      </c>
      <c r="K9" s="84">
        <f>SUM(U9:W9)</f>
        <v/>
      </c>
      <c r="L9" s="54">
        <f>SUM(Weekly_Tracker!H15:L15)</f>
        <v/>
      </c>
      <c r="M9" s="54">
        <f>SUM(Weekly_Tracker!M15:Q15)</f>
        <v/>
      </c>
      <c r="N9" s="54">
        <f>SUM(Weekly_Tracker!R15:V15)</f>
        <v/>
      </c>
      <c r="O9" s="54">
        <f>SUM(Weekly_Tracker!W15:AA15)</f>
        <v/>
      </c>
      <c r="P9" s="54">
        <f>SUM(Weekly_Tracker!AB15:AF15)</f>
        <v/>
      </c>
      <c r="Q9" s="54">
        <f>SUM(Weekly_Tracker!AG15:AK15)</f>
        <v/>
      </c>
      <c r="R9" s="54">
        <f>SUM(Weekly_Tracker!AL15:AP15)</f>
        <v/>
      </c>
      <c r="S9" s="54">
        <f>SUM(Weekly_Tracker!AQ15:AU15)</f>
        <v/>
      </c>
      <c r="T9" s="54">
        <f>SUM(Weekly_Tracker!AV15:AZ15)</f>
        <v/>
      </c>
      <c r="U9" s="54">
        <f>SUM(Weekly_Tracker!BA15:BE15)</f>
        <v/>
      </c>
      <c r="V9" s="54">
        <f>SUM(Weekly_Tracker!BF15:BJ15)</f>
        <v/>
      </c>
      <c r="W9" s="54">
        <f>SUM(Weekly_Tracker!BK15:BO15)</f>
        <v/>
      </c>
      <c r="X9" s="53">
        <f>H9</f>
        <v/>
      </c>
      <c r="Y9" s="53">
        <f>X9+I9</f>
        <v/>
      </c>
      <c r="Z9" s="53">
        <f>Y9+J9</f>
        <v/>
      </c>
      <c r="AA9" s="53">
        <f>Z9+K9</f>
        <v/>
      </c>
      <c r="AB9" s="85" t="n">
        <v>80</v>
      </c>
      <c r="AC9" s="86">
        <f>IF($B9="","",IF(AB9=0,"chưa nhập FY target",IF(ROUND(G9-AB9,2)=0,"OK","Lệch "&amp;TEXT(G9-AB9,"#,##0"))))</f>
        <v/>
      </c>
    </row>
    <row r="10">
      <c r="A10" s="81">
        <f>IF($B10="","",$B10&amp;"|"&amp;$D10)</f>
        <v/>
      </c>
      <c r="B10" s="82">
        <f>IFERROR(INDEX(Team_Master!$C$6:$C$20,1),"")</f>
        <v/>
      </c>
      <c r="C10" s="83">
        <f>IFERROR(INDEX(Team_Master!$G$6:$G$20,1),"")</f>
        <v/>
      </c>
      <c r="D10" s="73" t="inlineStr">
        <is>
          <t>K5</t>
        </is>
      </c>
      <c r="E10" s="42" t="inlineStr">
        <is>
          <t>Spec-in Design (submitted design)</t>
        </is>
      </c>
      <c r="F10" s="74" t="inlineStr">
        <is>
          <t>Designs</t>
        </is>
      </c>
      <c r="G10" s="56">
        <f>SUM(H10:K10)</f>
        <v/>
      </c>
      <c r="H10" s="84">
        <f>SUM(L10:N10)</f>
        <v/>
      </c>
      <c r="I10" s="84">
        <f>SUM(O10:Q10)</f>
        <v/>
      </c>
      <c r="J10" s="84">
        <f>SUM(R10:T10)</f>
        <v/>
      </c>
      <c r="K10" s="84">
        <f>SUM(U10:W10)</f>
        <v/>
      </c>
      <c r="L10" s="54">
        <f>SUM(Weekly_Tracker!H18:L18)</f>
        <v/>
      </c>
      <c r="M10" s="54">
        <f>SUM(Weekly_Tracker!M18:Q18)</f>
        <v/>
      </c>
      <c r="N10" s="54">
        <f>SUM(Weekly_Tracker!R18:V18)</f>
        <v/>
      </c>
      <c r="O10" s="54">
        <f>SUM(Weekly_Tracker!W18:AA18)</f>
        <v/>
      </c>
      <c r="P10" s="54">
        <f>SUM(Weekly_Tracker!AB18:AF18)</f>
        <v/>
      </c>
      <c r="Q10" s="54">
        <f>SUM(Weekly_Tracker!AG18:AK18)</f>
        <v/>
      </c>
      <c r="R10" s="54">
        <f>SUM(Weekly_Tracker!AL18:AP18)</f>
        <v/>
      </c>
      <c r="S10" s="54">
        <f>SUM(Weekly_Tracker!AQ18:AU18)</f>
        <v/>
      </c>
      <c r="T10" s="54">
        <f>SUM(Weekly_Tracker!AV18:AZ18)</f>
        <v/>
      </c>
      <c r="U10" s="54">
        <f>SUM(Weekly_Tracker!BA18:BE18)</f>
        <v/>
      </c>
      <c r="V10" s="54">
        <f>SUM(Weekly_Tracker!BF18:BJ18)</f>
        <v/>
      </c>
      <c r="W10" s="54">
        <f>SUM(Weekly_Tracker!BK18:BO18)</f>
        <v/>
      </c>
      <c r="X10" s="53">
        <f>H10</f>
        <v/>
      </c>
      <c r="Y10" s="53">
        <f>X10+I10</f>
        <v/>
      </c>
      <c r="Z10" s="53">
        <f>Y10+J10</f>
        <v/>
      </c>
      <c r="AA10" s="53">
        <f>Z10+K10</f>
        <v/>
      </c>
      <c r="AB10" s="85" t="n">
        <v>85</v>
      </c>
      <c r="AC10" s="86">
        <f>IF($B10="","",IF(AB10=0,"chưa nhập FY target",IF(ROUND(G10-AB10,2)=0,"OK","Lệch "&amp;TEXT(G10-AB10,"#,##0"))))</f>
        <v/>
      </c>
    </row>
    <row r="11">
      <c r="A11" s="87">
        <f>IF($B11="","",$B11&amp;"|"&amp;$D11)</f>
        <v/>
      </c>
      <c r="B11" s="88">
        <f>IFERROR(INDEX(Team_Master!$C$6:$C$20,2),"")</f>
        <v/>
      </c>
      <c r="C11" s="89">
        <f>IFERROR(INDEX(Team_Master!$G$6:$G$20,2),"")</f>
        <v/>
      </c>
      <c r="D11" s="63" t="inlineStr">
        <is>
          <t>K1</t>
        </is>
      </c>
      <c r="E11" s="12" t="inlineStr">
        <is>
          <t>Invoiced Value</t>
        </is>
      </c>
      <c r="F11" s="64" t="inlineStr">
        <is>
          <t>MVND</t>
        </is>
      </c>
      <c r="G11" s="56">
        <f>SUM(H11:K11)</f>
        <v/>
      </c>
      <c r="H11" s="84">
        <f>SUM(L11:N11)</f>
        <v/>
      </c>
      <c r="I11" s="84">
        <f>SUM(O11:Q11)</f>
        <v/>
      </c>
      <c r="J11" s="84">
        <f>SUM(R11:T11)</f>
        <v/>
      </c>
      <c r="K11" s="84">
        <f>SUM(U11:W11)</f>
        <v/>
      </c>
      <c r="L11" s="90">
        <f>SUM(Weekly_Tracker!H21:L21)</f>
        <v/>
      </c>
      <c r="M11" s="90">
        <f>SUM(Weekly_Tracker!M21:Q21)</f>
        <v/>
      </c>
      <c r="N11" s="90">
        <f>SUM(Weekly_Tracker!R21:V21)</f>
        <v/>
      </c>
      <c r="O11" s="90">
        <f>SUM(Weekly_Tracker!W21:AA21)</f>
        <v/>
      </c>
      <c r="P11" s="90">
        <f>SUM(Weekly_Tracker!AB21:AF21)</f>
        <v/>
      </c>
      <c r="Q11" s="90">
        <f>SUM(Weekly_Tracker!AG21:AK21)</f>
        <v/>
      </c>
      <c r="R11" s="90">
        <f>SUM(Weekly_Tracker!AL21:AP21)</f>
        <v/>
      </c>
      <c r="S11" s="90">
        <f>SUM(Weekly_Tracker!AQ21:AU21)</f>
        <v/>
      </c>
      <c r="T11" s="90">
        <f>SUM(Weekly_Tracker!AV21:AZ21)</f>
        <v/>
      </c>
      <c r="U11" s="90">
        <f>SUM(Weekly_Tracker!BA21:BE21)</f>
        <v/>
      </c>
      <c r="V11" s="90">
        <f>SUM(Weekly_Tracker!BF21:BJ21)</f>
        <v/>
      </c>
      <c r="W11" s="90">
        <f>SUM(Weekly_Tracker!BK21:BO21)</f>
        <v/>
      </c>
      <c r="X11" s="91">
        <f>H11</f>
        <v/>
      </c>
      <c r="Y11" s="91">
        <f>X11+I11</f>
        <v/>
      </c>
      <c r="Z11" s="91">
        <f>Y11+J11</f>
        <v/>
      </c>
      <c r="AA11" s="91">
        <f>Z11+K11</f>
        <v/>
      </c>
      <c r="AB11" s="85" t="n">
        <v>10500</v>
      </c>
      <c r="AC11" s="86">
        <f>IF($B11="","",IF(AB11=0,"chưa nhập FY target",IF(ROUND(G11-AB11,2)=0,"OK","Lệch "&amp;TEXT(G11-AB11,"#,##0"))))</f>
        <v/>
      </c>
    </row>
    <row r="12">
      <c r="A12" s="87">
        <f>IF($B12="","",$B12&amp;"|"&amp;$D12)</f>
        <v/>
      </c>
      <c r="B12" s="88">
        <f>IFERROR(INDEX(Team_Master!$C$6:$C$20,2),"")</f>
        <v/>
      </c>
      <c r="C12" s="89">
        <f>IFERROR(INDEX(Team_Master!$G$6:$G$20,2),"")</f>
        <v/>
      </c>
      <c r="D12" s="63" t="inlineStr">
        <is>
          <t>K2</t>
        </is>
      </c>
      <c r="E12" s="12" t="inlineStr">
        <is>
          <t>Key account approach / Site check</t>
        </is>
      </c>
      <c r="F12" s="64" t="inlineStr">
        <is>
          <t>Roadshow</t>
        </is>
      </c>
      <c r="G12" s="56">
        <f>SUM(H12:K12)</f>
        <v/>
      </c>
      <c r="H12" s="84">
        <f>SUM(L12:N12)</f>
        <v/>
      </c>
      <c r="I12" s="84">
        <f>SUM(O12:Q12)</f>
        <v/>
      </c>
      <c r="J12" s="84">
        <f>SUM(R12:T12)</f>
        <v/>
      </c>
      <c r="K12" s="84">
        <f>SUM(U12:W12)</f>
        <v/>
      </c>
      <c r="L12" s="90">
        <f>SUM(Weekly_Tracker!H24:L24)</f>
        <v/>
      </c>
      <c r="M12" s="90">
        <f>SUM(Weekly_Tracker!M24:Q24)</f>
        <v/>
      </c>
      <c r="N12" s="90">
        <f>SUM(Weekly_Tracker!R24:V24)</f>
        <v/>
      </c>
      <c r="O12" s="90">
        <f>SUM(Weekly_Tracker!W24:AA24)</f>
        <v/>
      </c>
      <c r="P12" s="90">
        <f>SUM(Weekly_Tracker!AB24:AF24)</f>
        <v/>
      </c>
      <c r="Q12" s="90">
        <f>SUM(Weekly_Tracker!AG24:AK24)</f>
        <v/>
      </c>
      <c r="R12" s="90">
        <f>SUM(Weekly_Tracker!AL24:AP24)</f>
        <v/>
      </c>
      <c r="S12" s="90">
        <f>SUM(Weekly_Tracker!AQ24:AU24)</f>
        <v/>
      </c>
      <c r="T12" s="90">
        <f>SUM(Weekly_Tracker!AV24:AZ24)</f>
        <v/>
      </c>
      <c r="U12" s="90">
        <f>SUM(Weekly_Tracker!BA24:BE24)</f>
        <v/>
      </c>
      <c r="V12" s="90">
        <f>SUM(Weekly_Tracker!BF24:BJ24)</f>
        <v/>
      </c>
      <c r="W12" s="90">
        <f>SUM(Weekly_Tracker!BK24:BO24)</f>
        <v/>
      </c>
      <c r="X12" s="91">
        <f>H12</f>
        <v/>
      </c>
      <c r="Y12" s="91">
        <f>X12+I12</f>
        <v/>
      </c>
      <c r="Z12" s="91">
        <f>Y12+J12</f>
        <v/>
      </c>
      <c r="AA12" s="91">
        <f>Z12+K12</f>
        <v/>
      </c>
      <c r="AB12" s="85" t="n">
        <v>216</v>
      </c>
      <c r="AC12" s="86">
        <f>IF($B12="","",IF(AB12=0,"chưa nhập FY target",IF(ROUND(G12-AB12,2)=0,"OK","Lệch "&amp;TEXT(G12-AB12,"#,##0"))))</f>
        <v/>
      </c>
    </row>
    <row r="13">
      <c r="A13" s="87">
        <f>IF($B13="","",$B13&amp;"|"&amp;$D13)</f>
        <v/>
      </c>
      <c r="B13" s="88">
        <f>IFERROR(INDEX(Team_Master!$C$6:$C$20,2),"")</f>
        <v/>
      </c>
      <c r="C13" s="89">
        <f>IFERROR(INDEX(Team_Master!$G$6:$G$20,2),"")</f>
        <v/>
      </c>
      <c r="D13" s="71" t="inlineStr">
        <is>
          <t>K3</t>
        </is>
      </c>
      <c r="E13" s="38" t="inlineStr">
        <is>
          <t>Spec-in Value</t>
        </is>
      </c>
      <c r="F13" s="72" t="inlineStr">
        <is>
          <t>MVND</t>
        </is>
      </c>
      <c r="G13" s="56">
        <f>SUM(H13:K13)</f>
        <v/>
      </c>
      <c r="H13" s="84">
        <f>SUM(L13:N13)</f>
        <v/>
      </c>
      <c r="I13" s="84">
        <f>SUM(O13:Q13)</f>
        <v/>
      </c>
      <c r="J13" s="84">
        <f>SUM(R13:T13)</f>
        <v/>
      </c>
      <c r="K13" s="84">
        <f>SUM(U13:W13)</f>
        <v/>
      </c>
      <c r="L13" s="90">
        <f>SUM(Weekly_Tracker!H27:L27)</f>
        <v/>
      </c>
      <c r="M13" s="90">
        <f>SUM(Weekly_Tracker!M27:Q27)</f>
        <v/>
      </c>
      <c r="N13" s="90">
        <f>SUM(Weekly_Tracker!R27:V27)</f>
        <v/>
      </c>
      <c r="O13" s="90">
        <f>SUM(Weekly_Tracker!W27:AA27)</f>
        <v/>
      </c>
      <c r="P13" s="90">
        <f>SUM(Weekly_Tracker!AB27:AF27)</f>
        <v/>
      </c>
      <c r="Q13" s="90">
        <f>SUM(Weekly_Tracker!AG27:AK27)</f>
        <v/>
      </c>
      <c r="R13" s="90">
        <f>SUM(Weekly_Tracker!AL27:AP27)</f>
        <v/>
      </c>
      <c r="S13" s="90">
        <f>SUM(Weekly_Tracker!AQ27:AU27)</f>
        <v/>
      </c>
      <c r="T13" s="90">
        <f>SUM(Weekly_Tracker!AV27:AZ27)</f>
        <v/>
      </c>
      <c r="U13" s="90">
        <f>SUM(Weekly_Tracker!BA27:BE27)</f>
        <v/>
      </c>
      <c r="V13" s="90">
        <f>SUM(Weekly_Tracker!BF27:BJ27)</f>
        <v/>
      </c>
      <c r="W13" s="90">
        <f>SUM(Weekly_Tracker!BK27:BO27)</f>
        <v/>
      </c>
      <c r="X13" s="91">
        <f>H13</f>
        <v/>
      </c>
      <c r="Y13" s="91">
        <f>X13+I13</f>
        <v/>
      </c>
      <c r="Z13" s="91">
        <f>Y13+J13</f>
        <v/>
      </c>
      <c r="AA13" s="91">
        <f>Z13+K13</f>
        <v/>
      </c>
      <c r="AB13" s="85" t="n">
        <v>3900</v>
      </c>
      <c r="AC13" s="86">
        <f>IF($B13="","",IF(AB13=0,"chưa nhập FY target",IF(ROUND(G13-AB13,2)=0,"OK","Lệch "&amp;TEXT(G13-AB13,"#,##0"))))</f>
        <v/>
      </c>
    </row>
    <row r="14">
      <c r="A14" s="87">
        <f>IF($B14="","",$B14&amp;"|"&amp;$D14)</f>
        <v/>
      </c>
      <c r="B14" s="88">
        <f>IFERROR(INDEX(Team_Master!$C$6:$C$20,2),"")</f>
        <v/>
      </c>
      <c r="C14" s="89">
        <f>IFERROR(INDEX(Team_Master!$G$6:$G$20,2),"")</f>
        <v/>
      </c>
      <c r="D14" s="71" t="inlineStr">
        <is>
          <t>K4</t>
        </is>
      </c>
      <c r="E14" s="38" t="inlineStr">
        <is>
          <t>Engaged Architect (Submit Design)</t>
        </is>
      </c>
      <c r="F14" s="72" t="inlineStr">
        <is>
          <t>D&amp;B</t>
        </is>
      </c>
      <c r="G14" s="56">
        <f>SUM(H14:K14)</f>
        <v/>
      </c>
      <c r="H14" s="84">
        <f>SUM(L14:N14)</f>
        <v/>
      </c>
      <c r="I14" s="84">
        <f>SUM(O14:Q14)</f>
        <v/>
      </c>
      <c r="J14" s="84">
        <f>SUM(R14:T14)</f>
        <v/>
      </c>
      <c r="K14" s="84">
        <f>SUM(U14:W14)</f>
        <v/>
      </c>
      <c r="L14" s="90">
        <f>SUM(Weekly_Tracker!H30:L30)</f>
        <v/>
      </c>
      <c r="M14" s="90">
        <f>SUM(Weekly_Tracker!M30:Q30)</f>
        <v/>
      </c>
      <c r="N14" s="90">
        <f>SUM(Weekly_Tracker!R30:V30)</f>
        <v/>
      </c>
      <c r="O14" s="90">
        <f>SUM(Weekly_Tracker!W30:AA30)</f>
        <v/>
      </c>
      <c r="P14" s="90">
        <f>SUM(Weekly_Tracker!AB30:AF30)</f>
        <v/>
      </c>
      <c r="Q14" s="90">
        <f>SUM(Weekly_Tracker!AG30:AK30)</f>
        <v/>
      </c>
      <c r="R14" s="90">
        <f>SUM(Weekly_Tracker!AL30:AP30)</f>
        <v/>
      </c>
      <c r="S14" s="90">
        <f>SUM(Weekly_Tracker!AQ30:AU30)</f>
        <v/>
      </c>
      <c r="T14" s="90">
        <f>SUM(Weekly_Tracker!AV30:AZ30)</f>
        <v/>
      </c>
      <c r="U14" s="90">
        <f>SUM(Weekly_Tracker!BA30:BE30)</f>
        <v/>
      </c>
      <c r="V14" s="90">
        <f>SUM(Weekly_Tracker!BF30:BJ30)</f>
        <v/>
      </c>
      <c r="W14" s="90">
        <f>SUM(Weekly_Tracker!BK30:BO30)</f>
        <v/>
      </c>
      <c r="X14" s="91">
        <f>H14</f>
        <v/>
      </c>
      <c r="Y14" s="91">
        <f>X14+I14</f>
        <v/>
      </c>
      <c r="Z14" s="91">
        <f>Y14+J14</f>
        <v/>
      </c>
      <c r="AA14" s="91">
        <f>Z14+K14</f>
        <v/>
      </c>
      <c r="AB14" s="85" t="n">
        <v>75</v>
      </c>
      <c r="AC14" s="86">
        <f>IF($B14="","",IF(AB14=0,"chưa nhập FY target",IF(ROUND(G14-AB14,2)=0,"OK","Lệch "&amp;TEXT(G14-AB14,"#,##0"))))</f>
        <v/>
      </c>
    </row>
    <row r="15">
      <c r="A15" s="87">
        <f>IF($B15="","",$B15&amp;"|"&amp;$D15)</f>
        <v/>
      </c>
      <c r="B15" s="88">
        <f>IFERROR(INDEX(Team_Master!$C$6:$C$20,2),"")</f>
        <v/>
      </c>
      <c r="C15" s="89">
        <f>IFERROR(INDEX(Team_Master!$G$6:$G$20,2),"")</f>
        <v/>
      </c>
      <c r="D15" s="73" t="inlineStr">
        <is>
          <t>K5</t>
        </is>
      </c>
      <c r="E15" s="42" t="inlineStr">
        <is>
          <t>Spec-in Design (submitted design)</t>
        </is>
      </c>
      <c r="F15" s="74" t="inlineStr">
        <is>
          <t>Designs</t>
        </is>
      </c>
      <c r="G15" s="56">
        <f>SUM(H15:K15)</f>
        <v/>
      </c>
      <c r="H15" s="84">
        <f>SUM(L15:N15)</f>
        <v/>
      </c>
      <c r="I15" s="84">
        <f>SUM(O15:Q15)</f>
        <v/>
      </c>
      <c r="J15" s="84">
        <f>SUM(R15:T15)</f>
        <v/>
      </c>
      <c r="K15" s="84">
        <f>SUM(U15:W15)</f>
        <v/>
      </c>
      <c r="L15" s="90">
        <f>SUM(Weekly_Tracker!H33:L33)</f>
        <v/>
      </c>
      <c r="M15" s="90">
        <f>SUM(Weekly_Tracker!M33:Q33)</f>
        <v/>
      </c>
      <c r="N15" s="90">
        <f>SUM(Weekly_Tracker!R33:V33)</f>
        <v/>
      </c>
      <c r="O15" s="90">
        <f>SUM(Weekly_Tracker!W33:AA33)</f>
        <v/>
      </c>
      <c r="P15" s="90">
        <f>SUM(Weekly_Tracker!AB33:AF33)</f>
        <v/>
      </c>
      <c r="Q15" s="90">
        <f>SUM(Weekly_Tracker!AG33:AK33)</f>
        <v/>
      </c>
      <c r="R15" s="90">
        <f>SUM(Weekly_Tracker!AL33:AP33)</f>
        <v/>
      </c>
      <c r="S15" s="90">
        <f>SUM(Weekly_Tracker!AQ33:AU33)</f>
        <v/>
      </c>
      <c r="T15" s="90">
        <f>SUM(Weekly_Tracker!AV33:AZ33)</f>
        <v/>
      </c>
      <c r="U15" s="90">
        <f>SUM(Weekly_Tracker!BA33:BE33)</f>
        <v/>
      </c>
      <c r="V15" s="90">
        <f>SUM(Weekly_Tracker!BF33:BJ33)</f>
        <v/>
      </c>
      <c r="W15" s="90">
        <f>SUM(Weekly_Tracker!BK33:BO33)</f>
        <v/>
      </c>
      <c r="X15" s="91">
        <f>H15</f>
        <v/>
      </c>
      <c r="Y15" s="91">
        <f>X15+I15</f>
        <v/>
      </c>
      <c r="Z15" s="91">
        <f>Y15+J15</f>
        <v/>
      </c>
      <c r="AA15" s="91">
        <f>Z15+K15</f>
        <v/>
      </c>
      <c r="AB15" s="85" t="n">
        <v>78</v>
      </c>
      <c r="AC15" s="86">
        <f>IF($B15="","",IF(AB15=0,"chưa nhập FY target",IF(ROUND(G15-AB15,2)=0,"OK","Lệch "&amp;TEXT(G15-AB15,"#,##0"))))</f>
        <v/>
      </c>
    </row>
    <row r="16">
      <c r="A16" s="81">
        <f>IF($B16="","",$B16&amp;"|"&amp;$D16)</f>
        <v/>
      </c>
      <c r="B16" s="82">
        <f>IFERROR(INDEX(Team_Master!$C$6:$C$20,3),"")</f>
        <v/>
      </c>
      <c r="C16" s="83">
        <f>IFERROR(INDEX(Team_Master!$G$6:$G$20,3),"")</f>
        <v/>
      </c>
      <c r="D16" s="63" t="inlineStr">
        <is>
          <t>K1</t>
        </is>
      </c>
      <c r="E16" s="12" t="inlineStr">
        <is>
          <t>Invoiced Value</t>
        </is>
      </c>
      <c r="F16" s="64" t="inlineStr">
        <is>
          <t>MVND</t>
        </is>
      </c>
      <c r="G16" s="56">
        <f>SUM(H16:K16)</f>
        <v/>
      </c>
      <c r="H16" s="84">
        <f>SUM(L16:N16)</f>
        <v/>
      </c>
      <c r="I16" s="84">
        <f>SUM(O16:Q16)</f>
        <v/>
      </c>
      <c r="J16" s="84">
        <f>SUM(R16:T16)</f>
        <v/>
      </c>
      <c r="K16" s="84">
        <f>SUM(U16:W16)</f>
        <v/>
      </c>
      <c r="L16" s="54">
        <f>SUM(Weekly_Tracker!H36:L36)</f>
        <v/>
      </c>
      <c r="M16" s="54">
        <f>SUM(Weekly_Tracker!M36:Q36)</f>
        <v/>
      </c>
      <c r="N16" s="54">
        <f>SUM(Weekly_Tracker!R36:V36)</f>
        <v/>
      </c>
      <c r="O16" s="54">
        <f>SUM(Weekly_Tracker!W36:AA36)</f>
        <v/>
      </c>
      <c r="P16" s="54">
        <f>SUM(Weekly_Tracker!AB36:AF36)</f>
        <v/>
      </c>
      <c r="Q16" s="54">
        <f>SUM(Weekly_Tracker!AG36:AK36)</f>
        <v/>
      </c>
      <c r="R16" s="54">
        <f>SUM(Weekly_Tracker!AL36:AP36)</f>
        <v/>
      </c>
      <c r="S16" s="54">
        <f>SUM(Weekly_Tracker!AQ36:AU36)</f>
        <v/>
      </c>
      <c r="T16" s="54">
        <f>SUM(Weekly_Tracker!AV36:AZ36)</f>
        <v/>
      </c>
      <c r="U16" s="54">
        <f>SUM(Weekly_Tracker!BA36:BE36)</f>
        <v/>
      </c>
      <c r="V16" s="54">
        <f>SUM(Weekly_Tracker!BF36:BJ36)</f>
        <v/>
      </c>
      <c r="W16" s="54">
        <f>SUM(Weekly_Tracker!BK36:BO36)</f>
        <v/>
      </c>
      <c r="X16" s="53">
        <f>H16</f>
        <v/>
      </c>
      <c r="Y16" s="53">
        <f>X16+I16</f>
        <v/>
      </c>
      <c r="Z16" s="53">
        <f>Y16+J16</f>
        <v/>
      </c>
      <c r="AA16" s="53">
        <f>Z16+K16</f>
        <v/>
      </c>
      <c r="AB16" s="85" t="n">
        <v>13800</v>
      </c>
      <c r="AC16" s="86">
        <f>IF($B16="","",IF(AB16=0,"chưa nhập FY target",IF(ROUND(G16-AB16,2)=0,"OK","Lệch "&amp;TEXT(G16-AB16,"#,##0"))))</f>
        <v/>
      </c>
    </row>
    <row r="17">
      <c r="A17" s="81">
        <f>IF($B17="","",$B17&amp;"|"&amp;$D17)</f>
        <v/>
      </c>
      <c r="B17" s="82">
        <f>IFERROR(INDEX(Team_Master!$C$6:$C$20,3),"")</f>
        <v/>
      </c>
      <c r="C17" s="83">
        <f>IFERROR(INDEX(Team_Master!$G$6:$G$20,3),"")</f>
        <v/>
      </c>
      <c r="D17" s="63" t="inlineStr">
        <is>
          <t>K2</t>
        </is>
      </c>
      <c r="E17" s="12" t="inlineStr">
        <is>
          <t>Key account approach / Site check</t>
        </is>
      </c>
      <c r="F17" s="64" t="inlineStr">
        <is>
          <t>Roadshow</t>
        </is>
      </c>
      <c r="G17" s="56">
        <f>SUM(H17:K17)</f>
        <v/>
      </c>
      <c r="H17" s="84">
        <f>SUM(L17:N17)</f>
        <v/>
      </c>
      <c r="I17" s="84">
        <f>SUM(O17:Q17)</f>
        <v/>
      </c>
      <c r="J17" s="84">
        <f>SUM(R17:T17)</f>
        <v/>
      </c>
      <c r="K17" s="84">
        <f>SUM(U17:W17)</f>
        <v/>
      </c>
      <c r="L17" s="54">
        <f>SUM(Weekly_Tracker!H39:L39)</f>
        <v/>
      </c>
      <c r="M17" s="54">
        <f>SUM(Weekly_Tracker!M39:Q39)</f>
        <v/>
      </c>
      <c r="N17" s="54">
        <f>SUM(Weekly_Tracker!R39:V39)</f>
        <v/>
      </c>
      <c r="O17" s="54">
        <f>SUM(Weekly_Tracker!W39:AA39)</f>
        <v/>
      </c>
      <c r="P17" s="54">
        <f>SUM(Weekly_Tracker!AB39:AF39)</f>
        <v/>
      </c>
      <c r="Q17" s="54">
        <f>SUM(Weekly_Tracker!AG39:AK39)</f>
        <v/>
      </c>
      <c r="R17" s="54">
        <f>SUM(Weekly_Tracker!AL39:AP39)</f>
        <v/>
      </c>
      <c r="S17" s="54">
        <f>SUM(Weekly_Tracker!AQ39:AU39)</f>
        <v/>
      </c>
      <c r="T17" s="54">
        <f>SUM(Weekly_Tracker!AV39:AZ39)</f>
        <v/>
      </c>
      <c r="U17" s="54">
        <f>SUM(Weekly_Tracker!BA39:BE39)</f>
        <v/>
      </c>
      <c r="V17" s="54">
        <f>SUM(Weekly_Tracker!BF39:BJ39)</f>
        <v/>
      </c>
      <c r="W17" s="54">
        <f>SUM(Weekly_Tracker!BK39:BO39)</f>
        <v/>
      </c>
      <c r="X17" s="53">
        <f>H17</f>
        <v/>
      </c>
      <c r="Y17" s="53">
        <f>X17+I17</f>
        <v/>
      </c>
      <c r="Z17" s="53">
        <f>Y17+J17</f>
        <v/>
      </c>
      <c r="AA17" s="53">
        <f>Z17+K17</f>
        <v/>
      </c>
      <c r="AB17" s="85" t="n">
        <v>230</v>
      </c>
      <c r="AC17" s="86">
        <f>IF($B17="","",IF(AB17=0,"chưa nhập FY target",IF(ROUND(G17-AB17,2)=0,"OK","Lệch "&amp;TEXT(G17-AB17,"#,##0"))))</f>
        <v/>
      </c>
    </row>
    <row r="18">
      <c r="A18" s="81">
        <f>IF($B18="","",$B18&amp;"|"&amp;$D18)</f>
        <v/>
      </c>
      <c r="B18" s="82">
        <f>IFERROR(INDEX(Team_Master!$C$6:$C$20,3),"")</f>
        <v/>
      </c>
      <c r="C18" s="83">
        <f>IFERROR(INDEX(Team_Master!$G$6:$G$20,3),"")</f>
        <v/>
      </c>
      <c r="D18" s="71" t="inlineStr">
        <is>
          <t>K3</t>
        </is>
      </c>
      <c r="E18" s="38" t="inlineStr">
        <is>
          <t>Spec-in Value</t>
        </is>
      </c>
      <c r="F18" s="72" t="inlineStr">
        <is>
          <t>MVND</t>
        </is>
      </c>
      <c r="G18" s="56">
        <f>SUM(H18:K18)</f>
        <v/>
      </c>
      <c r="H18" s="84">
        <f>SUM(L18:N18)</f>
        <v/>
      </c>
      <c r="I18" s="84">
        <f>SUM(O18:Q18)</f>
        <v/>
      </c>
      <c r="J18" s="84">
        <f>SUM(R18:T18)</f>
        <v/>
      </c>
      <c r="K18" s="84">
        <f>SUM(U18:W18)</f>
        <v/>
      </c>
      <c r="L18" s="54">
        <f>SUM(Weekly_Tracker!H42:L42)</f>
        <v/>
      </c>
      <c r="M18" s="54">
        <f>SUM(Weekly_Tracker!M42:Q42)</f>
        <v/>
      </c>
      <c r="N18" s="54">
        <f>SUM(Weekly_Tracker!R42:V42)</f>
        <v/>
      </c>
      <c r="O18" s="54">
        <f>SUM(Weekly_Tracker!W42:AA42)</f>
        <v/>
      </c>
      <c r="P18" s="54">
        <f>SUM(Weekly_Tracker!AB42:AF42)</f>
        <v/>
      </c>
      <c r="Q18" s="54">
        <f>SUM(Weekly_Tracker!AG42:AK42)</f>
        <v/>
      </c>
      <c r="R18" s="54">
        <f>SUM(Weekly_Tracker!AL42:AP42)</f>
        <v/>
      </c>
      <c r="S18" s="54">
        <f>SUM(Weekly_Tracker!AQ42:AU42)</f>
        <v/>
      </c>
      <c r="T18" s="54">
        <f>SUM(Weekly_Tracker!AV42:AZ42)</f>
        <v/>
      </c>
      <c r="U18" s="54">
        <f>SUM(Weekly_Tracker!BA42:BE42)</f>
        <v/>
      </c>
      <c r="V18" s="54">
        <f>SUM(Weekly_Tracker!BF42:BJ42)</f>
        <v/>
      </c>
      <c r="W18" s="54">
        <f>SUM(Weekly_Tracker!BK42:BO42)</f>
        <v/>
      </c>
      <c r="X18" s="53">
        <f>H18</f>
        <v/>
      </c>
      <c r="Y18" s="53">
        <f>X18+I18</f>
        <v/>
      </c>
      <c r="Z18" s="53">
        <f>Y18+J18</f>
        <v/>
      </c>
      <c r="AA18" s="53">
        <f>Z18+K18</f>
        <v/>
      </c>
      <c r="AB18" s="85" t="n">
        <v>4600</v>
      </c>
      <c r="AC18" s="86">
        <f>IF($B18="","",IF(AB18=0,"chưa nhập FY target",IF(ROUND(G18-AB18,2)=0,"OK","Lệch "&amp;TEXT(G18-AB18,"#,##0"))))</f>
        <v/>
      </c>
    </row>
    <row r="19">
      <c r="A19" s="81">
        <f>IF($B19="","",$B19&amp;"|"&amp;$D19)</f>
        <v/>
      </c>
      <c r="B19" s="82">
        <f>IFERROR(INDEX(Team_Master!$C$6:$C$20,3),"")</f>
        <v/>
      </c>
      <c r="C19" s="83">
        <f>IFERROR(INDEX(Team_Master!$G$6:$G$20,3),"")</f>
        <v/>
      </c>
      <c r="D19" s="71" t="inlineStr">
        <is>
          <t>K4</t>
        </is>
      </c>
      <c r="E19" s="38" t="inlineStr">
        <is>
          <t>Engaged Architect (Submit Design)</t>
        </is>
      </c>
      <c r="F19" s="72" t="inlineStr">
        <is>
          <t>D&amp;B</t>
        </is>
      </c>
      <c r="G19" s="56">
        <f>SUM(H19:K19)</f>
        <v/>
      </c>
      <c r="H19" s="84">
        <f>SUM(L19:N19)</f>
        <v/>
      </c>
      <c r="I19" s="84">
        <f>SUM(O19:Q19)</f>
        <v/>
      </c>
      <c r="J19" s="84">
        <f>SUM(R19:T19)</f>
        <v/>
      </c>
      <c r="K19" s="84">
        <f>SUM(U19:W19)</f>
        <v/>
      </c>
      <c r="L19" s="54">
        <f>SUM(Weekly_Tracker!H45:L45)</f>
        <v/>
      </c>
      <c r="M19" s="54">
        <f>SUM(Weekly_Tracker!M45:Q45)</f>
        <v/>
      </c>
      <c r="N19" s="54">
        <f>SUM(Weekly_Tracker!R45:V45)</f>
        <v/>
      </c>
      <c r="O19" s="54">
        <f>SUM(Weekly_Tracker!W45:AA45)</f>
        <v/>
      </c>
      <c r="P19" s="54">
        <f>SUM(Weekly_Tracker!AB45:AF45)</f>
        <v/>
      </c>
      <c r="Q19" s="54">
        <f>SUM(Weekly_Tracker!AG45:AK45)</f>
        <v/>
      </c>
      <c r="R19" s="54">
        <f>SUM(Weekly_Tracker!AL45:AP45)</f>
        <v/>
      </c>
      <c r="S19" s="54">
        <f>SUM(Weekly_Tracker!AQ45:AU45)</f>
        <v/>
      </c>
      <c r="T19" s="54">
        <f>SUM(Weekly_Tracker!AV45:AZ45)</f>
        <v/>
      </c>
      <c r="U19" s="54">
        <f>SUM(Weekly_Tracker!BA45:BE45)</f>
        <v/>
      </c>
      <c r="V19" s="54">
        <f>SUM(Weekly_Tracker!BF45:BJ45)</f>
        <v/>
      </c>
      <c r="W19" s="54">
        <f>SUM(Weekly_Tracker!BK45:BO45)</f>
        <v/>
      </c>
      <c r="X19" s="53">
        <f>H19</f>
        <v/>
      </c>
      <c r="Y19" s="53">
        <f>X19+I19</f>
        <v/>
      </c>
      <c r="Z19" s="53">
        <f>Y19+J19</f>
        <v/>
      </c>
      <c r="AA19" s="53">
        <f>Z19+K19</f>
        <v/>
      </c>
      <c r="AB19" s="85" t="n">
        <v>88</v>
      </c>
      <c r="AC19" s="86">
        <f>IF($B19="","",IF(AB19=0,"chưa nhập FY target",IF(ROUND(G19-AB19,2)=0,"OK","Lệch "&amp;TEXT(G19-AB19,"#,##0"))))</f>
        <v/>
      </c>
    </row>
    <row r="20">
      <c r="A20" s="81">
        <f>IF($B20="","",$B20&amp;"|"&amp;$D20)</f>
        <v/>
      </c>
      <c r="B20" s="82">
        <f>IFERROR(INDEX(Team_Master!$C$6:$C$20,3),"")</f>
        <v/>
      </c>
      <c r="C20" s="83">
        <f>IFERROR(INDEX(Team_Master!$G$6:$G$20,3),"")</f>
        <v/>
      </c>
      <c r="D20" s="73" t="inlineStr">
        <is>
          <t>K5</t>
        </is>
      </c>
      <c r="E20" s="42" t="inlineStr">
        <is>
          <t>Spec-in Design (submitted design)</t>
        </is>
      </c>
      <c r="F20" s="74" t="inlineStr">
        <is>
          <t>Designs</t>
        </is>
      </c>
      <c r="G20" s="56">
        <f>SUM(H20:K20)</f>
        <v/>
      </c>
      <c r="H20" s="84">
        <f>SUM(L20:N20)</f>
        <v/>
      </c>
      <c r="I20" s="84">
        <f>SUM(O20:Q20)</f>
        <v/>
      </c>
      <c r="J20" s="84">
        <f>SUM(R20:T20)</f>
        <v/>
      </c>
      <c r="K20" s="84">
        <f>SUM(U20:W20)</f>
        <v/>
      </c>
      <c r="L20" s="54">
        <f>SUM(Weekly_Tracker!H48:L48)</f>
        <v/>
      </c>
      <c r="M20" s="54">
        <f>SUM(Weekly_Tracker!M48:Q48)</f>
        <v/>
      </c>
      <c r="N20" s="54">
        <f>SUM(Weekly_Tracker!R48:V48)</f>
        <v/>
      </c>
      <c r="O20" s="54">
        <f>SUM(Weekly_Tracker!W48:AA48)</f>
        <v/>
      </c>
      <c r="P20" s="54">
        <f>SUM(Weekly_Tracker!AB48:AF48)</f>
        <v/>
      </c>
      <c r="Q20" s="54">
        <f>SUM(Weekly_Tracker!AG48:AK48)</f>
        <v/>
      </c>
      <c r="R20" s="54">
        <f>SUM(Weekly_Tracker!AL48:AP48)</f>
        <v/>
      </c>
      <c r="S20" s="54">
        <f>SUM(Weekly_Tracker!AQ48:AU48)</f>
        <v/>
      </c>
      <c r="T20" s="54">
        <f>SUM(Weekly_Tracker!AV48:AZ48)</f>
        <v/>
      </c>
      <c r="U20" s="54">
        <f>SUM(Weekly_Tracker!BA48:BE48)</f>
        <v/>
      </c>
      <c r="V20" s="54">
        <f>SUM(Weekly_Tracker!BF48:BJ48)</f>
        <v/>
      </c>
      <c r="W20" s="54">
        <f>SUM(Weekly_Tracker!BK48:BO48)</f>
        <v/>
      </c>
      <c r="X20" s="53">
        <f>H20</f>
        <v/>
      </c>
      <c r="Y20" s="53">
        <f>X20+I20</f>
        <v/>
      </c>
      <c r="Z20" s="53">
        <f>Y20+J20</f>
        <v/>
      </c>
      <c r="AA20" s="53">
        <f>Z20+K20</f>
        <v/>
      </c>
      <c r="AB20" s="85" t="n">
        <v>92</v>
      </c>
      <c r="AC20" s="86">
        <f>IF($B20="","",IF(AB20=0,"chưa nhập FY target",IF(ROUND(G20-AB20,2)=0,"OK","Lệch "&amp;TEXT(G20-AB20,"#,##0"))))</f>
        <v/>
      </c>
    </row>
    <row r="21">
      <c r="A21" s="87">
        <f>IF($B21="","",$B21&amp;"|"&amp;$D21)</f>
        <v/>
      </c>
      <c r="B21" s="88">
        <f>IFERROR(INDEX(Team_Master!$C$6:$C$20,4),"")</f>
        <v/>
      </c>
      <c r="C21" s="89">
        <f>IFERROR(INDEX(Team_Master!$G$6:$G$20,4),"")</f>
        <v/>
      </c>
      <c r="D21" s="63" t="inlineStr">
        <is>
          <t>K1</t>
        </is>
      </c>
      <c r="E21" s="12" t="inlineStr">
        <is>
          <t>Invoiced Value</t>
        </is>
      </c>
      <c r="F21" s="64" t="inlineStr">
        <is>
          <t>MVND</t>
        </is>
      </c>
      <c r="G21" s="56">
        <f>SUM(H21:K21)</f>
        <v/>
      </c>
      <c r="H21" s="84">
        <f>SUM(L21:N21)</f>
        <v/>
      </c>
      <c r="I21" s="84">
        <f>SUM(O21:Q21)</f>
        <v/>
      </c>
      <c r="J21" s="84">
        <f>SUM(R21:T21)</f>
        <v/>
      </c>
      <c r="K21" s="84">
        <f>SUM(U21:W21)</f>
        <v/>
      </c>
      <c r="L21" s="90">
        <f>SUM(Weekly_Tracker!H51:L51)</f>
        <v/>
      </c>
      <c r="M21" s="90">
        <f>SUM(Weekly_Tracker!M51:Q51)</f>
        <v/>
      </c>
      <c r="N21" s="90">
        <f>SUM(Weekly_Tracker!R51:V51)</f>
        <v/>
      </c>
      <c r="O21" s="90">
        <f>SUM(Weekly_Tracker!W51:AA51)</f>
        <v/>
      </c>
      <c r="P21" s="90">
        <f>SUM(Weekly_Tracker!AB51:AF51)</f>
        <v/>
      </c>
      <c r="Q21" s="90">
        <f>SUM(Weekly_Tracker!AG51:AK51)</f>
        <v/>
      </c>
      <c r="R21" s="90">
        <f>SUM(Weekly_Tracker!AL51:AP51)</f>
        <v/>
      </c>
      <c r="S21" s="90">
        <f>SUM(Weekly_Tracker!AQ51:AU51)</f>
        <v/>
      </c>
      <c r="T21" s="90">
        <f>SUM(Weekly_Tracker!AV51:AZ51)</f>
        <v/>
      </c>
      <c r="U21" s="90">
        <f>SUM(Weekly_Tracker!BA51:BE51)</f>
        <v/>
      </c>
      <c r="V21" s="90">
        <f>SUM(Weekly_Tracker!BF51:BJ51)</f>
        <v/>
      </c>
      <c r="W21" s="90">
        <f>SUM(Weekly_Tracker!BK51:BO51)</f>
        <v/>
      </c>
      <c r="X21" s="91">
        <f>H21</f>
        <v/>
      </c>
      <c r="Y21" s="91">
        <f>X21+I21</f>
        <v/>
      </c>
      <c r="Z21" s="91">
        <f>Y21+J21</f>
        <v/>
      </c>
      <c r="AA21" s="91">
        <f>Z21+K21</f>
        <v/>
      </c>
      <c r="AB21" s="85" t="n">
        <v>11200</v>
      </c>
      <c r="AC21" s="86">
        <f>IF($B21="","",IF(AB21=0,"chưa nhập FY target",IF(ROUND(G21-AB21,2)=0,"OK","Lệch "&amp;TEXT(G21-AB21,"#,##0"))))</f>
        <v/>
      </c>
    </row>
    <row r="22">
      <c r="A22" s="87">
        <f>IF($B22="","",$B22&amp;"|"&amp;$D22)</f>
        <v/>
      </c>
      <c r="B22" s="88">
        <f>IFERROR(INDEX(Team_Master!$C$6:$C$20,4),"")</f>
        <v/>
      </c>
      <c r="C22" s="89">
        <f>IFERROR(INDEX(Team_Master!$G$6:$G$20,4),"")</f>
        <v/>
      </c>
      <c r="D22" s="63" t="inlineStr">
        <is>
          <t>K2</t>
        </is>
      </c>
      <c r="E22" s="12" t="inlineStr">
        <is>
          <t>Key account approach / Site check</t>
        </is>
      </c>
      <c r="F22" s="64" t="inlineStr">
        <is>
          <t>Roadshow</t>
        </is>
      </c>
      <c r="G22" s="56">
        <f>SUM(H22:K22)</f>
        <v/>
      </c>
      <c r="H22" s="84">
        <f>SUM(L22:N22)</f>
        <v/>
      </c>
      <c r="I22" s="84">
        <f>SUM(O22:Q22)</f>
        <v/>
      </c>
      <c r="J22" s="84">
        <f>SUM(R22:T22)</f>
        <v/>
      </c>
      <c r="K22" s="84">
        <f>SUM(U22:W22)</f>
        <v/>
      </c>
      <c r="L22" s="90">
        <f>SUM(Weekly_Tracker!H54:L54)</f>
        <v/>
      </c>
      <c r="M22" s="90">
        <f>SUM(Weekly_Tracker!M54:Q54)</f>
        <v/>
      </c>
      <c r="N22" s="90">
        <f>SUM(Weekly_Tracker!R54:V54)</f>
        <v/>
      </c>
      <c r="O22" s="90">
        <f>SUM(Weekly_Tracker!W54:AA54)</f>
        <v/>
      </c>
      <c r="P22" s="90">
        <f>SUM(Weekly_Tracker!AB54:AF54)</f>
        <v/>
      </c>
      <c r="Q22" s="90">
        <f>SUM(Weekly_Tracker!AG54:AK54)</f>
        <v/>
      </c>
      <c r="R22" s="90">
        <f>SUM(Weekly_Tracker!AL54:AP54)</f>
        <v/>
      </c>
      <c r="S22" s="90">
        <f>SUM(Weekly_Tracker!AQ54:AU54)</f>
        <v/>
      </c>
      <c r="T22" s="90">
        <f>SUM(Weekly_Tracker!AV54:AZ54)</f>
        <v/>
      </c>
      <c r="U22" s="90">
        <f>SUM(Weekly_Tracker!BA54:BE54)</f>
        <v/>
      </c>
      <c r="V22" s="90">
        <f>SUM(Weekly_Tracker!BF54:BJ54)</f>
        <v/>
      </c>
      <c r="W22" s="90">
        <f>SUM(Weekly_Tracker!BK54:BO54)</f>
        <v/>
      </c>
      <c r="X22" s="91">
        <f>H22</f>
        <v/>
      </c>
      <c r="Y22" s="91">
        <f>X22+I22</f>
        <v/>
      </c>
      <c r="Z22" s="91">
        <f>Y22+J22</f>
        <v/>
      </c>
      <c r="AA22" s="91">
        <f>Z22+K22</f>
        <v/>
      </c>
      <c r="AB22" s="85" t="n">
        <v>205</v>
      </c>
      <c r="AC22" s="86">
        <f>IF($B22="","",IF(AB22=0,"chưa nhập FY target",IF(ROUND(G22-AB22,2)=0,"OK","Lệch "&amp;TEXT(G22-AB22,"#,##0"))))</f>
        <v/>
      </c>
    </row>
    <row r="23">
      <c r="A23" s="87">
        <f>IF($B23="","",$B23&amp;"|"&amp;$D23)</f>
        <v/>
      </c>
      <c r="B23" s="88">
        <f>IFERROR(INDEX(Team_Master!$C$6:$C$20,4),"")</f>
        <v/>
      </c>
      <c r="C23" s="89">
        <f>IFERROR(INDEX(Team_Master!$G$6:$G$20,4),"")</f>
        <v/>
      </c>
      <c r="D23" s="71" t="inlineStr">
        <is>
          <t>K3</t>
        </is>
      </c>
      <c r="E23" s="38" t="inlineStr">
        <is>
          <t>Spec-in Value</t>
        </is>
      </c>
      <c r="F23" s="72" t="inlineStr">
        <is>
          <t>MVND</t>
        </is>
      </c>
      <c r="G23" s="56">
        <f>SUM(H23:K23)</f>
        <v/>
      </c>
      <c r="H23" s="84">
        <f>SUM(L23:N23)</f>
        <v/>
      </c>
      <c r="I23" s="84">
        <f>SUM(O23:Q23)</f>
        <v/>
      </c>
      <c r="J23" s="84">
        <f>SUM(R23:T23)</f>
        <v/>
      </c>
      <c r="K23" s="84">
        <f>SUM(U23:W23)</f>
        <v/>
      </c>
      <c r="L23" s="90">
        <f>SUM(Weekly_Tracker!H57:L57)</f>
        <v/>
      </c>
      <c r="M23" s="90">
        <f>SUM(Weekly_Tracker!M57:Q57)</f>
        <v/>
      </c>
      <c r="N23" s="90">
        <f>SUM(Weekly_Tracker!R57:V57)</f>
        <v/>
      </c>
      <c r="O23" s="90">
        <f>SUM(Weekly_Tracker!W57:AA57)</f>
        <v/>
      </c>
      <c r="P23" s="90">
        <f>SUM(Weekly_Tracker!AB57:AF57)</f>
        <v/>
      </c>
      <c r="Q23" s="90">
        <f>SUM(Weekly_Tracker!AG57:AK57)</f>
        <v/>
      </c>
      <c r="R23" s="90">
        <f>SUM(Weekly_Tracker!AL57:AP57)</f>
        <v/>
      </c>
      <c r="S23" s="90">
        <f>SUM(Weekly_Tracker!AQ57:AU57)</f>
        <v/>
      </c>
      <c r="T23" s="90">
        <f>SUM(Weekly_Tracker!AV57:AZ57)</f>
        <v/>
      </c>
      <c r="U23" s="90">
        <f>SUM(Weekly_Tracker!BA57:BE57)</f>
        <v/>
      </c>
      <c r="V23" s="90">
        <f>SUM(Weekly_Tracker!BF57:BJ57)</f>
        <v/>
      </c>
      <c r="W23" s="90">
        <f>SUM(Weekly_Tracker!BK57:BO57)</f>
        <v/>
      </c>
      <c r="X23" s="91">
        <f>H23</f>
        <v/>
      </c>
      <c r="Y23" s="91">
        <f>X23+I23</f>
        <v/>
      </c>
      <c r="Z23" s="91">
        <f>Y23+J23</f>
        <v/>
      </c>
      <c r="AA23" s="91">
        <f>Z23+K23</f>
        <v/>
      </c>
      <c r="AB23" s="85" t="n">
        <v>4100</v>
      </c>
      <c r="AC23" s="86">
        <f>IF($B23="","",IF(AB23=0,"chưa nhập FY target",IF(ROUND(G23-AB23,2)=0,"OK","Lệch "&amp;TEXT(G23-AB23,"#,##0"))))</f>
        <v/>
      </c>
    </row>
    <row r="24">
      <c r="A24" s="87">
        <f>IF($B24="","",$B24&amp;"|"&amp;$D24)</f>
        <v/>
      </c>
      <c r="B24" s="88">
        <f>IFERROR(INDEX(Team_Master!$C$6:$C$20,4),"")</f>
        <v/>
      </c>
      <c r="C24" s="89">
        <f>IFERROR(INDEX(Team_Master!$G$6:$G$20,4),"")</f>
        <v/>
      </c>
      <c r="D24" s="71" t="inlineStr">
        <is>
          <t>K4</t>
        </is>
      </c>
      <c r="E24" s="38" t="inlineStr">
        <is>
          <t>Engaged Architect (Submit Design)</t>
        </is>
      </c>
      <c r="F24" s="72" t="inlineStr">
        <is>
          <t>D&amp;B</t>
        </is>
      </c>
      <c r="G24" s="56">
        <f>SUM(H24:K24)</f>
        <v/>
      </c>
      <c r="H24" s="84">
        <f>SUM(L24:N24)</f>
        <v/>
      </c>
      <c r="I24" s="84">
        <f>SUM(O24:Q24)</f>
        <v/>
      </c>
      <c r="J24" s="84">
        <f>SUM(R24:T24)</f>
        <v/>
      </c>
      <c r="K24" s="84">
        <f>SUM(U24:W24)</f>
        <v/>
      </c>
      <c r="L24" s="90">
        <f>SUM(Weekly_Tracker!H60:L60)</f>
        <v/>
      </c>
      <c r="M24" s="90">
        <f>SUM(Weekly_Tracker!M60:Q60)</f>
        <v/>
      </c>
      <c r="N24" s="90">
        <f>SUM(Weekly_Tracker!R60:V60)</f>
        <v/>
      </c>
      <c r="O24" s="90">
        <f>SUM(Weekly_Tracker!W60:AA60)</f>
        <v/>
      </c>
      <c r="P24" s="90">
        <f>SUM(Weekly_Tracker!AB60:AF60)</f>
        <v/>
      </c>
      <c r="Q24" s="90">
        <f>SUM(Weekly_Tracker!AG60:AK60)</f>
        <v/>
      </c>
      <c r="R24" s="90">
        <f>SUM(Weekly_Tracker!AL60:AP60)</f>
        <v/>
      </c>
      <c r="S24" s="90">
        <f>SUM(Weekly_Tracker!AQ60:AU60)</f>
        <v/>
      </c>
      <c r="T24" s="90">
        <f>SUM(Weekly_Tracker!AV60:AZ60)</f>
        <v/>
      </c>
      <c r="U24" s="90">
        <f>SUM(Weekly_Tracker!BA60:BE60)</f>
        <v/>
      </c>
      <c r="V24" s="90">
        <f>SUM(Weekly_Tracker!BF60:BJ60)</f>
        <v/>
      </c>
      <c r="W24" s="90">
        <f>SUM(Weekly_Tracker!BK60:BO60)</f>
        <v/>
      </c>
      <c r="X24" s="91">
        <f>H24</f>
        <v/>
      </c>
      <c r="Y24" s="91">
        <f>X24+I24</f>
        <v/>
      </c>
      <c r="Z24" s="91">
        <f>Y24+J24</f>
        <v/>
      </c>
      <c r="AA24" s="91">
        <f>Z24+K24</f>
        <v/>
      </c>
      <c r="AB24" s="85" t="n">
        <v>78</v>
      </c>
      <c r="AC24" s="86">
        <f>IF($B24="","",IF(AB24=0,"chưa nhập FY target",IF(ROUND(G24-AB24,2)=0,"OK","Lệch "&amp;TEXT(G24-AB24,"#,##0"))))</f>
        <v/>
      </c>
    </row>
    <row r="25">
      <c r="A25" s="87">
        <f>IF($B25="","",$B25&amp;"|"&amp;$D25)</f>
        <v/>
      </c>
      <c r="B25" s="88">
        <f>IFERROR(INDEX(Team_Master!$C$6:$C$20,4),"")</f>
        <v/>
      </c>
      <c r="C25" s="89">
        <f>IFERROR(INDEX(Team_Master!$G$6:$G$20,4),"")</f>
        <v/>
      </c>
      <c r="D25" s="73" t="inlineStr">
        <is>
          <t>K5</t>
        </is>
      </c>
      <c r="E25" s="42" t="inlineStr">
        <is>
          <t>Spec-in Design (submitted design)</t>
        </is>
      </c>
      <c r="F25" s="74" t="inlineStr">
        <is>
          <t>Designs</t>
        </is>
      </c>
      <c r="G25" s="56">
        <f>SUM(H25:K25)</f>
        <v/>
      </c>
      <c r="H25" s="84">
        <f>SUM(L25:N25)</f>
        <v/>
      </c>
      <c r="I25" s="84">
        <f>SUM(O25:Q25)</f>
        <v/>
      </c>
      <c r="J25" s="84">
        <f>SUM(R25:T25)</f>
        <v/>
      </c>
      <c r="K25" s="84">
        <f>SUM(U25:W25)</f>
        <v/>
      </c>
      <c r="L25" s="90">
        <f>SUM(Weekly_Tracker!H63:L63)</f>
        <v/>
      </c>
      <c r="M25" s="90">
        <f>SUM(Weekly_Tracker!M63:Q63)</f>
        <v/>
      </c>
      <c r="N25" s="90">
        <f>SUM(Weekly_Tracker!R63:V63)</f>
        <v/>
      </c>
      <c r="O25" s="90">
        <f>SUM(Weekly_Tracker!W63:AA63)</f>
        <v/>
      </c>
      <c r="P25" s="90">
        <f>SUM(Weekly_Tracker!AB63:AF63)</f>
        <v/>
      </c>
      <c r="Q25" s="90">
        <f>SUM(Weekly_Tracker!AG63:AK63)</f>
        <v/>
      </c>
      <c r="R25" s="90">
        <f>SUM(Weekly_Tracker!AL63:AP63)</f>
        <v/>
      </c>
      <c r="S25" s="90">
        <f>SUM(Weekly_Tracker!AQ63:AU63)</f>
        <v/>
      </c>
      <c r="T25" s="90">
        <f>SUM(Weekly_Tracker!AV63:AZ63)</f>
        <v/>
      </c>
      <c r="U25" s="90">
        <f>SUM(Weekly_Tracker!BA63:BE63)</f>
        <v/>
      </c>
      <c r="V25" s="90">
        <f>SUM(Weekly_Tracker!BF63:BJ63)</f>
        <v/>
      </c>
      <c r="W25" s="90">
        <f>SUM(Weekly_Tracker!BK63:BO63)</f>
        <v/>
      </c>
      <c r="X25" s="91">
        <f>H25</f>
        <v/>
      </c>
      <c r="Y25" s="91">
        <f>X25+I25</f>
        <v/>
      </c>
      <c r="Z25" s="91">
        <f>Y25+J25</f>
        <v/>
      </c>
      <c r="AA25" s="91">
        <f>Z25+K25</f>
        <v/>
      </c>
      <c r="AB25" s="85" t="n">
        <v>82</v>
      </c>
      <c r="AC25" s="86">
        <f>IF($B25="","",IF(AB25=0,"chưa nhập FY target",IF(ROUND(G25-AB25,2)=0,"OK","Lệch "&amp;TEXT(G25-AB25,"#,##0"))))</f>
        <v/>
      </c>
    </row>
    <row r="26">
      <c r="A26" s="81">
        <f>IF($B26="","",$B26&amp;"|"&amp;$D26)</f>
        <v/>
      </c>
      <c r="B26" s="82">
        <f>IFERROR(INDEX(Team_Master!$C$6:$C$20,5),"")</f>
        <v/>
      </c>
      <c r="C26" s="83">
        <f>IFERROR(INDEX(Team_Master!$G$6:$G$20,5),"")</f>
        <v/>
      </c>
      <c r="D26" s="63" t="inlineStr">
        <is>
          <t>K1</t>
        </is>
      </c>
      <c r="E26" s="12" t="inlineStr">
        <is>
          <t>Invoiced Value</t>
        </is>
      </c>
      <c r="F26" s="64" t="inlineStr">
        <is>
          <t>MVND</t>
        </is>
      </c>
      <c r="G26" s="56">
        <f>SUM(H26:K26)</f>
        <v/>
      </c>
      <c r="H26" s="84">
        <f>SUM(L26:N26)</f>
        <v/>
      </c>
      <c r="I26" s="84">
        <f>SUM(O26:Q26)</f>
        <v/>
      </c>
      <c r="J26" s="84">
        <f>SUM(R26:T26)</f>
        <v/>
      </c>
      <c r="K26" s="84">
        <f>SUM(U26:W26)</f>
        <v/>
      </c>
      <c r="L26" s="54">
        <f>SUM(Weekly_Tracker!H66:L66)</f>
        <v/>
      </c>
      <c r="M26" s="54">
        <f>SUM(Weekly_Tracker!M66:Q66)</f>
        <v/>
      </c>
      <c r="N26" s="54">
        <f>SUM(Weekly_Tracker!R66:V66)</f>
        <v/>
      </c>
      <c r="O26" s="54">
        <f>SUM(Weekly_Tracker!W66:AA66)</f>
        <v/>
      </c>
      <c r="P26" s="54">
        <f>SUM(Weekly_Tracker!AB66:AF66)</f>
        <v/>
      </c>
      <c r="Q26" s="54">
        <f>SUM(Weekly_Tracker!AG66:AK66)</f>
        <v/>
      </c>
      <c r="R26" s="54">
        <f>SUM(Weekly_Tracker!AL66:AP66)</f>
        <v/>
      </c>
      <c r="S26" s="54">
        <f>SUM(Weekly_Tracker!AQ66:AU66)</f>
        <v/>
      </c>
      <c r="T26" s="54">
        <f>SUM(Weekly_Tracker!AV66:AZ66)</f>
        <v/>
      </c>
      <c r="U26" s="54">
        <f>SUM(Weekly_Tracker!BA66:BE66)</f>
        <v/>
      </c>
      <c r="V26" s="54">
        <f>SUM(Weekly_Tracker!BF66:BJ66)</f>
        <v/>
      </c>
      <c r="W26" s="54">
        <f>SUM(Weekly_Tracker!BK66:BO66)</f>
        <v/>
      </c>
      <c r="X26" s="53">
        <f>H26</f>
        <v/>
      </c>
      <c r="Y26" s="53">
        <f>X26+I26</f>
        <v/>
      </c>
      <c r="Z26" s="53">
        <f>Y26+J26</f>
        <v/>
      </c>
      <c r="AA26" s="53">
        <f>Z26+K26</f>
        <v/>
      </c>
      <c r="AB26" s="85" t="n">
        <v>8600</v>
      </c>
      <c r="AC26" s="86">
        <f>IF($B26="","",IF(AB26=0,"chưa nhập FY target",IF(ROUND(G26-AB26,2)=0,"OK","Lệch "&amp;TEXT(G26-AB26,"#,##0"))))</f>
        <v/>
      </c>
    </row>
    <row r="27">
      <c r="A27" s="81">
        <f>IF($B27="","",$B27&amp;"|"&amp;$D27)</f>
        <v/>
      </c>
      <c r="B27" s="82">
        <f>IFERROR(INDEX(Team_Master!$C$6:$C$20,5),"")</f>
        <v/>
      </c>
      <c r="C27" s="83">
        <f>IFERROR(INDEX(Team_Master!$G$6:$G$20,5),"")</f>
        <v/>
      </c>
      <c r="D27" s="63" t="inlineStr">
        <is>
          <t>K2</t>
        </is>
      </c>
      <c r="E27" s="12" t="inlineStr">
        <is>
          <t>Key account approach / Site check</t>
        </is>
      </c>
      <c r="F27" s="64" t="inlineStr">
        <is>
          <t>Roadshow</t>
        </is>
      </c>
      <c r="G27" s="56">
        <f>SUM(H27:K27)</f>
        <v/>
      </c>
      <c r="H27" s="84">
        <f>SUM(L27:N27)</f>
        <v/>
      </c>
      <c r="I27" s="84">
        <f>SUM(O27:Q27)</f>
        <v/>
      </c>
      <c r="J27" s="84">
        <f>SUM(R27:T27)</f>
        <v/>
      </c>
      <c r="K27" s="84">
        <f>SUM(U27:W27)</f>
        <v/>
      </c>
      <c r="L27" s="54">
        <f>SUM(Weekly_Tracker!H69:L69)</f>
        <v/>
      </c>
      <c r="M27" s="54">
        <f>SUM(Weekly_Tracker!M69:Q69)</f>
        <v/>
      </c>
      <c r="N27" s="54">
        <f>SUM(Weekly_Tracker!R69:V69)</f>
        <v/>
      </c>
      <c r="O27" s="54">
        <f>SUM(Weekly_Tracker!W69:AA69)</f>
        <v/>
      </c>
      <c r="P27" s="54">
        <f>SUM(Weekly_Tracker!AB69:AF69)</f>
        <v/>
      </c>
      <c r="Q27" s="54">
        <f>SUM(Weekly_Tracker!AG69:AK69)</f>
        <v/>
      </c>
      <c r="R27" s="54">
        <f>SUM(Weekly_Tracker!AL69:AP69)</f>
        <v/>
      </c>
      <c r="S27" s="54">
        <f>SUM(Weekly_Tracker!AQ69:AU69)</f>
        <v/>
      </c>
      <c r="T27" s="54">
        <f>SUM(Weekly_Tracker!AV69:AZ69)</f>
        <v/>
      </c>
      <c r="U27" s="54">
        <f>SUM(Weekly_Tracker!BA69:BE69)</f>
        <v/>
      </c>
      <c r="V27" s="54">
        <f>SUM(Weekly_Tracker!BF69:BJ69)</f>
        <v/>
      </c>
      <c r="W27" s="54">
        <f>SUM(Weekly_Tracker!BK69:BO69)</f>
        <v/>
      </c>
      <c r="X27" s="53">
        <f>H27</f>
        <v/>
      </c>
      <c r="Y27" s="53">
        <f>X27+I27</f>
        <v/>
      </c>
      <c r="Z27" s="53">
        <f>Y27+J27</f>
        <v/>
      </c>
      <c r="AA27" s="53">
        <f>Z27+K27</f>
        <v/>
      </c>
      <c r="AB27" s="85" t="n">
        <v>190</v>
      </c>
      <c r="AC27" s="86">
        <f>IF($B27="","",IF(AB27=0,"chưa nhập FY target",IF(ROUND(G27-AB27,2)=0,"OK","Lệch "&amp;TEXT(G27-AB27,"#,##0"))))</f>
        <v/>
      </c>
    </row>
    <row r="28">
      <c r="A28" s="81">
        <f>IF($B28="","",$B28&amp;"|"&amp;$D28)</f>
        <v/>
      </c>
      <c r="B28" s="82">
        <f>IFERROR(INDEX(Team_Master!$C$6:$C$20,5),"")</f>
        <v/>
      </c>
      <c r="C28" s="83">
        <f>IFERROR(INDEX(Team_Master!$G$6:$G$20,5),"")</f>
        <v/>
      </c>
      <c r="D28" s="71" t="inlineStr">
        <is>
          <t>K3</t>
        </is>
      </c>
      <c r="E28" s="38" t="inlineStr">
        <is>
          <t>Spec-in Value</t>
        </is>
      </c>
      <c r="F28" s="72" t="inlineStr">
        <is>
          <t>MVND</t>
        </is>
      </c>
      <c r="G28" s="56">
        <f>SUM(H28:K28)</f>
        <v/>
      </c>
      <c r="H28" s="84">
        <f>SUM(L28:N28)</f>
        <v/>
      </c>
      <c r="I28" s="84">
        <f>SUM(O28:Q28)</f>
        <v/>
      </c>
      <c r="J28" s="84">
        <f>SUM(R28:T28)</f>
        <v/>
      </c>
      <c r="K28" s="84">
        <f>SUM(U28:W28)</f>
        <v/>
      </c>
      <c r="L28" s="54">
        <f>SUM(Weekly_Tracker!H72:L72)</f>
        <v/>
      </c>
      <c r="M28" s="54">
        <f>SUM(Weekly_Tracker!M72:Q72)</f>
        <v/>
      </c>
      <c r="N28" s="54">
        <f>SUM(Weekly_Tracker!R72:V72)</f>
        <v/>
      </c>
      <c r="O28" s="54">
        <f>SUM(Weekly_Tracker!W72:AA72)</f>
        <v/>
      </c>
      <c r="P28" s="54">
        <f>SUM(Weekly_Tracker!AB72:AF72)</f>
        <v/>
      </c>
      <c r="Q28" s="54">
        <f>SUM(Weekly_Tracker!AG72:AK72)</f>
        <v/>
      </c>
      <c r="R28" s="54">
        <f>SUM(Weekly_Tracker!AL72:AP72)</f>
        <v/>
      </c>
      <c r="S28" s="54">
        <f>SUM(Weekly_Tracker!AQ72:AU72)</f>
        <v/>
      </c>
      <c r="T28" s="54">
        <f>SUM(Weekly_Tracker!AV72:AZ72)</f>
        <v/>
      </c>
      <c r="U28" s="54">
        <f>SUM(Weekly_Tracker!BA72:BE72)</f>
        <v/>
      </c>
      <c r="V28" s="54">
        <f>SUM(Weekly_Tracker!BF72:BJ72)</f>
        <v/>
      </c>
      <c r="W28" s="54">
        <f>SUM(Weekly_Tracker!BK72:BO72)</f>
        <v/>
      </c>
      <c r="X28" s="53">
        <f>H28</f>
        <v/>
      </c>
      <c r="Y28" s="53">
        <f>X28+I28</f>
        <v/>
      </c>
      <c r="Z28" s="53">
        <f>Y28+J28</f>
        <v/>
      </c>
      <c r="AA28" s="53">
        <f>Z28+K28</f>
        <v/>
      </c>
      <c r="AB28" s="85" t="n">
        <v>3400</v>
      </c>
      <c r="AC28" s="86">
        <f>IF($B28="","",IF(AB28=0,"chưa nhập FY target",IF(ROUND(G28-AB28,2)=0,"OK","Lệch "&amp;TEXT(G28-AB28,"#,##0"))))</f>
        <v/>
      </c>
    </row>
    <row r="29">
      <c r="A29" s="81">
        <f>IF($B29="","",$B29&amp;"|"&amp;$D29)</f>
        <v/>
      </c>
      <c r="B29" s="82">
        <f>IFERROR(INDEX(Team_Master!$C$6:$C$20,5),"")</f>
        <v/>
      </c>
      <c r="C29" s="83">
        <f>IFERROR(INDEX(Team_Master!$G$6:$G$20,5),"")</f>
        <v/>
      </c>
      <c r="D29" s="71" t="inlineStr">
        <is>
          <t>K4</t>
        </is>
      </c>
      <c r="E29" s="38" t="inlineStr">
        <is>
          <t>Engaged Architect (Submit Design)</t>
        </is>
      </c>
      <c r="F29" s="72" t="inlineStr">
        <is>
          <t>D&amp;B</t>
        </is>
      </c>
      <c r="G29" s="56">
        <f>SUM(H29:K29)</f>
        <v/>
      </c>
      <c r="H29" s="84">
        <f>SUM(L29:N29)</f>
        <v/>
      </c>
      <c r="I29" s="84">
        <f>SUM(O29:Q29)</f>
        <v/>
      </c>
      <c r="J29" s="84">
        <f>SUM(R29:T29)</f>
        <v/>
      </c>
      <c r="K29" s="84">
        <f>SUM(U29:W29)</f>
        <v/>
      </c>
      <c r="L29" s="54">
        <f>SUM(Weekly_Tracker!H75:L75)</f>
        <v/>
      </c>
      <c r="M29" s="54">
        <f>SUM(Weekly_Tracker!M75:Q75)</f>
        <v/>
      </c>
      <c r="N29" s="54">
        <f>SUM(Weekly_Tracker!R75:V75)</f>
        <v/>
      </c>
      <c r="O29" s="54">
        <f>SUM(Weekly_Tracker!W75:AA75)</f>
        <v/>
      </c>
      <c r="P29" s="54">
        <f>SUM(Weekly_Tracker!AB75:AF75)</f>
        <v/>
      </c>
      <c r="Q29" s="54">
        <f>SUM(Weekly_Tracker!AG75:AK75)</f>
        <v/>
      </c>
      <c r="R29" s="54">
        <f>SUM(Weekly_Tracker!AL75:AP75)</f>
        <v/>
      </c>
      <c r="S29" s="54">
        <f>SUM(Weekly_Tracker!AQ75:AU75)</f>
        <v/>
      </c>
      <c r="T29" s="54">
        <f>SUM(Weekly_Tracker!AV75:AZ75)</f>
        <v/>
      </c>
      <c r="U29" s="54">
        <f>SUM(Weekly_Tracker!BA75:BE75)</f>
        <v/>
      </c>
      <c r="V29" s="54">
        <f>SUM(Weekly_Tracker!BF75:BJ75)</f>
        <v/>
      </c>
      <c r="W29" s="54">
        <f>SUM(Weekly_Tracker!BK75:BO75)</f>
        <v/>
      </c>
      <c r="X29" s="53">
        <f>H29</f>
        <v/>
      </c>
      <c r="Y29" s="53">
        <f>X29+I29</f>
        <v/>
      </c>
      <c r="Z29" s="53">
        <f>Y29+J29</f>
        <v/>
      </c>
      <c r="AA29" s="53">
        <f>Z29+K29</f>
        <v/>
      </c>
      <c r="AB29" s="85" t="n">
        <v>65</v>
      </c>
      <c r="AC29" s="86">
        <f>IF($B29="","",IF(AB29=0,"chưa nhập FY target",IF(ROUND(G29-AB29,2)=0,"OK","Lệch "&amp;TEXT(G29-AB29,"#,##0"))))</f>
        <v/>
      </c>
    </row>
    <row r="30">
      <c r="A30" s="81">
        <f>IF($B30="","",$B30&amp;"|"&amp;$D30)</f>
        <v/>
      </c>
      <c r="B30" s="82">
        <f>IFERROR(INDEX(Team_Master!$C$6:$C$20,5),"")</f>
        <v/>
      </c>
      <c r="C30" s="83">
        <f>IFERROR(INDEX(Team_Master!$G$6:$G$20,5),"")</f>
        <v/>
      </c>
      <c r="D30" s="73" t="inlineStr">
        <is>
          <t>K5</t>
        </is>
      </c>
      <c r="E30" s="42" t="inlineStr">
        <is>
          <t>Spec-in Design (submitted design)</t>
        </is>
      </c>
      <c r="F30" s="74" t="inlineStr">
        <is>
          <t>Designs</t>
        </is>
      </c>
      <c r="G30" s="56">
        <f>SUM(H30:K30)</f>
        <v/>
      </c>
      <c r="H30" s="84">
        <f>SUM(L30:N30)</f>
        <v/>
      </c>
      <c r="I30" s="84">
        <f>SUM(O30:Q30)</f>
        <v/>
      </c>
      <c r="J30" s="84">
        <f>SUM(R30:T30)</f>
        <v/>
      </c>
      <c r="K30" s="84">
        <f>SUM(U30:W30)</f>
        <v/>
      </c>
      <c r="L30" s="54">
        <f>SUM(Weekly_Tracker!H78:L78)</f>
        <v/>
      </c>
      <c r="M30" s="54">
        <f>SUM(Weekly_Tracker!M78:Q78)</f>
        <v/>
      </c>
      <c r="N30" s="54">
        <f>SUM(Weekly_Tracker!R78:V78)</f>
        <v/>
      </c>
      <c r="O30" s="54">
        <f>SUM(Weekly_Tracker!W78:AA78)</f>
        <v/>
      </c>
      <c r="P30" s="54">
        <f>SUM(Weekly_Tracker!AB78:AF78)</f>
        <v/>
      </c>
      <c r="Q30" s="54">
        <f>SUM(Weekly_Tracker!AG78:AK78)</f>
        <v/>
      </c>
      <c r="R30" s="54">
        <f>SUM(Weekly_Tracker!AL78:AP78)</f>
        <v/>
      </c>
      <c r="S30" s="54">
        <f>SUM(Weekly_Tracker!AQ78:AU78)</f>
        <v/>
      </c>
      <c r="T30" s="54">
        <f>SUM(Weekly_Tracker!AV78:AZ78)</f>
        <v/>
      </c>
      <c r="U30" s="54">
        <f>SUM(Weekly_Tracker!BA78:BE78)</f>
        <v/>
      </c>
      <c r="V30" s="54">
        <f>SUM(Weekly_Tracker!BF78:BJ78)</f>
        <v/>
      </c>
      <c r="W30" s="54">
        <f>SUM(Weekly_Tracker!BK78:BO78)</f>
        <v/>
      </c>
      <c r="X30" s="53">
        <f>H30</f>
        <v/>
      </c>
      <c r="Y30" s="53">
        <f>X30+I30</f>
        <v/>
      </c>
      <c r="Z30" s="53">
        <f>Y30+J30</f>
        <v/>
      </c>
      <c r="AA30" s="53">
        <f>Z30+K30</f>
        <v/>
      </c>
      <c r="AB30" s="85" t="n">
        <v>68</v>
      </c>
      <c r="AC30" s="86">
        <f>IF($B30="","",IF(AB30=0,"chưa nhập FY target",IF(ROUND(G30-AB30,2)=0,"OK","Lệch "&amp;TEXT(G30-AB30,"#,##0"))))</f>
        <v/>
      </c>
    </row>
    <row r="31">
      <c r="A31" s="87">
        <f>IF($B31="","",$B31&amp;"|"&amp;$D31)</f>
        <v/>
      </c>
      <c r="B31" s="88">
        <f>IFERROR(INDEX(Team_Master!$C$6:$C$20,6),"")</f>
        <v/>
      </c>
      <c r="C31" s="89">
        <f>IFERROR(INDEX(Team_Master!$G$6:$G$20,6),"")</f>
        <v/>
      </c>
      <c r="D31" s="63" t="inlineStr">
        <is>
          <t>K1</t>
        </is>
      </c>
      <c r="E31" s="12" t="inlineStr">
        <is>
          <t>Invoiced Value</t>
        </is>
      </c>
      <c r="F31" s="64" t="inlineStr">
        <is>
          <t>MVND</t>
        </is>
      </c>
      <c r="G31" s="56">
        <f>SUM(H31:K31)</f>
        <v/>
      </c>
      <c r="H31" s="84">
        <f>SUM(L31:N31)</f>
        <v/>
      </c>
      <c r="I31" s="84">
        <f>SUM(O31:Q31)</f>
        <v/>
      </c>
      <c r="J31" s="84">
        <f>SUM(R31:T31)</f>
        <v/>
      </c>
      <c r="K31" s="84">
        <f>SUM(U31:W31)</f>
        <v/>
      </c>
      <c r="L31" s="90">
        <f>SUM(Weekly_Tracker!H81:L81)</f>
        <v/>
      </c>
      <c r="M31" s="90">
        <f>SUM(Weekly_Tracker!M81:Q81)</f>
        <v/>
      </c>
      <c r="N31" s="90">
        <f>SUM(Weekly_Tracker!R81:V81)</f>
        <v/>
      </c>
      <c r="O31" s="90">
        <f>SUM(Weekly_Tracker!W81:AA81)</f>
        <v/>
      </c>
      <c r="P31" s="90">
        <f>SUM(Weekly_Tracker!AB81:AF81)</f>
        <v/>
      </c>
      <c r="Q31" s="90">
        <f>SUM(Weekly_Tracker!AG81:AK81)</f>
        <v/>
      </c>
      <c r="R31" s="90">
        <f>SUM(Weekly_Tracker!AL81:AP81)</f>
        <v/>
      </c>
      <c r="S31" s="90">
        <f>SUM(Weekly_Tracker!AQ81:AU81)</f>
        <v/>
      </c>
      <c r="T31" s="90">
        <f>SUM(Weekly_Tracker!AV81:AZ81)</f>
        <v/>
      </c>
      <c r="U31" s="90">
        <f>SUM(Weekly_Tracker!BA81:BE81)</f>
        <v/>
      </c>
      <c r="V31" s="90">
        <f>SUM(Weekly_Tracker!BF81:BJ81)</f>
        <v/>
      </c>
      <c r="W31" s="90">
        <f>SUM(Weekly_Tracker!BK81:BO81)</f>
        <v/>
      </c>
      <c r="X31" s="91">
        <f>H31</f>
        <v/>
      </c>
      <c r="Y31" s="91">
        <f>X31+I31</f>
        <v/>
      </c>
      <c r="Z31" s="91">
        <f>Y31+J31</f>
        <v/>
      </c>
      <c r="AA31" s="91">
        <f>Z31+K31</f>
        <v/>
      </c>
      <c r="AB31" s="85" t="n">
        <v>7900</v>
      </c>
      <c r="AC31" s="86">
        <f>IF($B31="","",IF(AB31=0,"chưa nhập FY target",IF(ROUND(G31-AB31,2)=0,"OK","Lệch "&amp;TEXT(G31-AB31,"#,##0"))))</f>
        <v/>
      </c>
    </row>
    <row r="32">
      <c r="A32" s="87">
        <f>IF($B32="","",$B32&amp;"|"&amp;$D32)</f>
        <v/>
      </c>
      <c r="B32" s="88">
        <f>IFERROR(INDEX(Team_Master!$C$6:$C$20,6),"")</f>
        <v/>
      </c>
      <c r="C32" s="89">
        <f>IFERROR(INDEX(Team_Master!$G$6:$G$20,6),"")</f>
        <v/>
      </c>
      <c r="D32" s="63" t="inlineStr">
        <is>
          <t>K2</t>
        </is>
      </c>
      <c r="E32" s="12" t="inlineStr">
        <is>
          <t>Key account approach / Site check</t>
        </is>
      </c>
      <c r="F32" s="64" t="inlineStr">
        <is>
          <t>Roadshow</t>
        </is>
      </c>
      <c r="G32" s="56">
        <f>SUM(H32:K32)</f>
        <v/>
      </c>
      <c r="H32" s="84">
        <f>SUM(L32:N32)</f>
        <v/>
      </c>
      <c r="I32" s="84">
        <f>SUM(O32:Q32)</f>
        <v/>
      </c>
      <c r="J32" s="84">
        <f>SUM(R32:T32)</f>
        <v/>
      </c>
      <c r="K32" s="84">
        <f>SUM(U32:W32)</f>
        <v/>
      </c>
      <c r="L32" s="90">
        <f>SUM(Weekly_Tracker!H84:L84)</f>
        <v/>
      </c>
      <c r="M32" s="90">
        <f>SUM(Weekly_Tracker!M84:Q84)</f>
        <v/>
      </c>
      <c r="N32" s="90">
        <f>SUM(Weekly_Tracker!R84:V84)</f>
        <v/>
      </c>
      <c r="O32" s="90">
        <f>SUM(Weekly_Tracker!W84:AA84)</f>
        <v/>
      </c>
      <c r="P32" s="90">
        <f>SUM(Weekly_Tracker!AB84:AF84)</f>
        <v/>
      </c>
      <c r="Q32" s="90">
        <f>SUM(Weekly_Tracker!AG84:AK84)</f>
        <v/>
      </c>
      <c r="R32" s="90">
        <f>SUM(Weekly_Tracker!AL84:AP84)</f>
        <v/>
      </c>
      <c r="S32" s="90">
        <f>SUM(Weekly_Tracker!AQ84:AU84)</f>
        <v/>
      </c>
      <c r="T32" s="90">
        <f>SUM(Weekly_Tracker!AV84:AZ84)</f>
        <v/>
      </c>
      <c r="U32" s="90">
        <f>SUM(Weekly_Tracker!BA84:BE84)</f>
        <v/>
      </c>
      <c r="V32" s="90">
        <f>SUM(Weekly_Tracker!BF84:BJ84)</f>
        <v/>
      </c>
      <c r="W32" s="90">
        <f>SUM(Weekly_Tracker!BK84:BO84)</f>
        <v/>
      </c>
      <c r="X32" s="91">
        <f>H32</f>
        <v/>
      </c>
      <c r="Y32" s="91">
        <f>X32+I32</f>
        <v/>
      </c>
      <c r="Z32" s="91">
        <f>Y32+J32</f>
        <v/>
      </c>
      <c r="AA32" s="91">
        <f>Z32+K32</f>
        <v/>
      </c>
      <c r="AB32" s="85" t="n">
        <v>180</v>
      </c>
      <c r="AC32" s="86">
        <f>IF($B32="","",IF(AB32=0,"chưa nhập FY target",IF(ROUND(G32-AB32,2)=0,"OK","Lệch "&amp;TEXT(G32-AB32,"#,##0"))))</f>
        <v/>
      </c>
    </row>
    <row r="33">
      <c r="A33" s="87">
        <f>IF($B33="","",$B33&amp;"|"&amp;$D33)</f>
        <v/>
      </c>
      <c r="B33" s="88">
        <f>IFERROR(INDEX(Team_Master!$C$6:$C$20,6),"")</f>
        <v/>
      </c>
      <c r="C33" s="89">
        <f>IFERROR(INDEX(Team_Master!$G$6:$G$20,6),"")</f>
        <v/>
      </c>
      <c r="D33" s="71" t="inlineStr">
        <is>
          <t>K3</t>
        </is>
      </c>
      <c r="E33" s="38" t="inlineStr">
        <is>
          <t>Spec-in Value</t>
        </is>
      </c>
      <c r="F33" s="72" t="inlineStr">
        <is>
          <t>MVND</t>
        </is>
      </c>
      <c r="G33" s="56">
        <f>SUM(H33:K33)</f>
        <v/>
      </c>
      <c r="H33" s="84">
        <f>SUM(L33:N33)</f>
        <v/>
      </c>
      <c r="I33" s="84">
        <f>SUM(O33:Q33)</f>
        <v/>
      </c>
      <c r="J33" s="84">
        <f>SUM(R33:T33)</f>
        <v/>
      </c>
      <c r="K33" s="84">
        <f>SUM(U33:W33)</f>
        <v/>
      </c>
      <c r="L33" s="90">
        <f>SUM(Weekly_Tracker!H87:L87)</f>
        <v/>
      </c>
      <c r="M33" s="90">
        <f>SUM(Weekly_Tracker!M87:Q87)</f>
        <v/>
      </c>
      <c r="N33" s="90">
        <f>SUM(Weekly_Tracker!R87:V87)</f>
        <v/>
      </c>
      <c r="O33" s="90">
        <f>SUM(Weekly_Tracker!W87:AA87)</f>
        <v/>
      </c>
      <c r="P33" s="90">
        <f>SUM(Weekly_Tracker!AB87:AF87)</f>
        <v/>
      </c>
      <c r="Q33" s="90">
        <f>SUM(Weekly_Tracker!AG87:AK87)</f>
        <v/>
      </c>
      <c r="R33" s="90">
        <f>SUM(Weekly_Tracker!AL87:AP87)</f>
        <v/>
      </c>
      <c r="S33" s="90">
        <f>SUM(Weekly_Tracker!AQ87:AU87)</f>
        <v/>
      </c>
      <c r="T33" s="90">
        <f>SUM(Weekly_Tracker!AV87:AZ87)</f>
        <v/>
      </c>
      <c r="U33" s="90">
        <f>SUM(Weekly_Tracker!BA87:BE87)</f>
        <v/>
      </c>
      <c r="V33" s="90">
        <f>SUM(Weekly_Tracker!BF87:BJ87)</f>
        <v/>
      </c>
      <c r="W33" s="90">
        <f>SUM(Weekly_Tracker!BK87:BO87)</f>
        <v/>
      </c>
      <c r="X33" s="91">
        <f>H33</f>
        <v/>
      </c>
      <c r="Y33" s="91">
        <f>X33+I33</f>
        <v/>
      </c>
      <c r="Z33" s="91">
        <f>Y33+J33</f>
        <v/>
      </c>
      <c r="AA33" s="91">
        <f>Z33+K33</f>
        <v/>
      </c>
      <c r="AB33" s="85" t="n">
        <v>3100</v>
      </c>
      <c r="AC33" s="86">
        <f>IF($B33="","",IF(AB33=0,"chưa nhập FY target",IF(ROUND(G33-AB33,2)=0,"OK","Lệch "&amp;TEXT(G33-AB33,"#,##0"))))</f>
        <v/>
      </c>
    </row>
    <row r="34">
      <c r="A34" s="87">
        <f>IF($B34="","",$B34&amp;"|"&amp;$D34)</f>
        <v/>
      </c>
      <c r="B34" s="88">
        <f>IFERROR(INDEX(Team_Master!$C$6:$C$20,6),"")</f>
        <v/>
      </c>
      <c r="C34" s="89">
        <f>IFERROR(INDEX(Team_Master!$G$6:$G$20,6),"")</f>
        <v/>
      </c>
      <c r="D34" s="71" t="inlineStr">
        <is>
          <t>K4</t>
        </is>
      </c>
      <c r="E34" s="38" t="inlineStr">
        <is>
          <t>Engaged Architect (Submit Design)</t>
        </is>
      </c>
      <c r="F34" s="72" t="inlineStr">
        <is>
          <t>D&amp;B</t>
        </is>
      </c>
      <c r="G34" s="56">
        <f>SUM(H34:K34)</f>
        <v/>
      </c>
      <c r="H34" s="84">
        <f>SUM(L34:N34)</f>
        <v/>
      </c>
      <c r="I34" s="84">
        <f>SUM(O34:Q34)</f>
        <v/>
      </c>
      <c r="J34" s="84">
        <f>SUM(R34:T34)</f>
        <v/>
      </c>
      <c r="K34" s="84">
        <f>SUM(U34:W34)</f>
        <v/>
      </c>
      <c r="L34" s="90">
        <f>SUM(Weekly_Tracker!H90:L90)</f>
        <v/>
      </c>
      <c r="M34" s="90">
        <f>SUM(Weekly_Tracker!M90:Q90)</f>
        <v/>
      </c>
      <c r="N34" s="90">
        <f>SUM(Weekly_Tracker!R90:V90)</f>
        <v/>
      </c>
      <c r="O34" s="90">
        <f>SUM(Weekly_Tracker!W90:AA90)</f>
        <v/>
      </c>
      <c r="P34" s="90">
        <f>SUM(Weekly_Tracker!AB90:AF90)</f>
        <v/>
      </c>
      <c r="Q34" s="90">
        <f>SUM(Weekly_Tracker!AG90:AK90)</f>
        <v/>
      </c>
      <c r="R34" s="90">
        <f>SUM(Weekly_Tracker!AL90:AP90)</f>
        <v/>
      </c>
      <c r="S34" s="90">
        <f>SUM(Weekly_Tracker!AQ90:AU90)</f>
        <v/>
      </c>
      <c r="T34" s="90">
        <f>SUM(Weekly_Tracker!AV90:AZ90)</f>
        <v/>
      </c>
      <c r="U34" s="90">
        <f>SUM(Weekly_Tracker!BA90:BE90)</f>
        <v/>
      </c>
      <c r="V34" s="90">
        <f>SUM(Weekly_Tracker!BF90:BJ90)</f>
        <v/>
      </c>
      <c r="W34" s="90">
        <f>SUM(Weekly_Tracker!BK90:BO90)</f>
        <v/>
      </c>
      <c r="X34" s="91">
        <f>H34</f>
        <v/>
      </c>
      <c r="Y34" s="91">
        <f>X34+I34</f>
        <v/>
      </c>
      <c r="Z34" s="91">
        <f>Y34+J34</f>
        <v/>
      </c>
      <c r="AA34" s="91">
        <f>Z34+K34</f>
        <v/>
      </c>
      <c r="AB34" s="85" t="n">
        <v>60</v>
      </c>
      <c r="AC34" s="86">
        <f>IF($B34="","",IF(AB34=0,"chưa nhập FY target",IF(ROUND(G34-AB34,2)=0,"OK","Lệch "&amp;TEXT(G34-AB34,"#,##0"))))</f>
        <v/>
      </c>
    </row>
    <row r="35">
      <c r="A35" s="87">
        <f>IF($B35="","",$B35&amp;"|"&amp;$D35)</f>
        <v/>
      </c>
      <c r="B35" s="88">
        <f>IFERROR(INDEX(Team_Master!$C$6:$C$20,6),"")</f>
        <v/>
      </c>
      <c r="C35" s="89">
        <f>IFERROR(INDEX(Team_Master!$G$6:$G$20,6),"")</f>
        <v/>
      </c>
      <c r="D35" s="73" t="inlineStr">
        <is>
          <t>K5</t>
        </is>
      </c>
      <c r="E35" s="42" t="inlineStr">
        <is>
          <t>Spec-in Design (submitted design)</t>
        </is>
      </c>
      <c r="F35" s="74" t="inlineStr">
        <is>
          <t>Designs</t>
        </is>
      </c>
      <c r="G35" s="56">
        <f>SUM(H35:K35)</f>
        <v/>
      </c>
      <c r="H35" s="84">
        <f>SUM(L35:N35)</f>
        <v/>
      </c>
      <c r="I35" s="84">
        <f>SUM(O35:Q35)</f>
        <v/>
      </c>
      <c r="J35" s="84">
        <f>SUM(R35:T35)</f>
        <v/>
      </c>
      <c r="K35" s="84">
        <f>SUM(U35:W35)</f>
        <v/>
      </c>
      <c r="L35" s="90">
        <f>SUM(Weekly_Tracker!H93:L93)</f>
        <v/>
      </c>
      <c r="M35" s="90">
        <f>SUM(Weekly_Tracker!M93:Q93)</f>
        <v/>
      </c>
      <c r="N35" s="90">
        <f>SUM(Weekly_Tracker!R93:V93)</f>
        <v/>
      </c>
      <c r="O35" s="90">
        <f>SUM(Weekly_Tracker!W93:AA93)</f>
        <v/>
      </c>
      <c r="P35" s="90">
        <f>SUM(Weekly_Tracker!AB93:AF93)</f>
        <v/>
      </c>
      <c r="Q35" s="90">
        <f>SUM(Weekly_Tracker!AG93:AK93)</f>
        <v/>
      </c>
      <c r="R35" s="90">
        <f>SUM(Weekly_Tracker!AL93:AP93)</f>
        <v/>
      </c>
      <c r="S35" s="90">
        <f>SUM(Weekly_Tracker!AQ93:AU93)</f>
        <v/>
      </c>
      <c r="T35" s="90">
        <f>SUM(Weekly_Tracker!AV93:AZ93)</f>
        <v/>
      </c>
      <c r="U35" s="90">
        <f>SUM(Weekly_Tracker!BA93:BE93)</f>
        <v/>
      </c>
      <c r="V35" s="90">
        <f>SUM(Weekly_Tracker!BF93:BJ93)</f>
        <v/>
      </c>
      <c r="W35" s="90">
        <f>SUM(Weekly_Tracker!BK93:BO93)</f>
        <v/>
      </c>
      <c r="X35" s="91">
        <f>H35</f>
        <v/>
      </c>
      <c r="Y35" s="91">
        <f>X35+I35</f>
        <v/>
      </c>
      <c r="Z35" s="91">
        <f>Y35+J35</f>
        <v/>
      </c>
      <c r="AA35" s="91">
        <f>Z35+K35</f>
        <v/>
      </c>
      <c r="AB35" s="85" t="n">
        <v>62</v>
      </c>
      <c r="AC35" s="86">
        <f>IF($B35="","",IF(AB35=0,"chưa nhập FY target",IF(ROUND(G35-AB35,2)=0,"OK","Lệch "&amp;TEXT(G35-AB35,"#,##0"))))</f>
        <v/>
      </c>
    </row>
    <row r="36">
      <c r="A36" s="81">
        <f>IF($B36="","",$B36&amp;"|"&amp;$D36)</f>
        <v/>
      </c>
      <c r="B36" s="82">
        <f>IFERROR(INDEX(Team_Master!$C$6:$C$20,7),"")</f>
        <v/>
      </c>
      <c r="C36" s="83">
        <f>IFERROR(INDEX(Team_Master!$G$6:$G$20,7),"")</f>
        <v/>
      </c>
      <c r="D36" s="63" t="inlineStr">
        <is>
          <t>K1</t>
        </is>
      </c>
      <c r="E36" s="12" t="inlineStr">
        <is>
          <t>Invoiced Value</t>
        </is>
      </c>
      <c r="F36" s="64" t="inlineStr">
        <is>
          <t>MVND</t>
        </is>
      </c>
      <c r="G36" s="56">
        <f>SUM(H36:K36)</f>
        <v/>
      </c>
      <c r="H36" s="84">
        <f>SUM(L36:N36)</f>
        <v/>
      </c>
      <c r="I36" s="84">
        <f>SUM(O36:Q36)</f>
        <v/>
      </c>
      <c r="J36" s="84">
        <f>SUM(R36:T36)</f>
        <v/>
      </c>
      <c r="K36" s="84">
        <f>SUM(U36:W36)</f>
        <v/>
      </c>
      <c r="L36" s="54">
        <f>SUM(Weekly_Tracker!H96:L96)</f>
        <v/>
      </c>
      <c r="M36" s="54">
        <f>SUM(Weekly_Tracker!M96:Q96)</f>
        <v/>
      </c>
      <c r="N36" s="54">
        <f>SUM(Weekly_Tracker!R96:V96)</f>
        <v/>
      </c>
      <c r="O36" s="54">
        <f>SUM(Weekly_Tracker!W96:AA96)</f>
        <v/>
      </c>
      <c r="P36" s="54">
        <f>SUM(Weekly_Tracker!AB96:AF96)</f>
        <v/>
      </c>
      <c r="Q36" s="54">
        <f>SUM(Weekly_Tracker!AG96:AK96)</f>
        <v/>
      </c>
      <c r="R36" s="54">
        <f>SUM(Weekly_Tracker!AL96:AP96)</f>
        <v/>
      </c>
      <c r="S36" s="54">
        <f>SUM(Weekly_Tracker!AQ96:AU96)</f>
        <v/>
      </c>
      <c r="T36" s="54">
        <f>SUM(Weekly_Tracker!AV96:AZ96)</f>
        <v/>
      </c>
      <c r="U36" s="54">
        <f>SUM(Weekly_Tracker!BA96:BE96)</f>
        <v/>
      </c>
      <c r="V36" s="54">
        <f>SUM(Weekly_Tracker!BF96:BJ96)</f>
        <v/>
      </c>
      <c r="W36" s="54">
        <f>SUM(Weekly_Tracker!BK96:BO96)</f>
        <v/>
      </c>
      <c r="X36" s="53">
        <f>H36</f>
        <v/>
      </c>
      <c r="Y36" s="53">
        <f>X36+I36</f>
        <v/>
      </c>
      <c r="Z36" s="53">
        <f>Y36+J36</f>
        <v/>
      </c>
      <c r="AA36" s="53">
        <f>Z36+K36</f>
        <v/>
      </c>
      <c r="AB36" s="85" t="n"/>
      <c r="AC36" s="86">
        <f>IF($B36="","",IF(AB36=0,"chưa nhập FY target",IF(ROUND(G36-AB36,2)=0,"OK","Lệch "&amp;TEXT(G36-AB36,"#,##0"))))</f>
        <v/>
      </c>
    </row>
    <row r="37">
      <c r="A37" s="81">
        <f>IF($B37="","",$B37&amp;"|"&amp;$D37)</f>
        <v/>
      </c>
      <c r="B37" s="82">
        <f>IFERROR(INDEX(Team_Master!$C$6:$C$20,7),"")</f>
        <v/>
      </c>
      <c r="C37" s="83">
        <f>IFERROR(INDEX(Team_Master!$G$6:$G$20,7),"")</f>
        <v/>
      </c>
      <c r="D37" s="63" t="inlineStr">
        <is>
          <t>K2</t>
        </is>
      </c>
      <c r="E37" s="12" t="inlineStr">
        <is>
          <t>Key account approach / Site check</t>
        </is>
      </c>
      <c r="F37" s="64" t="inlineStr">
        <is>
          <t>Roadshow</t>
        </is>
      </c>
      <c r="G37" s="56">
        <f>SUM(H37:K37)</f>
        <v/>
      </c>
      <c r="H37" s="84">
        <f>SUM(L37:N37)</f>
        <v/>
      </c>
      <c r="I37" s="84">
        <f>SUM(O37:Q37)</f>
        <v/>
      </c>
      <c r="J37" s="84">
        <f>SUM(R37:T37)</f>
        <v/>
      </c>
      <c r="K37" s="84">
        <f>SUM(U37:W37)</f>
        <v/>
      </c>
      <c r="L37" s="54">
        <f>SUM(Weekly_Tracker!H99:L99)</f>
        <v/>
      </c>
      <c r="M37" s="54">
        <f>SUM(Weekly_Tracker!M99:Q99)</f>
        <v/>
      </c>
      <c r="N37" s="54">
        <f>SUM(Weekly_Tracker!R99:V99)</f>
        <v/>
      </c>
      <c r="O37" s="54">
        <f>SUM(Weekly_Tracker!W99:AA99)</f>
        <v/>
      </c>
      <c r="P37" s="54">
        <f>SUM(Weekly_Tracker!AB99:AF99)</f>
        <v/>
      </c>
      <c r="Q37" s="54">
        <f>SUM(Weekly_Tracker!AG99:AK99)</f>
        <v/>
      </c>
      <c r="R37" s="54">
        <f>SUM(Weekly_Tracker!AL99:AP99)</f>
        <v/>
      </c>
      <c r="S37" s="54">
        <f>SUM(Weekly_Tracker!AQ99:AU99)</f>
        <v/>
      </c>
      <c r="T37" s="54">
        <f>SUM(Weekly_Tracker!AV99:AZ99)</f>
        <v/>
      </c>
      <c r="U37" s="54">
        <f>SUM(Weekly_Tracker!BA99:BE99)</f>
        <v/>
      </c>
      <c r="V37" s="54">
        <f>SUM(Weekly_Tracker!BF99:BJ99)</f>
        <v/>
      </c>
      <c r="W37" s="54">
        <f>SUM(Weekly_Tracker!BK99:BO99)</f>
        <v/>
      </c>
      <c r="X37" s="53">
        <f>H37</f>
        <v/>
      </c>
      <c r="Y37" s="53">
        <f>X37+I37</f>
        <v/>
      </c>
      <c r="Z37" s="53">
        <f>Y37+J37</f>
        <v/>
      </c>
      <c r="AA37" s="53">
        <f>Z37+K37</f>
        <v/>
      </c>
      <c r="AB37" s="85" t="n"/>
      <c r="AC37" s="86">
        <f>IF($B37="","",IF(AB37=0,"chưa nhập FY target",IF(ROUND(G37-AB37,2)=0,"OK","Lệch "&amp;TEXT(G37-AB37,"#,##0"))))</f>
        <v/>
      </c>
    </row>
    <row r="38">
      <c r="A38" s="81">
        <f>IF($B38="","",$B38&amp;"|"&amp;$D38)</f>
        <v/>
      </c>
      <c r="B38" s="82">
        <f>IFERROR(INDEX(Team_Master!$C$6:$C$20,7),"")</f>
        <v/>
      </c>
      <c r="C38" s="83">
        <f>IFERROR(INDEX(Team_Master!$G$6:$G$20,7),"")</f>
        <v/>
      </c>
      <c r="D38" s="71" t="inlineStr">
        <is>
          <t>K3</t>
        </is>
      </c>
      <c r="E38" s="38" t="inlineStr">
        <is>
          <t>Spec-in Value</t>
        </is>
      </c>
      <c r="F38" s="72" t="inlineStr">
        <is>
          <t>MVND</t>
        </is>
      </c>
      <c r="G38" s="56">
        <f>SUM(H38:K38)</f>
        <v/>
      </c>
      <c r="H38" s="84">
        <f>SUM(L38:N38)</f>
        <v/>
      </c>
      <c r="I38" s="84">
        <f>SUM(O38:Q38)</f>
        <v/>
      </c>
      <c r="J38" s="84">
        <f>SUM(R38:T38)</f>
        <v/>
      </c>
      <c r="K38" s="84">
        <f>SUM(U38:W38)</f>
        <v/>
      </c>
      <c r="L38" s="54">
        <f>SUM(Weekly_Tracker!H102:L102)</f>
        <v/>
      </c>
      <c r="M38" s="54">
        <f>SUM(Weekly_Tracker!M102:Q102)</f>
        <v/>
      </c>
      <c r="N38" s="54">
        <f>SUM(Weekly_Tracker!R102:V102)</f>
        <v/>
      </c>
      <c r="O38" s="54">
        <f>SUM(Weekly_Tracker!W102:AA102)</f>
        <v/>
      </c>
      <c r="P38" s="54">
        <f>SUM(Weekly_Tracker!AB102:AF102)</f>
        <v/>
      </c>
      <c r="Q38" s="54">
        <f>SUM(Weekly_Tracker!AG102:AK102)</f>
        <v/>
      </c>
      <c r="R38" s="54">
        <f>SUM(Weekly_Tracker!AL102:AP102)</f>
        <v/>
      </c>
      <c r="S38" s="54">
        <f>SUM(Weekly_Tracker!AQ102:AU102)</f>
        <v/>
      </c>
      <c r="T38" s="54">
        <f>SUM(Weekly_Tracker!AV102:AZ102)</f>
        <v/>
      </c>
      <c r="U38" s="54">
        <f>SUM(Weekly_Tracker!BA102:BE102)</f>
        <v/>
      </c>
      <c r="V38" s="54">
        <f>SUM(Weekly_Tracker!BF102:BJ102)</f>
        <v/>
      </c>
      <c r="W38" s="54">
        <f>SUM(Weekly_Tracker!BK102:BO102)</f>
        <v/>
      </c>
      <c r="X38" s="53">
        <f>H38</f>
        <v/>
      </c>
      <c r="Y38" s="53">
        <f>X38+I38</f>
        <v/>
      </c>
      <c r="Z38" s="53">
        <f>Y38+J38</f>
        <v/>
      </c>
      <c r="AA38" s="53">
        <f>Z38+K38</f>
        <v/>
      </c>
      <c r="AB38" s="85" t="n"/>
      <c r="AC38" s="86">
        <f>IF($B38="","",IF(AB38=0,"chưa nhập FY target",IF(ROUND(G38-AB38,2)=0,"OK","Lệch "&amp;TEXT(G38-AB38,"#,##0"))))</f>
        <v/>
      </c>
    </row>
    <row r="39">
      <c r="A39" s="81">
        <f>IF($B39="","",$B39&amp;"|"&amp;$D39)</f>
        <v/>
      </c>
      <c r="B39" s="82">
        <f>IFERROR(INDEX(Team_Master!$C$6:$C$20,7),"")</f>
        <v/>
      </c>
      <c r="C39" s="83">
        <f>IFERROR(INDEX(Team_Master!$G$6:$G$20,7),"")</f>
        <v/>
      </c>
      <c r="D39" s="71" t="inlineStr">
        <is>
          <t>K4</t>
        </is>
      </c>
      <c r="E39" s="38" t="inlineStr">
        <is>
          <t>Engaged Architect (Submit Design)</t>
        </is>
      </c>
      <c r="F39" s="72" t="inlineStr">
        <is>
          <t>D&amp;B</t>
        </is>
      </c>
      <c r="G39" s="56">
        <f>SUM(H39:K39)</f>
        <v/>
      </c>
      <c r="H39" s="84">
        <f>SUM(L39:N39)</f>
        <v/>
      </c>
      <c r="I39" s="84">
        <f>SUM(O39:Q39)</f>
        <v/>
      </c>
      <c r="J39" s="84">
        <f>SUM(R39:T39)</f>
        <v/>
      </c>
      <c r="K39" s="84">
        <f>SUM(U39:W39)</f>
        <v/>
      </c>
      <c r="L39" s="54">
        <f>SUM(Weekly_Tracker!H105:L105)</f>
        <v/>
      </c>
      <c r="M39" s="54">
        <f>SUM(Weekly_Tracker!M105:Q105)</f>
        <v/>
      </c>
      <c r="N39" s="54">
        <f>SUM(Weekly_Tracker!R105:V105)</f>
        <v/>
      </c>
      <c r="O39" s="54">
        <f>SUM(Weekly_Tracker!W105:AA105)</f>
        <v/>
      </c>
      <c r="P39" s="54">
        <f>SUM(Weekly_Tracker!AB105:AF105)</f>
        <v/>
      </c>
      <c r="Q39" s="54">
        <f>SUM(Weekly_Tracker!AG105:AK105)</f>
        <v/>
      </c>
      <c r="R39" s="54">
        <f>SUM(Weekly_Tracker!AL105:AP105)</f>
        <v/>
      </c>
      <c r="S39" s="54">
        <f>SUM(Weekly_Tracker!AQ105:AU105)</f>
        <v/>
      </c>
      <c r="T39" s="54">
        <f>SUM(Weekly_Tracker!AV105:AZ105)</f>
        <v/>
      </c>
      <c r="U39" s="54">
        <f>SUM(Weekly_Tracker!BA105:BE105)</f>
        <v/>
      </c>
      <c r="V39" s="54">
        <f>SUM(Weekly_Tracker!BF105:BJ105)</f>
        <v/>
      </c>
      <c r="W39" s="54">
        <f>SUM(Weekly_Tracker!BK105:BO105)</f>
        <v/>
      </c>
      <c r="X39" s="53">
        <f>H39</f>
        <v/>
      </c>
      <c r="Y39" s="53">
        <f>X39+I39</f>
        <v/>
      </c>
      <c r="Z39" s="53">
        <f>Y39+J39</f>
        <v/>
      </c>
      <c r="AA39" s="53">
        <f>Z39+K39</f>
        <v/>
      </c>
      <c r="AB39" s="85" t="n"/>
      <c r="AC39" s="86">
        <f>IF($B39="","",IF(AB39=0,"chưa nhập FY target",IF(ROUND(G39-AB39,2)=0,"OK","Lệch "&amp;TEXT(G39-AB39,"#,##0"))))</f>
        <v/>
      </c>
    </row>
    <row r="40">
      <c r="A40" s="81">
        <f>IF($B40="","",$B40&amp;"|"&amp;$D40)</f>
        <v/>
      </c>
      <c r="B40" s="82">
        <f>IFERROR(INDEX(Team_Master!$C$6:$C$20,7),"")</f>
        <v/>
      </c>
      <c r="C40" s="83">
        <f>IFERROR(INDEX(Team_Master!$G$6:$G$20,7),"")</f>
        <v/>
      </c>
      <c r="D40" s="73" t="inlineStr">
        <is>
          <t>K5</t>
        </is>
      </c>
      <c r="E40" s="42" t="inlineStr">
        <is>
          <t>Spec-in Design (submitted design)</t>
        </is>
      </c>
      <c r="F40" s="74" t="inlineStr">
        <is>
          <t>Designs</t>
        </is>
      </c>
      <c r="G40" s="56">
        <f>SUM(H40:K40)</f>
        <v/>
      </c>
      <c r="H40" s="84">
        <f>SUM(L40:N40)</f>
        <v/>
      </c>
      <c r="I40" s="84">
        <f>SUM(O40:Q40)</f>
        <v/>
      </c>
      <c r="J40" s="84">
        <f>SUM(R40:T40)</f>
        <v/>
      </c>
      <c r="K40" s="84">
        <f>SUM(U40:W40)</f>
        <v/>
      </c>
      <c r="L40" s="54">
        <f>SUM(Weekly_Tracker!H108:L108)</f>
        <v/>
      </c>
      <c r="M40" s="54">
        <f>SUM(Weekly_Tracker!M108:Q108)</f>
        <v/>
      </c>
      <c r="N40" s="54">
        <f>SUM(Weekly_Tracker!R108:V108)</f>
        <v/>
      </c>
      <c r="O40" s="54">
        <f>SUM(Weekly_Tracker!W108:AA108)</f>
        <v/>
      </c>
      <c r="P40" s="54">
        <f>SUM(Weekly_Tracker!AB108:AF108)</f>
        <v/>
      </c>
      <c r="Q40" s="54">
        <f>SUM(Weekly_Tracker!AG108:AK108)</f>
        <v/>
      </c>
      <c r="R40" s="54">
        <f>SUM(Weekly_Tracker!AL108:AP108)</f>
        <v/>
      </c>
      <c r="S40" s="54">
        <f>SUM(Weekly_Tracker!AQ108:AU108)</f>
        <v/>
      </c>
      <c r="T40" s="54">
        <f>SUM(Weekly_Tracker!AV108:AZ108)</f>
        <v/>
      </c>
      <c r="U40" s="54">
        <f>SUM(Weekly_Tracker!BA108:BE108)</f>
        <v/>
      </c>
      <c r="V40" s="54">
        <f>SUM(Weekly_Tracker!BF108:BJ108)</f>
        <v/>
      </c>
      <c r="W40" s="54">
        <f>SUM(Weekly_Tracker!BK108:BO108)</f>
        <v/>
      </c>
      <c r="X40" s="53">
        <f>H40</f>
        <v/>
      </c>
      <c r="Y40" s="53">
        <f>X40+I40</f>
        <v/>
      </c>
      <c r="Z40" s="53">
        <f>Y40+J40</f>
        <v/>
      </c>
      <c r="AA40" s="53">
        <f>Z40+K40</f>
        <v/>
      </c>
      <c r="AB40" s="85" t="n"/>
      <c r="AC40" s="86">
        <f>IF($B40="","",IF(AB40=0,"chưa nhập FY target",IF(ROUND(G40-AB40,2)=0,"OK","Lệch "&amp;TEXT(G40-AB40,"#,##0"))))</f>
        <v/>
      </c>
    </row>
    <row r="41">
      <c r="A41" s="87">
        <f>IF($B41="","",$B41&amp;"|"&amp;$D41)</f>
        <v/>
      </c>
      <c r="B41" s="88">
        <f>IFERROR(INDEX(Team_Master!$C$6:$C$20,8),"")</f>
        <v/>
      </c>
      <c r="C41" s="89">
        <f>IFERROR(INDEX(Team_Master!$G$6:$G$20,8),"")</f>
        <v/>
      </c>
      <c r="D41" s="63" t="inlineStr">
        <is>
          <t>K1</t>
        </is>
      </c>
      <c r="E41" s="12" t="inlineStr">
        <is>
          <t>Invoiced Value</t>
        </is>
      </c>
      <c r="F41" s="64" t="inlineStr">
        <is>
          <t>MVND</t>
        </is>
      </c>
      <c r="G41" s="56">
        <f>SUM(H41:K41)</f>
        <v/>
      </c>
      <c r="H41" s="84">
        <f>SUM(L41:N41)</f>
        <v/>
      </c>
      <c r="I41" s="84">
        <f>SUM(O41:Q41)</f>
        <v/>
      </c>
      <c r="J41" s="84">
        <f>SUM(R41:T41)</f>
        <v/>
      </c>
      <c r="K41" s="84">
        <f>SUM(U41:W41)</f>
        <v/>
      </c>
      <c r="L41" s="90">
        <f>SUM(Weekly_Tracker!H111:L111)</f>
        <v/>
      </c>
      <c r="M41" s="90">
        <f>SUM(Weekly_Tracker!M111:Q111)</f>
        <v/>
      </c>
      <c r="N41" s="90">
        <f>SUM(Weekly_Tracker!R111:V111)</f>
        <v/>
      </c>
      <c r="O41" s="90">
        <f>SUM(Weekly_Tracker!W111:AA111)</f>
        <v/>
      </c>
      <c r="P41" s="90">
        <f>SUM(Weekly_Tracker!AB111:AF111)</f>
        <v/>
      </c>
      <c r="Q41" s="90">
        <f>SUM(Weekly_Tracker!AG111:AK111)</f>
        <v/>
      </c>
      <c r="R41" s="90">
        <f>SUM(Weekly_Tracker!AL111:AP111)</f>
        <v/>
      </c>
      <c r="S41" s="90">
        <f>SUM(Weekly_Tracker!AQ111:AU111)</f>
        <v/>
      </c>
      <c r="T41" s="90">
        <f>SUM(Weekly_Tracker!AV111:AZ111)</f>
        <v/>
      </c>
      <c r="U41" s="90">
        <f>SUM(Weekly_Tracker!BA111:BE111)</f>
        <v/>
      </c>
      <c r="V41" s="90">
        <f>SUM(Weekly_Tracker!BF111:BJ111)</f>
        <v/>
      </c>
      <c r="W41" s="90">
        <f>SUM(Weekly_Tracker!BK111:BO111)</f>
        <v/>
      </c>
      <c r="X41" s="91">
        <f>H41</f>
        <v/>
      </c>
      <c r="Y41" s="91">
        <f>X41+I41</f>
        <v/>
      </c>
      <c r="Z41" s="91">
        <f>Y41+J41</f>
        <v/>
      </c>
      <c r="AA41" s="91">
        <f>Z41+K41</f>
        <v/>
      </c>
      <c r="AB41" s="85" t="n"/>
      <c r="AC41" s="86">
        <f>IF($B41="","",IF(AB41=0,"chưa nhập FY target",IF(ROUND(G41-AB41,2)=0,"OK","Lệch "&amp;TEXT(G41-AB41,"#,##0"))))</f>
        <v/>
      </c>
    </row>
    <row r="42">
      <c r="A42" s="87">
        <f>IF($B42="","",$B42&amp;"|"&amp;$D42)</f>
        <v/>
      </c>
      <c r="B42" s="88">
        <f>IFERROR(INDEX(Team_Master!$C$6:$C$20,8),"")</f>
        <v/>
      </c>
      <c r="C42" s="89">
        <f>IFERROR(INDEX(Team_Master!$G$6:$G$20,8),"")</f>
        <v/>
      </c>
      <c r="D42" s="63" t="inlineStr">
        <is>
          <t>K2</t>
        </is>
      </c>
      <c r="E42" s="12" t="inlineStr">
        <is>
          <t>Key account approach / Site check</t>
        </is>
      </c>
      <c r="F42" s="64" t="inlineStr">
        <is>
          <t>Roadshow</t>
        </is>
      </c>
      <c r="G42" s="56">
        <f>SUM(H42:K42)</f>
        <v/>
      </c>
      <c r="H42" s="84">
        <f>SUM(L42:N42)</f>
        <v/>
      </c>
      <c r="I42" s="84">
        <f>SUM(O42:Q42)</f>
        <v/>
      </c>
      <c r="J42" s="84">
        <f>SUM(R42:T42)</f>
        <v/>
      </c>
      <c r="K42" s="84">
        <f>SUM(U42:W42)</f>
        <v/>
      </c>
      <c r="L42" s="90">
        <f>SUM(Weekly_Tracker!H114:L114)</f>
        <v/>
      </c>
      <c r="M42" s="90">
        <f>SUM(Weekly_Tracker!M114:Q114)</f>
        <v/>
      </c>
      <c r="N42" s="90">
        <f>SUM(Weekly_Tracker!R114:V114)</f>
        <v/>
      </c>
      <c r="O42" s="90">
        <f>SUM(Weekly_Tracker!W114:AA114)</f>
        <v/>
      </c>
      <c r="P42" s="90">
        <f>SUM(Weekly_Tracker!AB114:AF114)</f>
        <v/>
      </c>
      <c r="Q42" s="90">
        <f>SUM(Weekly_Tracker!AG114:AK114)</f>
        <v/>
      </c>
      <c r="R42" s="90">
        <f>SUM(Weekly_Tracker!AL114:AP114)</f>
        <v/>
      </c>
      <c r="S42" s="90">
        <f>SUM(Weekly_Tracker!AQ114:AU114)</f>
        <v/>
      </c>
      <c r="T42" s="90">
        <f>SUM(Weekly_Tracker!AV114:AZ114)</f>
        <v/>
      </c>
      <c r="U42" s="90">
        <f>SUM(Weekly_Tracker!BA114:BE114)</f>
        <v/>
      </c>
      <c r="V42" s="90">
        <f>SUM(Weekly_Tracker!BF114:BJ114)</f>
        <v/>
      </c>
      <c r="W42" s="90">
        <f>SUM(Weekly_Tracker!BK114:BO114)</f>
        <v/>
      </c>
      <c r="X42" s="91">
        <f>H42</f>
        <v/>
      </c>
      <c r="Y42" s="91">
        <f>X42+I42</f>
        <v/>
      </c>
      <c r="Z42" s="91">
        <f>Y42+J42</f>
        <v/>
      </c>
      <c r="AA42" s="91">
        <f>Z42+K42</f>
        <v/>
      </c>
      <c r="AB42" s="85" t="n"/>
      <c r="AC42" s="86">
        <f>IF($B42="","",IF(AB42=0,"chưa nhập FY target",IF(ROUND(G42-AB42,2)=0,"OK","Lệch "&amp;TEXT(G42-AB42,"#,##0"))))</f>
        <v/>
      </c>
    </row>
    <row r="43">
      <c r="A43" s="87">
        <f>IF($B43="","",$B43&amp;"|"&amp;$D43)</f>
        <v/>
      </c>
      <c r="B43" s="88">
        <f>IFERROR(INDEX(Team_Master!$C$6:$C$20,8),"")</f>
        <v/>
      </c>
      <c r="C43" s="89">
        <f>IFERROR(INDEX(Team_Master!$G$6:$G$20,8),"")</f>
        <v/>
      </c>
      <c r="D43" s="71" t="inlineStr">
        <is>
          <t>K3</t>
        </is>
      </c>
      <c r="E43" s="38" t="inlineStr">
        <is>
          <t>Spec-in Value</t>
        </is>
      </c>
      <c r="F43" s="72" t="inlineStr">
        <is>
          <t>MVND</t>
        </is>
      </c>
      <c r="G43" s="56">
        <f>SUM(H43:K43)</f>
        <v/>
      </c>
      <c r="H43" s="84">
        <f>SUM(L43:N43)</f>
        <v/>
      </c>
      <c r="I43" s="84">
        <f>SUM(O43:Q43)</f>
        <v/>
      </c>
      <c r="J43" s="84">
        <f>SUM(R43:T43)</f>
        <v/>
      </c>
      <c r="K43" s="84">
        <f>SUM(U43:W43)</f>
        <v/>
      </c>
      <c r="L43" s="90">
        <f>SUM(Weekly_Tracker!H117:L117)</f>
        <v/>
      </c>
      <c r="M43" s="90">
        <f>SUM(Weekly_Tracker!M117:Q117)</f>
        <v/>
      </c>
      <c r="N43" s="90">
        <f>SUM(Weekly_Tracker!R117:V117)</f>
        <v/>
      </c>
      <c r="O43" s="90">
        <f>SUM(Weekly_Tracker!W117:AA117)</f>
        <v/>
      </c>
      <c r="P43" s="90">
        <f>SUM(Weekly_Tracker!AB117:AF117)</f>
        <v/>
      </c>
      <c r="Q43" s="90">
        <f>SUM(Weekly_Tracker!AG117:AK117)</f>
        <v/>
      </c>
      <c r="R43" s="90">
        <f>SUM(Weekly_Tracker!AL117:AP117)</f>
        <v/>
      </c>
      <c r="S43" s="90">
        <f>SUM(Weekly_Tracker!AQ117:AU117)</f>
        <v/>
      </c>
      <c r="T43" s="90">
        <f>SUM(Weekly_Tracker!AV117:AZ117)</f>
        <v/>
      </c>
      <c r="U43" s="90">
        <f>SUM(Weekly_Tracker!BA117:BE117)</f>
        <v/>
      </c>
      <c r="V43" s="90">
        <f>SUM(Weekly_Tracker!BF117:BJ117)</f>
        <v/>
      </c>
      <c r="W43" s="90">
        <f>SUM(Weekly_Tracker!BK117:BO117)</f>
        <v/>
      </c>
      <c r="X43" s="91">
        <f>H43</f>
        <v/>
      </c>
      <c r="Y43" s="91">
        <f>X43+I43</f>
        <v/>
      </c>
      <c r="Z43" s="91">
        <f>Y43+J43</f>
        <v/>
      </c>
      <c r="AA43" s="91">
        <f>Z43+K43</f>
        <v/>
      </c>
      <c r="AB43" s="85" t="n"/>
      <c r="AC43" s="86">
        <f>IF($B43="","",IF(AB43=0,"chưa nhập FY target",IF(ROUND(G43-AB43,2)=0,"OK","Lệch "&amp;TEXT(G43-AB43,"#,##0"))))</f>
        <v/>
      </c>
    </row>
    <row r="44">
      <c r="A44" s="87">
        <f>IF($B44="","",$B44&amp;"|"&amp;$D44)</f>
        <v/>
      </c>
      <c r="B44" s="88">
        <f>IFERROR(INDEX(Team_Master!$C$6:$C$20,8),"")</f>
        <v/>
      </c>
      <c r="C44" s="89">
        <f>IFERROR(INDEX(Team_Master!$G$6:$G$20,8),"")</f>
        <v/>
      </c>
      <c r="D44" s="71" t="inlineStr">
        <is>
          <t>K4</t>
        </is>
      </c>
      <c r="E44" s="38" t="inlineStr">
        <is>
          <t>Engaged Architect (Submit Design)</t>
        </is>
      </c>
      <c r="F44" s="72" t="inlineStr">
        <is>
          <t>D&amp;B</t>
        </is>
      </c>
      <c r="G44" s="56">
        <f>SUM(H44:K44)</f>
        <v/>
      </c>
      <c r="H44" s="84">
        <f>SUM(L44:N44)</f>
        <v/>
      </c>
      <c r="I44" s="84">
        <f>SUM(O44:Q44)</f>
        <v/>
      </c>
      <c r="J44" s="84">
        <f>SUM(R44:T44)</f>
        <v/>
      </c>
      <c r="K44" s="84">
        <f>SUM(U44:W44)</f>
        <v/>
      </c>
      <c r="L44" s="90">
        <f>SUM(Weekly_Tracker!H120:L120)</f>
        <v/>
      </c>
      <c r="M44" s="90">
        <f>SUM(Weekly_Tracker!M120:Q120)</f>
        <v/>
      </c>
      <c r="N44" s="90">
        <f>SUM(Weekly_Tracker!R120:V120)</f>
        <v/>
      </c>
      <c r="O44" s="90">
        <f>SUM(Weekly_Tracker!W120:AA120)</f>
        <v/>
      </c>
      <c r="P44" s="90">
        <f>SUM(Weekly_Tracker!AB120:AF120)</f>
        <v/>
      </c>
      <c r="Q44" s="90">
        <f>SUM(Weekly_Tracker!AG120:AK120)</f>
        <v/>
      </c>
      <c r="R44" s="90">
        <f>SUM(Weekly_Tracker!AL120:AP120)</f>
        <v/>
      </c>
      <c r="S44" s="90">
        <f>SUM(Weekly_Tracker!AQ120:AU120)</f>
        <v/>
      </c>
      <c r="T44" s="90">
        <f>SUM(Weekly_Tracker!AV120:AZ120)</f>
        <v/>
      </c>
      <c r="U44" s="90">
        <f>SUM(Weekly_Tracker!BA120:BE120)</f>
        <v/>
      </c>
      <c r="V44" s="90">
        <f>SUM(Weekly_Tracker!BF120:BJ120)</f>
        <v/>
      </c>
      <c r="W44" s="90">
        <f>SUM(Weekly_Tracker!BK120:BO120)</f>
        <v/>
      </c>
      <c r="X44" s="91">
        <f>H44</f>
        <v/>
      </c>
      <c r="Y44" s="91">
        <f>X44+I44</f>
        <v/>
      </c>
      <c r="Z44" s="91">
        <f>Y44+J44</f>
        <v/>
      </c>
      <c r="AA44" s="91">
        <f>Z44+K44</f>
        <v/>
      </c>
      <c r="AB44" s="85" t="n"/>
      <c r="AC44" s="86">
        <f>IF($B44="","",IF(AB44=0,"chưa nhập FY target",IF(ROUND(G44-AB44,2)=0,"OK","Lệch "&amp;TEXT(G44-AB44,"#,##0"))))</f>
        <v/>
      </c>
    </row>
    <row r="45">
      <c r="A45" s="87">
        <f>IF($B45="","",$B45&amp;"|"&amp;$D45)</f>
        <v/>
      </c>
      <c r="B45" s="88">
        <f>IFERROR(INDEX(Team_Master!$C$6:$C$20,8),"")</f>
        <v/>
      </c>
      <c r="C45" s="89">
        <f>IFERROR(INDEX(Team_Master!$G$6:$G$20,8),"")</f>
        <v/>
      </c>
      <c r="D45" s="73" t="inlineStr">
        <is>
          <t>K5</t>
        </is>
      </c>
      <c r="E45" s="42" t="inlineStr">
        <is>
          <t>Spec-in Design (submitted design)</t>
        </is>
      </c>
      <c r="F45" s="74" t="inlineStr">
        <is>
          <t>Designs</t>
        </is>
      </c>
      <c r="G45" s="56">
        <f>SUM(H45:K45)</f>
        <v/>
      </c>
      <c r="H45" s="84">
        <f>SUM(L45:N45)</f>
        <v/>
      </c>
      <c r="I45" s="84">
        <f>SUM(O45:Q45)</f>
        <v/>
      </c>
      <c r="J45" s="84">
        <f>SUM(R45:T45)</f>
        <v/>
      </c>
      <c r="K45" s="84">
        <f>SUM(U45:W45)</f>
        <v/>
      </c>
      <c r="L45" s="90">
        <f>SUM(Weekly_Tracker!H123:L123)</f>
        <v/>
      </c>
      <c r="M45" s="90">
        <f>SUM(Weekly_Tracker!M123:Q123)</f>
        <v/>
      </c>
      <c r="N45" s="90">
        <f>SUM(Weekly_Tracker!R123:V123)</f>
        <v/>
      </c>
      <c r="O45" s="90">
        <f>SUM(Weekly_Tracker!W123:AA123)</f>
        <v/>
      </c>
      <c r="P45" s="90">
        <f>SUM(Weekly_Tracker!AB123:AF123)</f>
        <v/>
      </c>
      <c r="Q45" s="90">
        <f>SUM(Weekly_Tracker!AG123:AK123)</f>
        <v/>
      </c>
      <c r="R45" s="90">
        <f>SUM(Weekly_Tracker!AL123:AP123)</f>
        <v/>
      </c>
      <c r="S45" s="90">
        <f>SUM(Weekly_Tracker!AQ123:AU123)</f>
        <v/>
      </c>
      <c r="T45" s="90">
        <f>SUM(Weekly_Tracker!AV123:AZ123)</f>
        <v/>
      </c>
      <c r="U45" s="90">
        <f>SUM(Weekly_Tracker!BA123:BE123)</f>
        <v/>
      </c>
      <c r="V45" s="90">
        <f>SUM(Weekly_Tracker!BF123:BJ123)</f>
        <v/>
      </c>
      <c r="W45" s="90">
        <f>SUM(Weekly_Tracker!BK123:BO123)</f>
        <v/>
      </c>
      <c r="X45" s="91">
        <f>H45</f>
        <v/>
      </c>
      <c r="Y45" s="91">
        <f>X45+I45</f>
        <v/>
      </c>
      <c r="Z45" s="91">
        <f>Y45+J45</f>
        <v/>
      </c>
      <c r="AA45" s="91">
        <f>Z45+K45</f>
        <v/>
      </c>
      <c r="AB45" s="85" t="n"/>
      <c r="AC45" s="86">
        <f>IF($B45="","",IF(AB45=0,"chưa nhập FY target",IF(ROUND(G45-AB45,2)=0,"OK","Lệch "&amp;TEXT(G45-AB45,"#,##0"))))</f>
        <v/>
      </c>
    </row>
    <row r="46">
      <c r="A46" s="81">
        <f>IF($B46="","",$B46&amp;"|"&amp;$D46)</f>
        <v/>
      </c>
      <c r="B46" s="82">
        <f>IFERROR(INDEX(Team_Master!$C$6:$C$20,9),"")</f>
        <v/>
      </c>
      <c r="C46" s="83">
        <f>IFERROR(INDEX(Team_Master!$G$6:$G$20,9),"")</f>
        <v/>
      </c>
      <c r="D46" s="63" t="inlineStr">
        <is>
          <t>K1</t>
        </is>
      </c>
      <c r="E46" s="12" t="inlineStr">
        <is>
          <t>Invoiced Value</t>
        </is>
      </c>
      <c r="F46" s="64" t="inlineStr">
        <is>
          <t>MVND</t>
        </is>
      </c>
      <c r="G46" s="56">
        <f>SUM(H46:K46)</f>
        <v/>
      </c>
      <c r="H46" s="84">
        <f>SUM(L46:N46)</f>
        <v/>
      </c>
      <c r="I46" s="84">
        <f>SUM(O46:Q46)</f>
        <v/>
      </c>
      <c r="J46" s="84">
        <f>SUM(R46:T46)</f>
        <v/>
      </c>
      <c r="K46" s="84">
        <f>SUM(U46:W46)</f>
        <v/>
      </c>
      <c r="L46" s="54">
        <f>SUM(Weekly_Tracker!H126:L126)</f>
        <v/>
      </c>
      <c r="M46" s="54">
        <f>SUM(Weekly_Tracker!M126:Q126)</f>
        <v/>
      </c>
      <c r="N46" s="54">
        <f>SUM(Weekly_Tracker!R126:V126)</f>
        <v/>
      </c>
      <c r="O46" s="54">
        <f>SUM(Weekly_Tracker!W126:AA126)</f>
        <v/>
      </c>
      <c r="P46" s="54">
        <f>SUM(Weekly_Tracker!AB126:AF126)</f>
        <v/>
      </c>
      <c r="Q46" s="54">
        <f>SUM(Weekly_Tracker!AG126:AK126)</f>
        <v/>
      </c>
      <c r="R46" s="54">
        <f>SUM(Weekly_Tracker!AL126:AP126)</f>
        <v/>
      </c>
      <c r="S46" s="54">
        <f>SUM(Weekly_Tracker!AQ126:AU126)</f>
        <v/>
      </c>
      <c r="T46" s="54">
        <f>SUM(Weekly_Tracker!AV126:AZ126)</f>
        <v/>
      </c>
      <c r="U46" s="54">
        <f>SUM(Weekly_Tracker!BA126:BE126)</f>
        <v/>
      </c>
      <c r="V46" s="54">
        <f>SUM(Weekly_Tracker!BF126:BJ126)</f>
        <v/>
      </c>
      <c r="W46" s="54">
        <f>SUM(Weekly_Tracker!BK126:BO126)</f>
        <v/>
      </c>
      <c r="X46" s="53">
        <f>H46</f>
        <v/>
      </c>
      <c r="Y46" s="53">
        <f>X46+I46</f>
        <v/>
      </c>
      <c r="Z46" s="53">
        <f>Y46+J46</f>
        <v/>
      </c>
      <c r="AA46" s="53">
        <f>Z46+K46</f>
        <v/>
      </c>
      <c r="AB46" s="85" t="n"/>
      <c r="AC46" s="86">
        <f>IF($B46="","",IF(AB46=0,"chưa nhập FY target",IF(ROUND(G46-AB46,2)=0,"OK","Lệch "&amp;TEXT(G46-AB46,"#,##0"))))</f>
        <v/>
      </c>
    </row>
    <row r="47">
      <c r="A47" s="81">
        <f>IF($B47="","",$B47&amp;"|"&amp;$D47)</f>
        <v/>
      </c>
      <c r="B47" s="82">
        <f>IFERROR(INDEX(Team_Master!$C$6:$C$20,9),"")</f>
        <v/>
      </c>
      <c r="C47" s="83">
        <f>IFERROR(INDEX(Team_Master!$G$6:$G$20,9),"")</f>
        <v/>
      </c>
      <c r="D47" s="63" t="inlineStr">
        <is>
          <t>K2</t>
        </is>
      </c>
      <c r="E47" s="12" t="inlineStr">
        <is>
          <t>Key account approach / Site check</t>
        </is>
      </c>
      <c r="F47" s="64" t="inlineStr">
        <is>
          <t>Roadshow</t>
        </is>
      </c>
      <c r="G47" s="56">
        <f>SUM(H47:K47)</f>
        <v/>
      </c>
      <c r="H47" s="84">
        <f>SUM(L47:N47)</f>
        <v/>
      </c>
      <c r="I47" s="84">
        <f>SUM(O47:Q47)</f>
        <v/>
      </c>
      <c r="J47" s="84">
        <f>SUM(R47:T47)</f>
        <v/>
      </c>
      <c r="K47" s="84">
        <f>SUM(U47:W47)</f>
        <v/>
      </c>
      <c r="L47" s="54">
        <f>SUM(Weekly_Tracker!H129:L129)</f>
        <v/>
      </c>
      <c r="M47" s="54">
        <f>SUM(Weekly_Tracker!M129:Q129)</f>
        <v/>
      </c>
      <c r="N47" s="54">
        <f>SUM(Weekly_Tracker!R129:V129)</f>
        <v/>
      </c>
      <c r="O47" s="54">
        <f>SUM(Weekly_Tracker!W129:AA129)</f>
        <v/>
      </c>
      <c r="P47" s="54">
        <f>SUM(Weekly_Tracker!AB129:AF129)</f>
        <v/>
      </c>
      <c r="Q47" s="54">
        <f>SUM(Weekly_Tracker!AG129:AK129)</f>
        <v/>
      </c>
      <c r="R47" s="54">
        <f>SUM(Weekly_Tracker!AL129:AP129)</f>
        <v/>
      </c>
      <c r="S47" s="54">
        <f>SUM(Weekly_Tracker!AQ129:AU129)</f>
        <v/>
      </c>
      <c r="T47" s="54">
        <f>SUM(Weekly_Tracker!AV129:AZ129)</f>
        <v/>
      </c>
      <c r="U47" s="54">
        <f>SUM(Weekly_Tracker!BA129:BE129)</f>
        <v/>
      </c>
      <c r="V47" s="54">
        <f>SUM(Weekly_Tracker!BF129:BJ129)</f>
        <v/>
      </c>
      <c r="W47" s="54">
        <f>SUM(Weekly_Tracker!BK129:BO129)</f>
        <v/>
      </c>
      <c r="X47" s="53">
        <f>H47</f>
        <v/>
      </c>
      <c r="Y47" s="53">
        <f>X47+I47</f>
        <v/>
      </c>
      <c r="Z47" s="53">
        <f>Y47+J47</f>
        <v/>
      </c>
      <c r="AA47" s="53">
        <f>Z47+K47</f>
        <v/>
      </c>
      <c r="AB47" s="85" t="n"/>
      <c r="AC47" s="86">
        <f>IF($B47="","",IF(AB47=0,"chưa nhập FY target",IF(ROUND(G47-AB47,2)=0,"OK","Lệch "&amp;TEXT(G47-AB47,"#,##0"))))</f>
        <v/>
      </c>
    </row>
    <row r="48">
      <c r="A48" s="81">
        <f>IF($B48="","",$B48&amp;"|"&amp;$D48)</f>
        <v/>
      </c>
      <c r="B48" s="82">
        <f>IFERROR(INDEX(Team_Master!$C$6:$C$20,9),"")</f>
        <v/>
      </c>
      <c r="C48" s="83">
        <f>IFERROR(INDEX(Team_Master!$G$6:$G$20,9),"")</f>
        <v/>
      </c>
      <c r="D48" s="71" t="inlineStr">
        <is>
          <t>K3</t>
        </is>
      </c>
      <c r="E48" s="38" t="inlineStr">
        <is>
          <t>Spec-in Value</t>
        </is>
      </c>
      <c r="F48" s="72" t="inlineStr">
        <is>
          <t>MVND</t>
        </is>
      </c>
      <c r="G48" s="56">
        <f>SUM(H48:K48)</f>
        <v/>
      </c>
      <c r="H48" s="84">
        <f>SUM(L48:N48)</f>
        <v/>
      </c>
      <c r="I48" s="84">
        <f>SUM(O48:Q48)</f>
        <v/>
      </c>
      <c r="J48" s="84">
        <f>SUM(R48:T48)</f>
        <v/>
      </c>
      <c r="K48" s="84">
        <f>SUM(U48:W48)</f>
        <v/>
      </c>
      <c r="L48" s="54">
        <f>SUM(Weekly_Tracker!H132:L132)</f>
        <v/>
      </c>
      <c r="M48" s="54">
        <f>SUM(Weekly_Tracker!M132:Q132)</f>
        <v/>
      </c>
      <c r="N48" s="54">
        <f>SUM(Weekly_Tracker!R132:V132)</f>
        <v/>
      </c>
      <c r="O48" s="54">
        <f>SUM(Weekly_Tracker!W132:AA132)</f>
        <v/>
      </c>
      <c r="P48" s="54">
        <f>SUM(Weekly_Tracker!AB132:AF132)</f>
        <v/>
      </c>
      <c r="Q48" s="54">
        <f>SUM(Weekly_Tracker!AG132:AK132)</f>
        <v/>
      </c>
      <c r="R48" s="54">
        <f>SUM(Weekly_Tracker!AL132:AP132)</f>
        <v/>
      </c>
      <c r="S48" s="54">
        <f>SUM(Weekly_Tracker!AQ132:AU132)</f>
        <v/>
      </c>
      <c r="T48" s="54">
        <f>SUM(Weekly_Tracker!AV132:AZ132)</f>
        <v/>
      </c>
      <c r="U48" s="54">
        <f>SUM(Weekly_Tracker!BA132:BE132)</f>
        <v/>
      </c>
      <c r="V48" s="54">
        <f>SUM(Weekly_Tracker!BF132:BJ132)</f>
        <v/>
      </c>
      <c r="W48" s="54">
        <f>SUM(Weekly_Tracker!BK132:BO132)</f>
        <v/>
      </c>
      <c r="X48" s="53">
        <f>H48</f>
        <v/>
      </c>
      <c r="Y48" s="53">
        <f>X48+I48</f>
        <v/>
      </c>
      <c r="Z48" s="53">
        <f>Y48+J48</f>
        <v/>
      </c>
      <c r="AA48" s="53">
        <f>Z48+K48</f>
        <v/>
      </c>
      <c r="AB48" s="85" t="n"/>
      <c r="AC48" s="86">
        <f>IF($B48="","",IF(AB48=0,"chưa nhập FY target",IF(ROUND(G48-AB48,2)=0,"OK","Lệch "&amp;TEXT(G48-AB48,"#,##0"))))</f>
        <v/>
      </c>
    </row>
    <row r="49">
      <c r="A49" s="81">
        <f>IF($B49="","",$B49&amp;"|"&amp;$D49)</f>
        <v/>
      </c>
      <c r="B49" s="82">
        <f>IFERROR(INDEX(Team_Master!$C$6:$C$20,9),"")</f>
        <v/>
      </c>
      <c r="C49" s="83">
        <f>IFERROR(INDEX(Team_Master!$G$6:$G$20,9),"")</f>
        <v/>
      </c>
      <c r="D49" s="71" t="inlineStr">
        <is>
          <t>K4</t>
        </is>
      </c>
      <c r="E49" s="38" t="inlineStr">
        <is>
          <t>Engaged Architect (Submit Design)</t>
        </is>
      </c>
      <c r="F49" s="72" t="inlineStr">
        <is>
          <t>D&amp;B</t>
        </is>
      </c>
      <c r="G49" s="56">
        <f>SUM(H49:K49)</f>
        <v/>
      </c>
      <c r="H49" s="84">
        <f>SUM(L49:N49)</f>
        <v/>
      </c>
      <c r="I49" s="84">
        <f>SUM(O49:Q49)</f>
        <v/>
      </c>
      <c r="J49" s="84">
        <f>SUM(R49:T49)</f>
        <v/>
      </c>
      <c r="K49" s="84">
        <f>SUM(U49:W49)</f>
        <v/>
      </c>
      <c r="L49" s="54">
        <f>SUM(Weekly_Tracker!H135:L135)</f>
        <v/>
      </c>
      <c r="M49" s="54">
        <f>SUM(Weekly_Tracker!M135:Q135)</f>
        <v/>
      </c>
      <c r="N49" s="54">
        <f>SUM(Weekly_Tracker!R135:V135)</f>
        <v/>
      </c>
      <c r="O49" s="54">
        <f>SUM(Weekly_Tracker!W135:AA135)</f>
        <v/>
      </c>
      <c r="P49" s="54">
        <f>SUM(Weekly_Tracker!AB135:AF135)</f>
        <v/>
      </c>
      <c r="Q49" s="54">
        <f>SUM(Weekly_Tracker!AG135:AK135)</f>
        <v/>
      </c>
      <c r="R49" s="54">
        <f>SUM(Weekly_Tracker!AL135:AP135)</f>
        <v/>
      </c>
      <c r="S49" s="54">
        <f>SUM(Weekly_Tracker!AQ135:AU135)</f>
        <v/>
      </c>
      <c r="T49" s="54">
        <f>SUM(Weekly_Tracker!AV135:AZ135)</f>
        <v/>
      </c>
      <c r="U49" s="54">
        <f>SUM(Weekly_Tracker!BA135:BE135)</f>
        <v/>
      </c>
      <c r="V49" s="54">
        <f>SUM(Weekly_Tracker!BF135:BJ135)</f>
        <v/>
      </c>
      <c r="W49" s="54">
        <f>SUM(Weekly_Tracker!BK135:BO135)</f>
        <v/>
      </c>
      <c r="X49" s="53">
        <f>H49</f>
        <v/>
      </c>
      <c r="Y49" s="53">
        <f>X49+I49</f>
        <v/>
      </c>
      <c r="Z49" s="53">
        <f>Y49+J49</f>
        <v/>
      </c>
      <c r="AA49" s="53">
        <f>Z49+K49</f>
        <v/>
      </c>
      <c r="AB49" s="85" t="n"/>
      <c r="AC49" s="86">
        <f>IF($B49="","",IF(AB49=0,"chưa nhập FY target",IF(ROUND(G49-AB49,2)=0,"OK","Lệch "&amp;TEXT(G49-AB49,"#,##0"))))</f>
        <v/>
      </c>
    </row>
    <row r="50">
      <c r="A50" s="81">
        <f>IF($B50="","",$B50&amp;"|"&amp;$D50)</f>
        <v/>
      </c>
      <c r="B50" s="82">
        <f>IFERROR(INDEX(Team_Master!$C$6:$C$20,9),"")</f>
        <v/>
      </c>
      <c r="C50" s="83">
        <f>IFERROR(INDEX(Team_Master!$G$6:$G$20,9),"")</f>
        <v/>
      </c>
      <c r="D50" s="73" t="inlineStr">
        <is>
          <t>K5</t>
        </is>
      </c>
      <c r="E50" s="42" t="inlineStr">
        <is>
          <t>Spec-in Design (submitted design)</t>
        </is>
      </c>
      <c r="F50" s="74" t="inlineStr">
        <is>
          <t>Designs</t>
        </is>
      </c>
      <c r="G50" s="56">
        <f>SUM(H50:K50)</f>
        <v/>
      </c>
      <c r="H50" s="84">
        <f>SUM(L50:N50)</f>
        <v/>
      </c>
      <c r="I50" s="84">
        <f>SUM(O50:Q50)</f>
        <v/>
      </c>
      <c r="J50" s="84">
        <f>SUM(R50:T50)</f>
        <v/>
      </c>
      <c r="K50" s="84">
        <f>SUM(U50:W50)</f>
        <v/>
      </c>
      <c r="L50" s="54">
        <f>SUM(Weekly_Tracker!H138:L138)</f>
        <v/>
      </c>
      <c r="M50" s="54">
        <f>SUM(Weekly_Tracker!M138:Q138)</f>
        <v/>
      </c>
      <c r="N50" s="54">
        <f>SUM(Weekly_Tracker!R138:V138)</f>
        <v/>
      </c>
      <c r="O50" s="54">
        <f>SUM(Weekly_Tracker!W138:AA138)</f>
        <v/>
      </c>
      <c r="P50" s="54">
        <f>SUM(Weekly_Tracker!AB138:AF138)</f>
        <v/>
      </c>
      <c r="Q50" s="54">
        <f>SUM(Weekly_Tracker!AG138:AK138)</f>
        <v/>
      </c>
      <c r="R50" s="54">
        <f>SUM(Weekly_Tracker!AL138:AP138)</f>
        <v/>
      </c>
      <c r="S50" s="54">
        <f>SUM(Weekly_Tracker!AQ138:AU138)</f>
        <v/>
      </c>
      <c r="T50" s="54">
        <f>SUM(Weekly_Tracker!AV138:AZ138)</f>
        <v/>
      </c>
      <c r="U50" s="54">
        <f>SUM(Weekly_Tracker!BA138:BE138)</f>
        <v/>
      </c>
      <c r="V50" s="54">
        <f>SUM(Weekly_Tracker!BF138:BJ138)</f>
        <v/>
      </c>
      <c r="W50" s="54">
        <f>SUM(Weekly_Tracker!BK138:BO138)</f>
        <v/>
      </c>
      <c r="X50" s="53">
        <f>H50</f>
        <v/>
      </c>
      <c r="Y50" s="53">
        <f>X50+I50</f>
        <v/>
      </c>
      <c r="Z50" s="53">
        <f>Y50+J50</f>
        <v/>
      </c>
      <c r="AA50" s="53">
        <f>Z50+K50</f>
        <v/>
      </c>
      <c r="AB50" s="85" t="n"/>
      <c r="AC50" s="86">
        <f>IF($B50="","",IF(AB50=0,"chưa nhập FY target",IF(ROUND(G50-AB50,2)=0,"OK","Lệch "&amp;TEXT(G50-AB50,"#,##0"))))</f>
        <v/>
      </c>
    </row>
    <row r="51">
      <c r="A51" s="87">
        <f>IF($B51="","",$B51&amp;"|"&amp;$D51)</f>
        <v/>
      </c>
      <c r="B51" s="88">
        <f>IFERROR(INDEX(Team_Master!$C$6:$C$20,10),"")</f>
        <v/>
      </c>
      <c r="C51" s="89">
        <f>IFERROR(INDEX(Team_Master!$G$6:$G$20,10),"")</f>
        <v/>
      </c>
      <c r="D51" s="63" t="inlineStr">
        <is>
          <t>K1</t>
        </is>
      </c>
      <c r="E51" s="12" t="inlineStr">
        <is>
          <t>Invoiced Value</t>
        </is>
      </c>
      <c r="F51" s="64" t="inlineStr">
        <is>
          <t>MVND</t>
        </is>
      </c>
      <c r="G51" s="56">
        <f>SUM(H51:K51)</f>
        <v/>
      </c>
      <c r="H51" s="84">
        <f>SUM(L51:N51)</f>
        <v/>
      </c>
      <c r="I51" s="84">
        <f>SUM(O51:Q51)</f>
        <v/>
      </c>
      <c r="J51" s="84">
        <f>SUM(R51:T51)</f>
        <v/>
      </c>
      <c r="K51" s="84">
        <f>SUM(U51:W51)</f>
        <v/>
      </c>
      <c r="L51" s="90">
        <f>SUM(Weekly_Tracker!H141:L141)</f>
        <v/>
      </c>
      <c r="M51" s="90">
        <f>SUM(Weekly_Tracker!M141:Q141)</f>
        <v/>
      </c>
      <c r="N51" s="90">
        <f>SUM(Weekly_Tracker!R141:V141)</f>
        <v/>
      </c>
      <c r="O51" s="90">
        <f>SUM(Weekly_Tracker!W141:AA141)</f>
        <v/>
      </c>
      <c r="P51" s="90">
        <f>SUM(Weekly_Tracker!AB141:AF141)</f>
        <v/>
      </c>
      <c r="Q51" s="90">
        <f>SUM(Weekly_Tracker!AG141:AK141)</f>
        <v/>
      </c>
      <c r="R51" s="90">
        <f>SUM(Weekly_Tracker!AL141:AP141)</f>
        <v/>
      </c>
      <c r="S51" s="90">
        <f>SUM(Weekly_Tracker!AQ141:AU141)</f>
        <v/>
      </c>
      <c r="T51" s="90">
        <f>SUM(Weekly_Tracker!AV141:AZ141)</f>
        <v/>
      </c>
      <c r="U51" s="90">
        <f>SUM(Weekly_Tracker!BA141:BE141)</f>
        <v/>
      </c>
      <c r="V51" s="90">
        <f>SUM(Weekly_Tracker!BF141:BJ141)</f>
        <v/>
      </c>
      <c r="W51" s="90">
        <f>SUM(Weekly_Tracker!BK141:BO141)</f>
        <v/>
      </c>
      <c r="X51" s="91">
        <f>H51</f>
        <v/>
      </c>
      <c r="Y51" s="91">
        <f>X51+I51</f>
        <v/>
      </c>
      <c r="Z51" s="91">
        <f>Y51+J51</f>
        <v/>
      </c>
      <c r="AA51" s="91">
        <f>Z51+K51</f>
        <v/>
      </c>
      <c r="AB51" s="85" t="n"/>
      <c r="AC51" s="86">
        <f>IF($B51="","",IF(AB51=0,"chưa nhập FY target",IF(ROUND(G51-AB51,2)=0,"OK","Lệch "&amp;TEXT(G51-AB51,"#,##0"))))</f>
        <v/>
      </c>
    </row>
    <row r="52">
      <c r="A52" s="87">
        <f>IF($B52="","",$B52&amp;"|"&amp;$D52)</f>
        <v/>
      </c>
      <c r="B52" s="88">
        <f>IFERROR(INDEX(Team_Master!$C$6:$C$20,10),"")</f>
        <v/>
      </c>
      <c r="C52" s="89">
        <f>IFERROR(INDEX(Team_Master!$G$6:$G$20,10),"")</f>
        <v/>
      </c>
      <c r="D52" s="63" t="inlineStr">
        <is>
          <t>K2</t>
        </is>
      </c>
      <c r="E52" s="12" t="inlineStr">
        <is>
          <t>Key account approach / Site check</t>
        </is>
      </c>
      <c r="F52" s="64" t="inlineStr">
        <is>
          <t>Roadshow</t>
        </is>
      </c>
      <c r="G52" s="56">
        <f>SUM(H52:K52)</f>
        <v/>
      </c>
      <c r="H52" s="84">
        <f>SUM(L52:N52)</f>
        <v/>
      </c>
      <c r="I52" s="84">
        <f>SUM(O52:Q52)</f>
        <v/>
      </c>
      <c r="J52" s="84">
        <f>SUM(R52:T52)</f>
        <v/>
      </c>
      <c r="K52" s="84">
        <f>SUM(U52:W52)</f>
        <v/>
      </c>
      <c r="L52" s="90">
        <f>SUM(Weekly_Tracker!H144:L144)</f>
        <v/>
      </c>
      <c r="M52" s="90">
        <f>SUM(Weekly_Tracker!M144:Q144)</f>
        <v/>
      </c>
      <c r="N52" s="90">
        <f>SUM(Weekly_Tracker!R144:V144)</f>
        <v/>
      </c>
      <c r="O52" s="90">
        <f>SUM(Weekly_Tracker!W144:AA144)</f>
        <v/>
      </c>
      <c r="P52" s="90">
        <f>SUM(Weekly_Tracker!AB144:AF144)</f>
        <v/>
      </c>
      <c r="Q52" s="90">
        <f>SUM(Weekly_Tracker!AG144:AK144)</f>
        <v/>
      </c>
      <c r="R52" s="90">
        <f>SUM(Weekly_Tracker!AL144:AP144)</f>
        <v/>
      </c>
      <c r="S52" s="90">
        <f>SUM(Weekly_Tracker!AQ144:AU144)</f>
        <v/>
      </c>
      <c r="T52" s="90">
        <f>SUM(Weekly_Tracker!AV144:AZ144)</f>
        <v/>
      </c>
      <c r="U52" s="90">
        <f>SUM(Weekly_Tracker!BA144:BE144)</f>
        <v/>
      </c>
      <c r="V52" s="90">
        <f>SUM(Weekly_Tracker!BF144:BJ144)</f>
        <v/>
      </c>
      <c r="W52" s="90">
        <f>SUM(Weekly_Tracker!BK144:BO144)</f>
        <v/>
      </c>
      <c r="X52" s="91">
        <f>H52</f>
        <v/>
      </c>
      <c r="Y52" s="91">
        <f>X52+I52</f>
        <v/>
      </c>
      <c r="Z52" s="91">
        <f>Y52+J52</f>
        <v/>
      </c>
      <c r="AA52" s="91">
        <f>Z52+K52</f>
        <v/>
      </c>
      <c r="AB52" s="85" t="n"/>
      <c r="AC52" s="86">
        <f>IF($B52="","",IF(AB52=0,"chưa nhập FY target",IF(ROUND(G52-AB52,2)=0,"OK","Lệch "&amp;TEXT(G52-AB52,"#,##0"))))</f>
        <v/>
      </c>
    </row>
    <row r="53">
      <c r="A53" s="87">
        <f>IF($B53="","",$B53&amp;"|"&amp;$D53)</f>
        <v/>
      </c>
      <c r="B53" s="88">
        <f>IFERROR(INDEX(Team_Master!$C$6:$C$20,10),"")</f>
        <v/>
      </c>
      <c r="C53" s="89">
        <f>IFERROR(INDEX(Team_Master!$G$6:$G$20,10),"")</f>
        <v/>
      </c>
      <c r="D53" s="71" t="inlineStr">
        <is>
          <t>K3</t>
        </is>
      </c>
      <c r="E53" s="38" t="inlineStr">
        <is>
          <t>Spec-in Value</t>
        </is>
      </c>
      <c r="F53" s="72" t="inlineStr">
        <is>
          <t>MVND</t>
        </is>
      </c>
      <c r="G53" s="56">
        <f>SUM(H53:K53)</f>
        <v/>
      </c>
      <c r="H53" s="84">
        <f>SUM(L53:N53)</f>
        <v/>
      </c>
      <c r="I53" s="84">
        <f>SUM(O53:Q53)</f>
        <v/>
      </c>
      <c r="J53" s="84">
        <f>SUM(R53:T53)</f>
        <v/>
      </c>
      <c r="K53" s="84">
        <f>SUM(U53:W53)</f>
        <v/>
      </c>
      <c r="L53" s="90">
        <f>SUM(Weekly_Tracker!H147:L147)</f>
        <v/>
      </c>
      <c r="M53" s="90">
        <f>SUM(Weekly_Tracker!M147:Q147)</f>
        <v/>
      </c>
      <c r="N53" s="90">
        <f>SUM(Weekly_Tracker!R147:V147)</f>
        <v/>
      </c>
      <c r="O53" s="90">
        <f>SUM(Weekly_Tracker!W147:AA147)</f>
        <v/>
      </c>
      <c r="P53" s="90">
        <f>SUM(Weekly_Tracker!AB147:AF147)</f>
        <v/>
      </c>
      <c r="Q53" s="90">
        <f>SUM(Weekly_Tracker!AG147:AK147)</f>
        <v/>
      </c>
      <c r="R53" s="90">
        <f>SUM(Weekly_Tracker!AL147:AP147)</f>
        <v/>
      </c>
      <c r="S53" s="90">
        <f>SUM(Weekly_Tracker!AQ147:AU147)</f>
        <v/>
      </c>
      <c r="T53" s="90">
        <f>SUM(Weekly_Tracker!AV147:AZ147)</f>
        <v/>
      </c>
      <c r="U53" s="90">
        <f>SUM(Weekly_Tracker!BA147:BE147)</f>
        <v/>
      </c>
      <c r="V53" s="90">
        <f>SUM(Weekly_Tracker!BF147:BJ147)</f>
        <v/>
      </c>
      <c r="W53" s="90">
        <f>SUM(Weekly_Tracker!BK147:BO147)</f>
        <v/>
      </c>
      <c r="X53" s="91">
        <f>H53</f>
        <v/>
      </c>
      <c r="Y53" s="91">
        <f>X53+I53</f>
        <v/>
      </c>
      <c r="Z53" s="91">
        <f>Y53+J53</f>
        <v/>
      </c>
      <c r="AA53" s="91">
        <f>Z53+K53</f>
        <v/>
      </c>
      <c r="AB53" s="85" t="n"/>
      <c r="AC53" s="86">
        <f>IF($B53="","",IF(AB53=0,"chưa nhập FY target",IF(ROUND(G53-AB53,2)=0,"OK","Lệch "&amp;TEXT(G53-AB53,"#,##0"))))</f>
        <v/>
      </c>
    </row>
    <row r="54">
      <c r="A54" s="87">
        <f>IF($B54="","",$B54&amp;"|"&amp;$D54)</f>
        <v/>
      </c>
      <c r="B54" s="88">
        <f>IFERROR(INDEX(Team_Master!$C$6:$C$20,10),"")</f>
        <v/>
      </c>
      <c r="C54" s="89">
        <f>IFERROR(INDEX(Team_Master!$G$6:$G$20,10),"")</f>
        <v/>
      </c>
      <c r="D54" s="71" t="inlineStr">
        <is>
          <t>K4</t>
        </is>
      </c>
      <c r="E54" s="38" t="inlineStr">
        <is>
          <t>Engaged Architect (Submit Design)</t>
        </is>
      </c>
      <c r="F54" s="72" t="inlineStr">
        <is>
          <t>D&amp;B</t>
        </is>
      </c>
      <c r="G54" s="56">
        <f>SUM(H54:K54)</f>
        <v/>
      </c>
      <c r="H54" s="84">
        <f>SUM(L54:N54)</f>
        <v/>
      </c>
      <c r="I54" s="84">
        <f>SUM(O54:Q54)</f>
        <v/>
      </c>
      <c r="J54" s="84">
        <f>SUM(R54:T54)</f>
        <v/>
      </c>
      <c r="K54" s="84">
        <f>SUM(U54:W54)</f>
        <v/>
      </c>
      <c r="L54" s="90">
        <f>SUM(Weekly_Tracker!H150:L150)</f>
        <v/>
      </c>
      <c r="M54" s="90">
        <f>SUM(Weekly_Tracker!M150:Q150)</f>
        <v/>
      </c>
      <c r="N54" s="90">
        <f>SUM(Weekly_Tracker!R150:V150)</f>
        <v/>
      </c>
      <c r="O54" s="90">
        <f>SUM(Weekly_Tracker!W150:AA150)</f>
        <v/>
      </c>
      <c r="P54" s="90">
        <f>SUM(Weekly_Tracker!AB150:AF150)</f>
        <v/>
      </c>
      <c r="Q54" s="90">
        <f>SUM(Weekly_Tracker!AG150:AK150)</f>
        <v/>
      </c>
      <c r="R54" s="90">
        <f>SUM(Weekly_Tracker!AL150:AP150)</f>
        <v/>
      </c>
      <c r="S54" s="90">
        <f>SUM(Weekly_Tracker!AQ150:AU150)</f>
        <v/>
      </c>
      <c r="T54" s="90">
        <f>SUM(Weekly_Tracker!AV150:AZ150)</f>
        <v/>
      </c>
      <c r="U54" s="90">
        <f>SUM(Weekly_Tracker!BA150:BE150)</f>
        <v/>
      </c>
      <c r="V54" s="90">
        <f>SUM(Weekly_Tracker!BF150:BJ150)</f>
        <v/>
      </c>
      <c r="W54" s="90">
        <f>SUM(Weekly_Tracker!BK150:BO150)</f>
        <v/>
      </c>
      <c r="X54" s="91">
        <f>H54</f>
        <v/>
      </c>
      <c r="Y54" s="91">
        <f>X54+I54</f>
        <v/>
      </c>
      <c r="Z54" s="91">
        <f>Y54+J54</f>
        <v/>
      </c>
      <c r="AA54" s="91">
        <f>Z54+K54</f>
        <v/>
      </c>
      <c r="AB54" s="85" t="n"/>
      <c r="AC54" s="86">
        <f>IF($B54="","",IF(AB54=0,"chưa nhập FY target",IF(ROUND(G54-AB54,2)=0,"OK","Lệch "&amp;TEXT(G54-AB54,"#,##0"))))</f>
        <v/>
      </c>
    </row>
    <row r="55">
      <c r="A55" s="87">
        <f>IF($B55="","",$B55&amp;"|"&amp;$D55)</f>
        <v/>
      </c>
      <c r="B55" s="88">
        <f>IFERROR(INDEX(Team_Master!$C$6:$C$20,10),"")</f>
        <v/>
      </c>
      <c r="C55" s="89">
        <f>IFERROR(INDEX(Team_Master!$G$6:$G$20,10),"")</f>
        <v/>
      </c>
      <c r="D55" s="73" t="inlineStr">
        <is>
          <t>K5</t>
        </is>
      </c>
      <c r="E55" s="42" t="inlineStr">
        <is>
          <t>Spec-in Design (submitted design)</t>
        </is>
      </c>
      <c r="F55" s="74" t="inlineStr">
        <is>
          <t>Designs</t>
        </is>
      </c>
      <c r="G55" s="56">
        <f>SUM(H55:K55)</f>
        <v/>
      </c>
      <c r="H55" s="84">
        <f>SUM(L55:N55)</f>
        <v/>
      </c>
      <c r="I55" s="84">
        <f>SUM(O55:Q55)</f>
        <v/>
      </c>
      <c r="J55" s="84">
        <f>SUM(R55:T55)</f>
        <v/>
      </c>
      <c r="K55" s="84">
        <f>SUM(U55:W55)</f>
        <v/>
      </c>
      <c r="L55" s="90">
        <f>SUM(Weekly_Tracker!H153:L153)</f>
        <v/>
      </c>
      <c r="M55" s="90">
        <f>SUM(Weekly_Tracker!M153:Q153)</f>
        <v/>
      </c>
      <c r="N55" s="90">
        <f>SUM(Weekly_Tracker!R153:V153)</f>
        <v/>
      </c>
      <c r="O55" s="90">
        <f>SUM(Weekly_Tracker!W153:AA153)</f>
        <v/>
      </c>
      <c r="P55" s="90">
        <f>SUM(Weekly_Tracker!AB153:AF153)</f>
        <v/>
      </c>
      <c r="Q55" s="90">
        <f>SUM(Weekly_Tracker!AG153:AK153)</f>
        <v/>
      </c>
      <c r="R55" s="90">
        <f>SUM(Weekly_Tracker!AL153:AP153)</f>
        <v/>
      </c>
      <c r="S55" s="90">
        <f>SUM(Weekly_Tracker!AQ153:AU153)</f>
        <v/>
      </c>
      <c r="T55" s="90">
        <f>SUM(Weekly_Tracker!AV153:AZ153)</f>
        <v/>
      </c>
      <c r="U55" s="90">
        <f>SUM(Weekly_Tracker!BA153:BE153)</f>
        <v/>
      </c>
      <c r="V55" s="90">
        <f>SUM(Weekly_Tracker!BF153:BJ153)</f>
        <v/>
      </c>
      <c r="W55" s="90">
        <f>SUM(Weekly_Tracker!BK153:BO153)</f>
        <v/>
      </c>
      <c r="X55" s="91">
        <f>H55</f>
        <v/>
      </c>
      <c r="Y55" s="91">
        <f>X55+I55</f>
        <v/>
      </c>
      <c r="Z55" s="91">
        <f>Y55+J55</f>
        <v/>
      </c>
      <c r="AA55" s="91">
        <f>Z55+K55</f>
        <v/>
      </c>
      <c r="AB55" s="85" t="n"/>
      <c r="AC55" s="86">
        <f>IF($B55="","",IF(AB55=0,"chưa nhập FY target",IF(ROUND(G55-AB55,2)=0,"OK","Lệch "&amp;TEXT(G55-AB55,"#,##0"))))</f>
        <v/>
      </c>
    </row>
    <row r="56">
      <c r="A56" s="81">
        <f>IF($B56="","",$B56&amp;"|"&amp;$D56)</f>
        <v/>
      </c>
      <c r="B56" s="82">
        <f>IFERROR(INDEX(Team_Master!$C$6:$C$20,11),"")</f>
        <v/>
      </c>
      <c r="C56" s="83">
        <f>IFERROR(INDEX(Team_Master!$G$6:$G$20,11),"")</f>
        <v/>
      </c>
      <c r="D56" s="63" t="inlineStr">
        <is>
          <t>K1</t>
        </is>
      </c>
      <c r="E56" s="12" t="inlineStr">
        <is>
          <t>Invoiced Value</t>
        </is>
      </c>
      <c r="F56" s="64" t="inlineStr">
        <is>
          <t>MVND</t>
        </is>
      </c>
      <c r="G56" s="56">
        <f>SUM(H56:K56)</f>
        <v/>
      </c>
      <c r="H56" s="84">
        <f>SUM(L56:N56)</f>
        <v/>
      </c>
      <c r="I56" s="84">
        <f>SUM(O56:Q56)</f>
        <v/>
      </c>
      <c r="J56" s="84">
        <f>SUM(R56:T56)</f>
        <v/>
      </c>
      <c r="K56" s="84">
        <f>SUM(U56:W56)</f>
        <v/>
      </c>
      <c r="L56" s="54">
        <f>SUM(Weekly_Tracker!H156:L156)</f>
        <v/>
      </c>
      <c r="M56" s="54">
        <f>SUM(Weekly_Tracker!M156:Q156)</f>
        <v/>
      </c>
      <c r="N56" s="54">
        <f>SUM(Weekly_Tracker!R156:V156)</f>
        <v/>
      </c>
      <c r="O56" s="54">
        <f>SUM(Weekly_Tracker!W156:AA156)</f>
        <v/>
      </c>
      <c r="P56" s="54">
        <f>SUM(Weekly_Tracker!AB156:AF156)</f>
        <v/>
      </c>
      <c r="Q56" s="54">
        <f>SUM(Weekly_Tracker!AG156:AK156)</f>
        <v/>
      </c>
      <c r="R56" s="54">
        <f>SUM(Weekly_Tracker!AL156:AP156)</f>
        <v/>
      </c>
      <c r="S56" s="54">
        <f>SUM(Weekly_Tracker!AQ156:AU156)</f>
        <v/>
      </c>
      <c r="T56" s="54">
        <f>SUM(Weekly_Tracker!AV156:AZ156)</f>
        <v/>
      </c>
      <c r="U56" s="54">
        <f>SUM(Weekly_Tracker!BA156:BE156)</f>
        <v/>
      </c>
      <c r="V56" s="54">
        <f>SUM(Weekly_Tracker!BF156:BJ156)</f>
        <v/>
      </c>
      <c r="W56" s="54">
        <f>SUM(Weekly_Tracker!BK156:BO156)</f>
        <v/>
      </c>
      <c r="X56" s="53">
        <f>H56</f>
        <v/>
      </c>
      <c r="Y56" s="53">
        <f>X56+I56</f>
        <v/>
      </c>
      <c r="Z56" s="53">
        <f>Y56+J56</f>
        <v/>
      </c>
      <c r="AA56" s="53">
        <f>Z56+K56</f>
        <v/>
      </c>
      <c r="AB56" s="85" t="n"/>
      <c r="AC56" s="86">
        <f>IF($B56="","",IF(AB56=0,"chưa nhập FY target",IF(ROUND(G56-AB56,2)=0,"OK","Lệch "&amp;TEXT(G56-AB56,"#,##0"))))</f>
        <v/>
      </c>
    </row>
    <row r="57">
      <c r="A57" s="81">
        <f>IF($B57="","",$B57&amp;"|"&amp;$D57)</f>
        <v/>
      </c>
      <c r="B57" s="82">
        <f>IFERROR(INDEX(Team_Master!$C$6:$C$20,11),"")</f>
        <v/>
      </c>
      <c r="C57" s="83">
        <f>IFERROR(INDEX(Team_Master!$G$6:$G$20,11),"")</f>
        <v/>
      </c>
      <c r="D57" s="63" t="inlineStr">
        <is>
          <t>K2</t>
        </is>
      </c>
      <c r="E57" s="12" t="inlineStr">
        <is>
          <t>Key account approach / Site check</t>
        </is>
      </c>
      <c r="F57" s="64" t="inlineStr">
        <is>
          <t>Roadshow</t>
        </is>
      </c>
      <c r="G57" s="56">
        <f>SUM(H57:K57)</f>
        <v/>
      </c>
      <c r="H57" s="84">
        <f>SUM(L57:N57)</f>
        <v/>
      </c>
      <c r="I57" s="84">
        <f>SUM(O57:Q57)</f>
        <v/>
      </c>
      <c r="J57" s="84">
        <f>SUM(R57:T57)</f>
        <v/>
      </c>
      <c r="K57" s="84">
        <f>SUM(U57:W57)</f>
        <v/>
      </c>
      <c r="L57" s="54">
        <f>SUM(Weekly_Tracker!H159:L159)</f>
        <v/>
      </c>
      <c r="M57" s="54">
        <f>SUM(Weekly_Tracker!M159:Q159)</f>
        <v/>
      </c>
      <c r="N57" s="54">
        <f>SUM(Weekly_Tracker!R159:V159)</f>
        <v/>
      </c>
      <c r="O57" s="54">
        <f>SUM(Weekly_Tracker!W159:AA159)</f>
        <v/>
      </c>
      <c r="P57" s="54">
        <f>SUM(Weekly_Tracker!AB159:AF159)</f>
        <v/>
      </c>
      <c r="Q57" s="54">
        <f>SUM(Weekly_Tracker!AG159:AK159)</f>
        <v/>
      </c>
      <c r="R57" s="54">
        <f>SUM(Weekly_Tracker!AL159:AP159)</f>
        <v/>
      </c>
      <c r="S57" s="54">
        <f>SUM(Weekly_Tracker!AQ159:AU159)</f>
        <v/>
      </c>
      <c r="T57" s="54">
        <f>SUM(Weekly_Tracker!AV159:AZ159)</f>
        <v/>
      </c>
      <c r="U57" s="54">
        <f>SUM(Weekly_Tracker!BA159:BE159)</f>
        <v/>
      </c>
      <c r="V57" s="54">
        <f>SUM(Weekly_Tracker!BF159:BJ159)</f>
        <v/>
      </c>
      <c r="W57" s="54">
        <f>SUM(Weekly_Tracker!BK159:BO159)</f>
        <v/>
      </c>
      <c r="X57" s="53">
        <f>H57</f>
        <v/>
      </c>
      <c r="Y57" s="53">
        <f>X57+I57</f>
        <v/>
      </c>
      <c r="Z57" s="53">
        <f>Y57+J57</f>
        <v/>
      </c>
      <c r="AA57" s="53">
        <f>Z57+K57</f>
        <v/>
      </c>
      <c r="AB57" s="85" t="n"/>
      <c r="AC57" s="86">
        <f>IF($B57="","",IF(AB57=0,"chưa nhập FY target",IF(ROUND(G57-AB57,2)=0,"OK","Lệch "&amp;TEXT(G57-AB57,"#,##0"))))</f>
        <v/>
      </c>
    </row>
    <row r="58">
      <c r="A58" s="81">
        <f>IF($B58="","",$B58&amp;"|"&amp;$D58)</f>
        <v/>
      </c>
      <c r="B58" s="82">
        <f>IFERROR(INDEX(Team_Master!$C$6:$C$20,11),"")</f>
        <v/>
      </c>
      <c r="C58" s="83">
        <f>IFERROR(INDEX(Team_Master!$G$6:$G$20,11),"")</f>
        <v/>
      </c>
      <c r="D58" s="71" t="inlineStr">
        <is>
          <t>K3</t>
        </is>
      </c>
      <c r="E58" s="38" t="inlineStr">
        <is>
          <t>Spec-in Value</t>
        </is>
      </c>
      <c r="F58" s="72" t="inlineStr">
        <is>
          <t>MVND</t>
        </is>
      </c>
      <c r="G58" s="56">
        <f>SUM(H58:K58)</f>
        <v/>
      </c>
      <c r="H58" s="84">
        <f>SUM(L58:N58)</f>
        <v/>
      </c>
      <c r="I58" s="84">
        <f>SUM(O58:Q58)</f>
        <v/>
      </c>
      <c r="J58" s="84">
        <f>SUM(R58:T58)</f>
        <v/>
      </c>
      <c r="K58" s="84">
        <f>SUM(U58:W58)</f>
        <v/>
      </c>
      <c r="L58" s="54">
        <f>SUM(Weekly_Tracker!H162:L162)</f>
        <v/>
      </c>
      <c r="M58" s="54">
        <f>SUM(Weekly_Tracker!M162:Q162)</f>
        <v/>
      </c>
      <c r="N58" s="54">
        <f>SUM(Weekly_Tracker!R162:V162)</f>
        <v/>
      </c>
      <c r="O58" s="54">
        <f>SUM(Weekly_Tracker!W162:AA162)</f>
        <v/>
      </c>
      <c r="P58" s="54">
        <f>SUM(Weekly_Tracker!AB162:AF162)</f>
        <v/>
      </c>
      <c r="Q58" s="54">
        <f>SUM(Weekly_Tracker!AG162:AK162)</f>
        <v/>
      </c>
      <c r="R58" s="54">
        <f>SUM(Weekly_Tracker!AL162:AP162)</f>
        <v/>
      </c>
      <c r="S58" s="54">
        <f>SUM(Weekly_Tracker!AQ162:AU162)</f>
        <v/>
      </c>
      <c r="T58" s="54">
        <f>SUM(Weekly_Tracker!AV162:AZ162)</f>
        <v/>
      </c>
      <c r="U58" s="54">
        <f>SUM(Weekly_Tracker!BA162:BE162)</f>
        <v/>
      </c>
      <c r="V58" s="54">
        <f>SUM(Weekly_Tracker!BF162:BJ162)</f>
        <v/>
      </c>
      <c r="W58" s="54">
        <f>SUM(Weekly_Tracker!BK162:BO162)</f>
        <v/>
      </c>
      <c r="X58" s="53">
        <f>H58</f>
        <v/>
      </c>
      <c r="Y58" s="53">
        <f>X58+I58</f>
        <v/>
      </c>
      <c r="Z58" s="53">
        <f>Y58+J58</f>
        <v/>
      </c>
      <c r="AA58" s="53">
        <f>Z58+K58</f>
        <v/>
      </c>
      <c r="AB58" s="85" t="n"/>
      <c r="AC58" s="86">
        <f>IF($B58="","",IF(AB58=0,"chưa nhập FY target",IF(ROUND(G58-AB58,2)=0,"OK","Lệch "&amp;TEXT(G58-AB58,"#,##0"))))</f>
        <v/>
      </c>
    </row>
    <row r="59">
      <c r="A59" s="81">
        <f>IF($B59="","",$B59&amp;"|"&amp;$D59)</f>
        <v/>
      </c>
      <c r="B59" s="82">
        <f>IFERROR(INDEX(Team_Master!$C$6:$C$20,11),"")</f>
        <v/>
      </c>
      <c r="C59" s="83">
        <f>IFERROR(INDEX(Team_Master!$G$6:$G$20,11),"")</f>
        <v/>
      </c>
      <c r="D59" s="71" t="inlineStr">
        <is>
          <t>K4</t>
        </is>
      </c>
      <c r="E59" s="38" t="inlineStr">
        <is>
          <t>Engaged Architect (Submit Design)</t>
        </is>
      </c>
      <c r="F59" s="72" t="inlineStr">
        <is>
          <t>D&amp;B</t>
        </is>
      </c>
      <c r="G59" s="56">
        <f>SUM(H59:K59)</f>
        <v/>
      </c>
      <c r="H59" s="84">
        <f>SUM(L59:N59)</f>
        <v/>
      </c>
      <c r="I59" s="84">
        <f>SUM(O59:Q59)</f>
        <v/>
      </c>
      <c r="J59" s="84">
        <f>SUM(R59:T59)</f>
        <v/>
      </c>
      <c r="K59" s="84">
        <f>SUM(U59:W59)</f>
        <v/>
      </c>
      <c r="L59" s="54">
        <f>SUM(Weekly_Tracker!H165:L165)</f>
        <v/>
      </c>
      <c r="M59" s="54">
        <f>SUM(Weekly_Tracker!M165:Q165)</f>
        <v/>
      </c>
      <c r="N59" s="54">
        <f>SUM(Weekly_Tracker!R165:V165)</f>
        <v/>
      </c>
      <c r="O59" s="54">
        <f>SUM(Weekly_Tracker!W165:AA165)</f>
        <v/>
      </c>
      <c r="P59" s="54">
        <f>SUM(Weekly_Tracker!AB165:AF165)</f>
        <v/>
      </c>
      <c r="Q59" s="54">
        <f>SUM(Weekly_Tracker!AG165:AK165)</f>
        <v/>
      </c>
      <c r="R59" s="54">
        <f>SUM(Weekly_Tracker!AL165:AP165)</f>
        <v/>
      </c>
      <c r="S59" s="54">
        <f>SUM(Weekly_Tracker!AQ165:AU165)</f>
        <v/>
      </c>
      <c r="T59" s="54">
        <f>SUM(Weekly_Tracker!AV165:AZ165)</f>
        <v/>
      </c>
      <c r="U59" s="54">
        <f>SUM(Weekly_Tracker!BA165:BE165)</f>
        <v/>
      </c>
      <c r="V59" s="54">
        <f>SUM(Weekly_Tracker!BF165:BJ165)</f>
        <v/>
      </c>
      <c r="W59" s="54">
        <f>SUM(Weekly_Tracker!BK165:BO165)</f>
        <v/>
      </c>
      <c r="X59" s="53">
        <f>H59</f>
        <v/>
      </c>
      <c r="Y59" s="53">
        <f>X59+I59</f>
        <v/>
      </c>
      <c r="Z59" s="53">
        <f>Y59+J59</f>
        <v/>
      </c>
      <c r="AA59" s="53">
        <f>Z59+K59</f>
        <v/>
      </c>
      <c r="AB59" s="85" t="n"/>
      <c r="AC59" s="86">
        <f>IF($B59="","",IF(AB59=0,"chưa nhập FY target",IF(ROUND(G59-AB59,2)=0,"OK","Lệch "&amp;TEXT(G59-AB59,"#,##0"))))</f>
        <v/>
      </c>
    </row>
    <row r="60">
      <c r="A60" s="81">
        <f>IF($B60="","",$B60&amp;"|"&amp;$D60)</f>
        <v/>
      </c>
      <c r="B60" s="82">
        <f>IFERROR(INDEX(Team_Master!$C$6:$C$20,11),"")</f>
        <v/>
      </c>
      <c r="C60" s="83">
        <f>IFERROR(INDEX(Team_Master!$G$6:$G$20,11),"")</f>
        <v/>
      </c>
      <c r="D60" s="73" t="inlineStr">
        <is>
          <t>K5</t>
        </is>
      </c>
      <c r="E60" s="42" t="inlineStr">
        <is>
          <t>Spec-in Design (submitted design)</t>
        </is>
      </c>
      <c r="F60" s="74" t="inlineStr">
        <is>
          <t>Designs</t>
        </is>
      </c>
      <c r="G60" s="56">
        <f>SUM(H60:K60)</f>
        <v/>
      </c>
      <c r="H60" s="84">
        <f>SUM(L60:N60)</f>
        <v/>
      </c>
      <c r="I60" s="84">
        <f>SUM(O60:Q60)</f>
        <v/>
      </c>
      <c r="J60" s="84">
        <f>SUM(R60:T60)</f>
        <v/>
      </c>
      <c r="K60" s="84">
        <f>SUM(U60:W60)</f>
        <v/>
      </c>
      <c r="L60" s="54">
        <f>SUM(Weekly_Tracker!H168:L168)</f>
        <v/>
      </c>
      <c r="M60" s="54">
        <f>SUM(Weekly_Tracker!M168:Q168)</f>
        <v/>
      </c>
      <c r="N60" s="54">
        <f>SUM(Weekly_Tracker!R168:V168)</f>
        <v/>
      </c>
      <c r="O60" s="54">
        <f>SUM(Weekly_Tracker!W168:AA168)</f>
        <v/>
      </c>
      <c r="P60" s="54">
        <f>SUM(Weekly_Tracker!AB168:AF168)</f>
        <v/>
      </c>
      <c r="Q60" s="54">
        <f>SUM(Weekly_Tracker!AG168:AK168)</f>
        <v/>
      </c>
      <c r="R60" s="54">
        <f>SUM(Weekly_Tracker!AL168:AP168)</f>
        <v/>
      </c>
      <c r="S60" s="54">
        <f>SUM(Weekly_Tracker!AQ168:AU168)</f>
        <v/>
      </c>
      <c r="T60" s="54">
        <f>SUM(Weekly_Tracker!AV168:AZ168)</f>
        <v/>
      </c>
      <c r="U60" s="54">
        <f>SUM(Weekly_Tracker!BA168:BE168)</f>
        <v/>
      </c>
      <c r="V60" s="54">
        <f>SUM(Weekly_Tracker!BF168:BJ168)</f>
        <v/>
      </c>
      <c r="W60" s="54">
        <f>SUM(Weekly_Tracker!BK168:BO168)</f>
        <v/>
      </c>
      <c r="X60" s="53">
        <f>H60</f>
        <v/>
      </c>
      <c r="Y60" s="53">
        <f>X60+I60</f>
        <v/>
      </c>
      <c r="Z60" s="53">
        <f>Y60+J60</f>
        <v/>
      </c>
      <c r="AA60" s="53">
        <f>Z60+K60</f>
        <v/>
      </c>
      <c r="AB60" s="85" t="n"/>
      <c r="AC60" s="86">
        <f>IF($B60="","",IF(AB60=0,"chưa nhập FY target",IF(ROUND(G60-AB60,2)=0,"OK","Lệch "&amp;TEXT(G60-AB60,"#,##0"))))</f>
        <v/>
      </c>
    </row>
    <row r="61">
      <c r="A61" s="87">
        <f>IF($B61="","",$B61&amp;"|"&amp;$D61)</f>
        <v/>
      </c>
      <c r="B61" s="88">
        <f>IFERROR(INDEX(Team_Master!$C$6:$C$20,12),"")</f>
        <v/>
      </c>
      <c r="C61" s="89">
        <f>IFERROR(INDEX(Team_Master!$G$6:$G$20,12),"")</f>
        <v/>
      </c>
      <c r="D61" s="63" t="inlineStr">
        <is>
          <t>K1</t>
        </is>
      </c>
      <c r="E61" s="12" t="inlineStr">
        <is>
          <t>Invoiced Value</t>
        </is>
      </c>
      <c r="F61" s="64" t="inlineStr">
        <is>
          <t>MVND</t>
        </is>
      </c>
      <c r="G61" s="56">
        <f>SUM(H61:K61)</f>
        <v/>
      </c>
      <c r="H61" s="84">
        <f>SUM(L61:N61)</f>
        <v/>
      </c>
      <c r="I61" s="84">
        <f>SUM(O61:Q61)</f>
        <v/>
      </c>
      <c r="J61" s="84">
        <f>SUM(R61:T61)</f>
        <v/>
      </c>
      <c r="K61" s="84">
        <f>SUM(U61:W61)</f>
        <v/>
      </c>
      <c r="L61" s="90">
        <f>SUM(Weekly_Tracker!H171:L171)</f>
        <v/>
      </c>
      <c r="M61" s="90">
        <f>SUM(Weekly_Tracker!M171:Q171)</f>
        <v/>
      </c>
      <c r="N61" s="90">
        <f>SUM(Weekly_Tracker!R171:V171)</f>
        <v/>
      </c>
      <c r="O61" s="90">
        <f>SUM(Weekly_Tracker!W171:AA171)</f>
        <v/>
      </c>
      <c r="P61" s="90">
        <f>SUM(Weekly_Tracker!AB171:AF171)</f>
        <v/>
      </c>
      <c r="Q61" s="90">
        <f>SUM(Weekly_Tracker!AG171:AK171)</f>
        <v/>
      </c>
      <c r="R61" s="90">
        <f>SUM(Weekly_Tracker!AL171:AP171)</f>
        <v/>
      </c>
      <c r="S61" s="90">
        <f>SUM(Weekly_Tracker!AQ171:AU171)</f>
        <v/>
      </c>
      <c r="T61" s="90">
        <f>SUM(Weekly_Tracker!AV171:AZ171)</f>
        <v/>
      </c>
      <c r="U61" s="90">
        <f>SUM(Weekly_Tracker!BA171:BE171)</f>
        <v/>
      </c>
      <c r="V61" s="90">
        <f>SUM(Weekly_Tracker!BF171:BJ171)</f>
        <v/>
      </c>
      <c r="W61" s="90">
        <f>SUM(Weekly_Tracker!BK171:BO171)</f>
        <v/>
      </c>
      <c r="X61" s="91">
        <f>H61</f>
        <v/>
      </c>
      <c r="Y61" s="91">
        <f>X61+I61</f>
        <v/>
      </c>
      <c r="Z61" s="91">
        <f>Y61+J61</f>
        <v/>
      </c>
      <c r="AA61" s="91">
        <f>Z61+K61</f>
        <v/>
      </c>
      <c r="AB61" s="85" t="n"/>
      <c r="AC61" s="86">
        <f>IF($B61="","",IF(AB61=0,"chưa nhập FY target",IF(ROUND(G61-AB61,2)=0,"OK","Lệch "&amp;TEXT(G61-AB61,"#,##0"))))</f>
        <v/>
      </c>
    </row>
    <row r="62">
      <c r="A62" s="87">
        <f>IF($B62="","",$B62&amp;"|"&amp;$D62)</f>
        <v/>
      </c>
      <c r="B62" s="88">
        <f>IFERROR(INDEX(Team_Master!$C$6:$C$20,12),"")</f>
        <v/>
      </c>
      <c r="C62" s="89">
        <f>IFERROR(INDEX(Team_Master!$G$6:$G$20,12),"")</f>
        <v/>
      </c>
      <c r="D62" s="63" t="inlineStr">
        <is>
          <t>K2</t>
        </is>
      </c>
      <c r="E62" s="12" t="inlineStr">
        <is>
          <t>Key account approach / Site check</t>
        </is>
      </c>
      <c r="F62" s="64" t="inlineStr">
        <is>
          <t>Roadshow</t>
        </is>
      </c>
      <c r="G62" s="56">
        <f>SUM(H62:K62)</f>
        <v/>
      </c>
      <c r="H62" s="84">
        <f>SUM(L62:N62)</f>
        <v/>
      </c>
      <c r="I62" s="84">
        <f>SUM(O62:Q62)</f>
        <v/>
      </c>
      <c r="J62" s="84">
        <f>SUM(R62:T62)</f>
        <v/>
      </c>
      <c r="K62" s="84">
        <f>SUM(U62:W62)</f>
        <v/>
      </c>
      <c r="L62" s="90">
        <f>SUM(Weekly_Tracker!H174:L174)</f>
        <v/>
      </c>
      <c r="M62" s="90">
        <f>SUM(Weekly_Tracker!M174:Q174)</f>
        <v/>
      </c>
      <c r="N62" s="90">
        <f>SUM(Weekly_Tracker!R174:V174)</f>
        <v/>
      </c>
      <c r="O62" s="90">
        <f>SUM(Weekly_Tracker!W174:AA174)</f>
        <v/>
      </c>
      <c r="P62" s="90">
        <f>SUM(Weekly_Tracker!AB174:AF174)</f>
        <v/>
      </c>
      <c r="Q62" s="90">
        <f>SUM(Weekly_Tracker!AG174:AK174)</f>
        <v/>
      </c>
      <c r="R62" s="90">
        <f>SUM(Weekly_Tracker!AL174:AP174)</f>
        <v/>
      </c>
      <c r="S62" s="90">
        <f>SUM(Weekly_Tracker!AQ174:AU174)</f>
        <v/>
      </c>
      <c r="T62" s="90">
        <f>SUM(Weekly_Tracker!AV174:AZ174)</f>
        <v/>
      </c>
      <c r="U62" s="90">
        <f>SUM(Weekly_Tracker!BA174:BE174)</f>
        <v/>
      </c>
      <c r="V62" s="90">
        <f>SUM(Weekly_Tracker!BF174:BJ174)</f>
        <v/>
      </c>
      <c r="W62" s="90">
        <f>SUM(Weekly_Tracker!BK174:BO174)</f>
        <v/>
      </c>
      <c r="X62" s="91">
        <f>H62</f>
        <v/>
      </c>
      <c r="Y62" s="91">
        <f>X62+I62</f>
        <v/>
      </c>
      <c r="Z62" s="91">
        <f>Y62+J62</f>
        <v/>
      </c>
      <c r="AA62" s="91">
        <f>Z62+K62</f>
        <v/>
      </c>
      <c r="AB62" s="85" t="n"/>
      <c r="AC62" s="86">
        <f>IF($B62="","",IF(AB62=0,"chưa nhập FY target",IF(ROUND(G62-AB62,2)=0,"OK","Lệch "&amp;TEXT(G62-AB62,"#,##0"))))</f>
        <v/>
      </c>
    </row>
    <row r="63">
      <c r="A63" s="87">
        <f>IF($B63="","",$B63&amp;"|"&amp;$D63)</f>
        <v/>
      </c>
      <c r="B63" s="88">
        <f>IFERROR(INDEX(Team_Master!$C$6:$C$20,12),"")</f>
        <v/>
      </c>
      <c r="C63" s="89">
        <f>IFERROR(INDEX(Team_Master!$G$6:$G$20,12),"")</f>
        <v/>
      </c>
      <c r="D63" s="71" t="inlineStr">
        <is>
          <t>K3</t>
        </is>
      </c>
      <c r="E63" s="38" t="inlineStr">
        <is>
          <t>Spec-in Value</t>
        </is>
      </c>
      <c r="F63" s="72" t="inlineStr">
        <is>
          <t>MVND</t>
        </is>
      </c>
      <c r="G63" s="56">
        <f>SUM(H63:K63)</f>
        <v/>
      </c>
      <c r="H63" s="84">
        <f>SUM(L63:N63)</f>
        <v/>
      </c>
      <c r="I63" s="84">
        <f>SUM(O63:Q63)</f>
        <v/>
      </c>
      <c r="J63" s="84">
        <f>SUM(R63:T63)</f>
        <v/>
      </c>
      <c r="K63" s="84">
        <f>SUM(U63:W63)</f>
        <v/>
      </c>
      <c r="L63" s="90">
        <f>SUM(Weekly_Tracker!H177:L177)</f>
        <v/>
      </c>
      <c r="M63" s="90">
        <f>SUM(Weekly_Tracker!M177:Q177)</f>
        <v/>
      </c>
      <c r="N63" s="90">
        <f>SUM(Weekly_Tracker!R177:V177)</f>
        <v/>
      </c>
      <c r="O63" s="90">
        <f>SUM(Weekly_Tracker!W177:AA177)</f>
        <v/>
      </c>
      <c r="P63" s="90">
        <f>SUM(Weekly_Tracker!AB177:AF177)</f>
        <v/>
      </c>
      <c r="Q63" s="90">
        <f>SUM(Weekly_Tracker!AG177:AK177)</f>
        <v/>
      </c>
      <c r="R63" s="90">
        <f>SUM(Weekly_Tracker!AL177:AP177)</f>
        <v/>
      </c>
      <c r="S63" s="90">
        <f>SUM(Weekly_Tracker!AQ177:AU177)</f>
        <v/>
      </c>
      <c r="T63" s="90">
        <f>SUM(Weekly_Tracker!AV177:AZ177)</f>
        <v/>
      </c>
      <c r="U63" s="90">
        <f>SUM(Weekly_Tracker!BA177:BE177)</f>
        <v/>
      </c>
      <c r="V63" s="90">
        <f>SUM(Weekly_Tracker!BF177:BJ177)</f>
        <v/>
      </c>
      <c r="W63" s="90">
        <f>SUM(Weekly_Tracker!BK177:BO177)</f>
        <v/>
      </c>
      <c r="X63" s="91">
        <f>H63</f>
        <v/>
      </c>
      <c r="Y63" s="91">
        <f>X63+I63</f>
        <v/>
      </c>
      <c r="Z63" s="91">
        <f>Y63+J63</f>
        <v/>
      </c>
      <c r="AA63" s="91">
        <f>Z63+K63</f>
        <v/>
      </c>
      <c r="AB63" s="85" t="n"/>
      <c r="AC63" s="86">
        <f>IF($B63="","",IF(AB63=0,"chưa nhập FY target",IF(ROUND(G63-AB63,2)=0,"OK","Lệch "&amp;TEXT(G63-AB63,"#,##0"))))</f>
        <v/>
      </c>
    </row>
    <row r="64">
      <c r="A64" s="87">
        <f>IF($B64="","",$B64&amp;"|"&amp;$D64)</f>
        <v/>
      </c>
      <c r="B64" s="88">
        <f>IFERROR(INDEX(Team_Master!$C$6:$C$20,12),"")</f>
        <v/>
      </c>
      <c r="C64" s="89">
        <f>IFERROR(INDEX(Team_Master!$G$6:$G$20,12),"")</f>
        <v/>
      </c>
      <c r="D64" s="71" t="inlineStr">
        <is>
          <t>K4</t>
        </is>
      </c>
      <c r="E64" s="38" t="inlineStr">
        <is>
          <t>Engaged Architect (Submit Design)</t>
        </is>
      </c>
      <c r="F64" s="72" t="inlineStr">
        <is>
          <t>D&amp;B</t>
        </is>
      </c>
      <c r="G64" s="56">
        <f>SUM(H64:K64)</f>
        <v/>
      </c>
      <c r="H64" s="84">
        <f>SUM(L64:N64)</f>
        <v/>
      </c>
      <c r="I64" s="84">
        <f>SUM(O64:Q64)</f>
        <v/>
      </c>
      <c r="J64" s="84">
        <f>SUM(R64:T64)</f>
        <v/>
      </c>
      <c r="K64" s="84">
        <f>SUM(U64:W64)</f>
        <v/>
      </c>
      <c r="L64" s="90">
        <f>SUM(Weekly_Tracker!H180:L180)</f>
        <v/>
      </c>
      <c r="M64" s="90">
        <f>SUM(Weekly_Tracker!M180:Q180)</f>
        <v/>
      </c>
      <c r="N64" s="90">
        <f>SUM(Weekly_Tracker!R180:V180)</f>
        <v/>
      </c>
      <c r="O64" s="90">
        <f>SUM(Weekly_Tracker!W180:AA180)</f>
        <v/>
      </c>
      <c r="P64" s="90">
        <f>SUM(Weekly_Tracker!AB180:AF180)</f>
        <v/>
      </c>
      <c r="Q64" s="90">
        <f>SUM(Weekly_Tracker!AG180:AK180)</f>
        <v/>
      </c>
      <c r="R64" s="90">
        <f>SUM(Weekly_Tracker!AL180:AP180)</f>
        <v/>
      </c>
      <c r="S64" s="90">
        <f>SUM(Weekly_Tracker!AQ180:AU180)</f>
        <v/>
      </c>
      <c r="T64" s="90">
        <f>SUM(Weekly_Tracker!AV180:AZ180)</f>
        <v/>
      </c>
      <c r="U64" s="90">
        <f>SUM(Weekly_Tracker!BA180:BE180)</f>
        <v/>
      </c>
      <c r="V64" s="90">
        <f>SUM(Weekly_Tracker!BF180:BJ180)</f>
        <v/>
      </c>
      <c r="W64" s="90">
        <f>SUM(Weekly_Tracker!BK180:BO180)</f>
        <v/>
      </c>
      <c r="X64" s="91">
        <f>H64</f>
        <v/>
      </c>
      <c r="Y64" s="91">
        <f>X64+I64</f>
        <v/>
      </c>
      <c r="Z64" s="91">
        <f>Y64+J64</f>
        <v/>
      </c>
      <c r="AA64" s="91">
        <f>Z64+K64</f>
        <v/>
      </c>
      <c r="AB64" s="85" t="n"/>
      <c r="AC64" s="86">
        <f>IF($B64="","",IF(AB64=0,"chưa nhập FY target",IF(ROUND(G64-AB64,2)=0,"OK","Lệch "&amp;TEXT(G64-AB64,"#,##0"))))</f>
        <v/>
      </c>
    </row>
    <row r="65">
      <c r="A65" s="87">
        <f>IF($B65="","",$B65&amp;"|"&amp;$D65)</f>
        <v/>
      </c>
      <c r="B65" s="88">
        <f>IFERROR(INDEX(Team_Master!$C$6:$C$20,12),"")</f>
        <v/>
      </c>
      <c r="C65" s="89">
        <f>IFERROR(INDEX(Team_Master!$G$6:$G$20,12),"")</f>
        <v/>
      </c>
      <c r="D65" s="73" t="inlineStr">
        <is>
          <t>K5</t>
        </is>
      </c>
      <c r="E65" s="42" t="inlineStr">
        <is>
          <t>Spec-in Design (submitted design)</t>
        </is>
      </c>
      <c r="F65" s="74" t="inlineStr">
        <is>
          <t>Designs</t>
        </is>
      </c>
      <c r="G65" s="56">
        <f>SUM(H65:K65)</f>
        <v/>
      </c>
      <c r="H65" s="84">
        <f>SUM(L65:N65)</f>
        <v/>
      </c>
      <c r="I65" s="84">
        <f>SUM(O65:Q65)</f>
        <v/>
      </c>
      <c r="J65" s="84">
        <f>SUM(R65:T65)</f>
        <v/>
      </c>
      <c r="K65" s="84">
        <f>SUM(U65:W65)</f>
        <v/>
      </c>
      <c r="L65" s="90">
        <f>SUM(Weekly_Tracker!H183:L183)</f>
        <v/>
      </c>
      <c r="M65" s="90">
        <f>SUM(Weekly_Tracker!M183:Q183)</f>
        <v/>
      </c>
      <c r="N65" s="90">
        <f>SUM(Weekly_Tracker!R183:V183)</f>
        <v/>
      </c>
      <c r="O65" s="90">
        <f>SUM(Weekly_Tracker!W183:AA183)</f>
        <v/>
      </c>
      <c r="P65" s="90">
        <f>SUM(Weekly_Tracker!AB183:AF183)</f>
        <v/>
      </c>
      <c r="Q65" s="90">
        <f>SUM(Weekly_Tracker!AG183:AK183)</f>
        <v/>
      </c>
      <c r="R65" s="90">
        <f>SUM(Weekly_Tracker!AL183:AP183)</f>
        <v/>
      </c>
      <c r="S65" s="90">
        <f>SUM(Weekly_Tracker!AQ183:AU183)</f>
        <v/>
      </c>
      <c r="T65" s="90">
        <f>SUM(Weekly_Tracker!AV183:AZ183)</f>
        <v/>
      </c>
      <c r="U65" s="90">
        <f>SUM(Weekly_Tracker!BA183:BE183)</f>
        <v/>
      </c>
      <c r="V65" s="90">
        <f>SUM(Weekly_Tracker!BF183:BJ183)</f>
        <v/>
      </c>
      <c r="W65" s="90">
        <f>SUM(Weekly_Tracker!BK183:BO183)</f>
        <v/>
      </c>
      <c r="X65" s="91">
        <f>H65</f>
        <v/>
      </c>
      <c r="Y65" s="91">
        <f>X65+I65</f>
        <v/>
      </c>
      <c r="Z65" s="91">
        <f>Y65+J65</f>
        <v/>
      </c>
      <c r="AA65" s="91">
        <f>Z65+K65</f>
        <v/>
      </c>
      <c r="AB65" s="85" t="n"/>
      <c r="AC65" s="86">
        <f>IF($B65="","",IF(AB65=0,"chưa nhập FY target",IF(ROUND(G65-AB65,2)=0,"OK","Lệch "&amp;TEXT(G65-AB65,"#,##0"))))</f>
        <v/>
      </c>
    </row>
    <row r="66">
      <c r="A66" s="81">
        <f>IF($B66="","",$B66&amp;"|"&amp;$D66)</f>
        <v/>
      </c>
      <c r="B66" s="82">
        <f>IFERROR(INDEX(Team_Master!$C$6:$C$20,13),"")</f>
        <v/>
      </c>
      <c r="C66" s="83">
        <f>IFERROR(INDEX(Team_Master!$G$6:$G$20,13),"")</f>
        <v/>
      </c>
      <c r="D66" s="63" t="inlineStr">
        <is>
          <t>K1</t>
        </is>
      </c>
      <c r="E66" s="12" t="inlineStr">
        <is>
          <t>Invoiced Value</t>
        </is>
      </c>
      <c r="F66" s="64" t="inlineStr">
        <is>
          <t>MVND</t>
        </is>
      </c>
      <c r="G66" s="56">
        <f>SUM(H66:K66)</f>
        <v/>
      </c>
      <c r="H66" s="84">
        <f>SUM(L66:N66)</f>
        <v/>
      </c>
      <c r="I66" s="84">
        <f>SUM(O66:Q66)</f>
        <v/>
      </c>
      <c r="J66" s="84">
        <f>SUM(R66:T66)</f>
        <v/>
      </c>
      <c r="K66" s="84">
        <f>SUM(U66:W66)</f>
        <v/>
      </c>
      <c r="L66" s="54">
        <f>SUM(Weekly_Tracker!H186:L186)</f>
        <v/>
      </c>
      <c r="M66" s="54">
        <f>SUM(Weekly_Tracker!M186:Q186)</f>
        <v/>
      </c>
      <c r="N66" s="54">
        <f>SUM(Weekly_Tracker!R186:V186)</f>
        <v/>
      </c>
      <c r="O66" s="54">
        <f>SUM(Weekly_Tracker!W186:AA186)</f>
        <v/>
      </c>
      <c r="P66" s="54">
        <f>SUM(Weekly_Tracker!AB186:AF186)</f>
        <v/>
      </c>
      <c r="Q66" s="54">
        <f>SUM(Weekly_Tracker!AG186:AK186)</f>
        <v/>
      </c>
      <c r="R66" s="54">
        <f>SUM(Weekly_Tracker!AL186:AP186)</f>
        <v/>
      </c>
      <c r="S66" s="54">
        <f>SUM(Weekly_Tracker!AQ186:AU186)</f>
        <v/>
      </c>
      <c r="T66" s="54">
        <f>SUM(Weekly_Tracker!AV186:AZ186)</f>
        <v/>
      </c>
      <c r="U66" s="54">
        <f>SUM(Weekly_Tracker!BA186:BE186)</f>
        <v/>
      </c>
      <c r="V66" s="54">
        <f>SUM(Weekly_Tracker!BF186:BJ186)</f>
        <v/>
      </c>
      <c r="W66" s="54">
        <f>SUM(Weekly_Tracker!BK186:BO186)</f>
        <v/>
      </c>
      <c r="X66" s="53">
        <f>H66</f>
        <v/>
      </c>
      <c r="Y66" s="53">
        <f>X66+I66</f>
        <v/>
      </c>
      <c r="Z66" s="53">
        <f>Y66+J66</f>
        <v/>
      </c>
      <c r="AA66" s="53">
        <f>Z66+K66</f>
        <v/>
      </c>
      <c r="AB66" s="85" t="n"/>
      <c r="AC66" s="86">
        <f>IF($B66="","",IF(AB66=0,"chưa nhập FY target",IF(ROUND(G66-AB66,2)=0,"OK","Lệch "&amp;TEXT(G66-AB66,"#,##0"))))</f>
        <v/>
      </c>
    </row>
    <row r="67">
      <c r="A67" s="81">
        <f>IF($B67="","",$B67&amp;"|"&amp;$D67)</f>
        <v/>
      </c>
      <c r="B67" s="82">
        <f>IFERROR(INDEX(Team_Master!$C$6:$C$20,13),"")</f>
        <v/>
      </c>
      <c r="C67" s="83">
        <f>IFERROR(INDEX(Team_Master!$G$6:$G$20,13),"")</f>
        <v/>
      </c>
      <c r="D67" s="63" t="inlineStr">
        <is>
          <t>K2</t>
        </is>
      </c>
      <c r="E67" s="12" t="inlineStr">
        <is>
          <t>Key account approach / Site check</t>
        </is>
      </c>
      <c r="F67" s="64" t="inlineStr">
        <is>
          <t>Roadshow</t>
        </is>
      </c>
      <c r="G67" s="56">
        <f>SUM(H67:K67)</f>
        <v/>
      </c>
      <c r="H67" s="84">
        <f>SUM(L67:N67)</f>
        <v/>
      </c>
      <c r="I67" s="84">
        <f>SUM(O67:Q67)</f>
        <v/>
      </c>
      <c r="J67" s="84">
        <f>SUM(R67:T67)</f>
        <v/>
      </c>
      <c r="K67" s="84">
        <f>SUM(U67:W67)</f>
        <v/>
      </c>
      <c r="L67" s="54">
        <f>SUM(Weekly_Tracker!H189:L189)</f>
        <v/>
      </c>
      <c r="M67" s="54">
        <f>SUM(Weekly_Tracker!M189:Q189)</f>
        <v/>
      </c>
      <c r="N67" s="54">
        <f>SUM(Weekly_Tracker!R189:V189)</f>
        <v/>
      </c>
      <c r="O67" s="54">
        <f>SUM(Weekly_Tracker!W189:AA189)</f>
        <v/>
      </c>
      <c r="P67" s="54">
        <f>SUM(Weekly_Tracker!AB189:AF189)</f>
        <v/>
      </c>
      <c r="Q67" s="54">
        <f>SUM(Weekly_Tracker!AG189:AK189)</f>
        <v/>
      </c>
      <c r="R67" s="54">
        <f>SUM(Weekly_Tracker!AL189:AP189)</f>
        <v/>
      </c>
      <c r="S67" s="54">
        <f>SUM(Weekly_Tracker!AQ189:AU189)</f>
        <v/>
      </c>
      <c r="T67" s="54">
        <f>SUM(Weekly_Tracker!AV189:AZ189)</f>
        <v/>
      </c>
      <c r="U67" s="54">
        <f>SUM(Weekly_Tracker!BA189:BE189)</f>
        <v/>
      </c>
      <c r="V67" s="54">
        <f>SUM(Weekly_Tracker!BF189:BJ189)</f>
        <v/>
      </c>
      <c r="W67" s="54">
        <f>SUM(Weekly_Tracker!BK189:BO189)</f>
        <v/>
      </c>
      <c r="X67" s="53">
        <f>H67</f>
        <v/>
      </c>
      <c r="Y67" s="53">
        <f>X67+I67</f>
        <v/>
      </c>
      <c r="Z67" s="53">
        <f>Y67+J67</f>
        <v/>
      </c>
      <c r="AA67" s="53">
        <f>Z67+K67</f>
        <v/>
      </c>
      <c r="AB67" s="85" t="n"/>
      <c r="AC67" s="86">
        <f>IF($B67="","",IF(AB67=0,"chưa nhập FY target",IF(ROUND(G67-AB67,2)=0,"OK","Lệch "&amp;TEXT(G67-AB67,"#,##0"))))</f>
        <v/>
      </c>
    </row>
    <row r="68">
      <c r="A68" s="81">
        <f>IF($B68="","",$B68&amp;"|"&amp;$D68)</f>
        <v/>
      </c>
      <c r="B68" s="82">
        <f>IFERROR(INDEX(Team_Master!$C$6:$C$20,13),"")</f>
        <v/>
      </c>
      <c r="C68" s="83">
        <f>IFERROR(INDEX(Team_Master!$G$6:$G$20,13),"")</f>
        <v/>
      </c>
      <c r="D68" s="71" t="inlineStr">
        <is>
          <t>K3</t>
        </is>
      </c>
      <c r="E68" s="38" t="inlineStr">
        <is>
          <t>Spec-in Value</t>
        </is>
      </c>
      <c r="F68" s="72" t="inlineStr">
        <is>
          <t>MVND</t>
        </is>
      </c>
      <c r="G68" s="56">
        <f>SUM(H68:K68)</f>
        <v/>
      </c>
      <c r="H68" s="84">
        <f>SUM(L68:N68)</f>
        <v/>
      </c>
      <c r="I68" s="84">
        <f>SUM(O68:Q68)</f>
        <v/>
      </c>
      <c r="J68" s="84">
        <f>SUM(R68:T68)</f>
        <v/>
      </c>
      <c r="K68" s="84">
        <f>SUM(U68:W68)</f>
        <v/>
      </c>
      <c r="L68" s="54">
        <f>SUM(Weekly_Tracker!H192:L192)</f>
        <v/>
      </c>
      <c r="M68" s="54">
        <f>SUM(Weekly_Tracker!M192:Q192)</f>
        <v/>
      </c>
      <c r="N68" s="54">
        <f>SUM(Weekly_Tracker!R192:V192)</f>
        <v/>
      </c>
      <c r="O68" s="54">
        <f>SUM(Weekly_Tracker!W192:AA192)</f>
        <v/>
      </c>
      <c r="P68" s="54">
        <f>SUM(Weekly_Tracker!AB192:AF192)</f>
        <v/>
      </c>
      <c r="Q68" s="54">
        <f>SUM(Weekly_Tracker!AG192:AK192)</f>
        <v/>
      </c>
      <c r="R68" s="54">
        <f>SUM(Weekly_Tracker!AL192:AP192)</f>
        <v/>
      </c>
      <c r="S68" s="54">
        <f>SUM(Weekly_Tracker!AQ192:AU192)</f>
        <v/>
      </c>
      <c r="T68" s="54">
        <f>SUM(Weekly_Tracker!AV192:AZ192)</f>
        <v/>
      </c>
      <c r="U68" s="54">
        <f>SUM(Weekly_Tracker!BA192:BE192)</f>
        <v/>
      </c>
      <c r="V68" s="54">
        <f>SUM(Weekly_Tracker!BF192:BJ192)</f>
        <v/>
      </c>
      <c r="W68" s="54">
        <f>SUM(Weekly_Tracker!BK192:BO192)</f>
        <v/>
      </c>
      <c r="X68" s="53">
        <f>H68</f>
        <v/>
      </c>
      <c r="Y68" s="53">
        <f>X68+I68</f>
        <v/>
      </c>
      <c r="Z68" s="53">
        <f>Y68+J68</f>
        <v/>
      </c>
      <c r="AA68" s="53">
        <f>Z68+K68</f>
        <v/>
      </c>
      <c r="AB68" s="85" t="n"/>
      <c r="AC68" s="86">
        <f>IF($B68="","",IF(AB68=0,"chưa nhập FY target",IF(ROUND(G68-AB68,2)=0,"OK","Lệch "&amp;TEXT(G68-AB68,"#,##0"))))</f>
        <v/>
      </c>
    </row>
    <row r="69">
      <c r="A69" s="81">
        <f>IF($B69="","",$B69&amp;"|"&amp;$D69)</f>
        <v/>
      </c>
      <c r="B69" s="82">
        <f>IFERROR(INDEX(Team_Master!$C$6:$C$20,13),"")</f>
        <v/>
      </c>
      <c r="C69" s="83">
        <f>IFERROR(INDEX(Team_Master!$G$6:$G$20,13),"")</f>
        <v/>
      </c>
      <c r="D69" s="71" t="inlineStr">
        <is>
          <t>K4</t>
        </is>
      </c>
      <c r="E69" s="38" t="inlineStr">
        <is>
          <t>Engaged Architect (Submit Design)</t>
        </is>
      </c>
      <c r="F69" s="72" t="inlineStr">
        <is>
          <t>D&amp;B</t>
        </is>
      </c>
      <c r="G69" s="56">
        <f>SUM(H69:K69)</f>
        <v/>
      </c>
      <c r="H69" s="84">
        <f>SUM(L69:N69)</f>
        <v/>
      </c>
      <c r="I69" s="84">
        <f>SUM(O69:Q69)</f>
        <v/>
      </c>
      <c r="J69" s="84">
        <f>SUM(R69:T69)</f>
        <v/>
      </c>
      <c r="K69" s="84">
        <f>SUM(U69:W69)</f>
        <v/>
      </c>
      <c r="L69" s="54">
        <f>SUM(Weekly_Tracker!H195:L195)</f>
        <v/>
      </c>
      <c r="M69" s="54">
        <f>SUM(Weekly_Tracker!M195:Q195)</f>
        <v/>
      </c>
      <c r="N69" s="54">
        <f>SUM(Weekly_Tracker!R195:V195)</f>
        <v/>
      </c>
      <c r="O69" s="54">
        <f>SUM(Weekly_Tracker!W195:AA195)</f>
        <v/>
      </c>
      <c r="P69" s="54">
        <f>SUM(Weekly_Tracker!AB195:AF195)</f>
        <v/>
      </c>
      <c r="Q69" s="54">
        <f>SUM(Weekly_Tracker!AG195:AK195)</f>
        <v/>
      </c>
      <c r="R69" s="54">
        <f>SUM(Weekly_Tracker!AL195:AP195)</f>
        <v/>
      </c>
      <c r="S69" s="54">
        <f>SUM(Weekly_Tracker!AQ195:AU195)</f>
        <v/>
      </c>
      <c r="T69" s="54">
        <f>SUM(Weekly_Tracker!AV195:AZ195)</f>
        <v/>
      </c>
      <c r="U69" s="54">
        <f>SUM(Weekly_Tracker!BA195:BE195)</f>
        <v/>
      </c>
      <c r="V69" s="54">
        <f>SUM(Weekly_Tracker!BF195:BJ195)</f>
        <v/>
      </c>
      <c r="W69" s="54">
        <f>SUM(Weekly_Tracker!BK195:BO195)</f>
        <v/>
      </c>
      <c r="X69" s="53">
        <f>H69</f>
        <v/>
      </c>
      <c r="Y69" s="53">
        <f>X69+I69</f>
        <v/>
      </c>
      <c r="Z69" s="53">
        <f>Y69+J69</f>
        <v/>
      </c>
      <c r="AA69" s="53">
        <f>Z69+K69</f>
        <v/>
      </c>
      <c r="AB69" s="85" t="n"/>
      <c r="AC69" s="86">
        <f>IF($B69="","",IF(AB69=0,"chưa nhập FY target",IF(ROUND(G69-AB69,2)=0,"OK","Lệch "&amp;TEXT(G69-AB69,"#,##0"))))</f>
        <v/>
      </c>
    </row>
    <row r="70">
      <c r="A70" s="81">
        <f>IF($B70="","",$B70&amp;"|"&amp;$D70)</f>
        <v/>
      </c>
      <c r="B70" s="82">
        <f>IFERROR(INDEX(Team_Master!$C$6:$C$20,13),"")</f>
        <v/>
      </c>
      <c r="C70" s="83">
        <f>IFERROR(INDEX(Team_Master!$G$6:$G$20,13),"")</f>
        <v/>
      </c>
      <c r="D70" s="73" t="inlineStr">
        <is>
          <t>K5</t>
        </is>
      </c>
      <c r="E70" s="42" t="inlineStr">
        <is>
          <t>Spec-in Design (submitted design)</t>
        </is>
      </c>
      <c r="F70" s="74" t="inlineStr">
        <is>
          <t>Designs</t>
        </is>
      </c>
      <c r="G70" s="56">
        <f>SUM(H70:K70)</f>
        <v/>
      </c>
      <c r="H70" s="84">
        <f>SUM(L70:N70)</f>
        <v/>
      </c>
      <c r="I70" s="84">
        <f>SUM(O70:Q70)</f>
        <v/>
      </c>
      <c r="J70" s="84">
        <f>SUM(R70:T70)</f>
        <v/>
      </c>
      <c r="K70" s="84">
        <f>SUM(U70:W70)</f>
        <v/>
      </c>
      <c r="L70" s="54">
        <f>SUM(Weekly_Tracker!H198:L198)</f>
        <v/>
      </c>
      <c r="M70" s="54">
        <f>SUM(Weekly_Tracker!M198:Q198)</f>
        <v/>
      </c>
      <c r="N70" s="54">
        <f>SUM(Weekly_Tracker!R198:V198)</f>
        <v/>
      </c>
      <c r="O70" s="54">
        <f>SUM(Weekly_Tracker!W198:AA198)</f>
        <v/>
      </c>
      <c r="P70" s="54">
        <f>SUM(Weekly_Tracker!AB198:AF198)</f>
        <v/>
      </c>
      <c r="Q70" s="54">
        <f>SUM(Weekly_Tracker!AG198:AK198)</f>
        <v/>
      </c>
      <c r="R70" s="54">
        <f>SUM(Weekly_Tracker!AL198:AP198)</f>
        <v/>
      </c>
      <c r="S70" s="54">
        <f>SUM(Weekly_Tracker!AQ198:AU198)</f>
        <v/>
      </c>
      <c r="T70" s="54">
        <f>SUM(Weekly_Tracker!AV198:AZ198)</f>
        <v/>
      </c>
      <c r="U70" s="54">
        <f>SUM(Weekly_Tracker!BA198:BE198)</f>
        <v/>
      </c>
      <c r="V70" s="54">
        <f>SUM(Weekly_Tracker!BF198:BJ198)</f>
        <v/>
      </c>
      <c r="W70" s="54">
        <f>SUM(Weekly_Tracker!BK198:BO198)</f>
        <v/>
      </c>
      <c r="X70" s="53">
        <f>H70</f>
        <v/>
      </c>
      <c r="Y70" s="53">
        <f>X70+I70</f>
        <v/>
      </c>
      <c r="Z70" s="53">
        <f>Y70+J70</f>
        <v/>
      </c>
      <c r="AA70" s="53">
        <f>Z70+K70</f>
        <v/>
      </c>
      <c r="AB70" s="85" t="n"/>
      <c r="AC70" s="86">
        <f>IF($B70="","",IF(AB70=0,"chưa nhập FY target",IF(ROUND(G70-AB70,2)=0,"OK","Lệch "&amp;TEXT(G70-AB70,"#,##0"))))</f>
        <v/>
      </c>
    </row>
    <row r="71">
      <c r="A71" s="87">
        <f>IF($B71="","",$B71&amp;"|"&amp;$D71)</f>
        <v/>
      </c>
      <c r="B71" s="88">
        <f>IFERROR(INDEX(Team_Master!$C$6:$C$20,14),"")</f>
        <v/>
      </c>
      <c r="C71" s="89">
        <f>IFERROR(INDEX(Team_Master!$G$6:$G$20,14),"")</f>
        <v/>
      </c>
      <c r="D71" s="63" t="inlineStr">
        <is>
          <t>K1</t>
        </is>
      </c>
      <c r="E71" s="12" t="inlineStr">
        <is>
          <t>Invoiced Value</t>
        </is>
      </c>
      <c r="F71" s="64" t="inlineStr">
        <is>
          <t>MVND</t>
        </is>
      </c>
      <c r="G71" s="56">
        <f>SUM(H71:K71)</f>
        <v/>
      </c>
      <c r="H71" s="84">
        <f>SUM(L71:N71)</f>
        <v/>
      </c>
      <c r="I71" s="84">
        <f>SUM(O71:Q71)</f>
        <v/>
      </c>
      <c r="J71" s="84">
        <f>SUM(R71:T71)</f>
        <v/>
      </c>
      <c r="K71" s="84">
        <f>SUM(U71:W71)</f>
        <v/>
      </c>
      <c r="L71" s="90">
        <f>SUM(Weekly_Tracker!H201:L201)</f>
        <v/>
      </c>
      <c r="M71" s="90">
        <f>SUM(Weekly_Tracker!M201:Q201)</f>
        <v/>
      </c>
      <c r="N71" s="90">
        <f>SUM(Weekly_Tracker!R201:V201)</f>
        <v/>
      </c>
      <c r="O71" s="90">
        <f>SUM(Weekly_Tracker!W201:AA201)</f>
        <v/>
      </c>
      <c r="P71" s="90">
        <f>SUM(Weekly_Tracker!AB201:AF201)</f>
        <v/>
      </c>
      <c r="Q71" s="90">
        <f>SUM(Weekly_Tracker!AG201:AK201)</f>
        <v/>
      </c>
      <c r="R71" s="90">
        <f>SUM(Weekly_Tracker!AL201:AP201)</f>
        <v/>
      </c>
      <c r="S71" s="90">
        <f>SUM(Weekly_Tracker!AQ201:AU201)</f>
        <v/>
      </c>
      <c r="T71" s="90">
        <f>SUM(Weekly_Tracker!AV201:AZ201)</f>
        <v/>
      </c>
      <c r="U71" s="90">
        <f>SUM(Weekly_Tracker!BA201:BE201)</f>
        <v/>
      </c>
      <c r="V71" s="90">
        <f>SUM(Weekly_Tracker!BF201:BJ201)</f>
        <v/>
      </c>
      <c r="W71" s="90">
        <f>SUM(Weekly_Tracker!BK201:BO201)</f>
        <v/>
      </c>
      <c r="X71" s="91">
        <f>H71</f>
        <v/>
      </c>
      <c r="Y71" s="91">
        <f>X71+I71</f>
        <v/>
      </c>
      <c r="Z71" s="91">
        <f>Y71+J71</f>
        <v/>
      </c>
      <c r="AA71" s="91">
        <f>Z71+K71</f>
        <v/>
      </c>
      <c r="AB71" s="85" t="n"/>
      <c r="AC71" s="86">
        <f>IF($B71="","",IF(AB71=0,"chưa nhập FY target",IF(ROUND(G71-AB71,2)=0,"OK","Lệch "&amp;TEXT(G71-AB71,"#,##0"))))</f>
        <v/>
      </c>
    </row>
    <row r="72">
      <c r="A72" s="87">
        <f>IF($B72="","",$B72&amp;"|"&amp;$D72)</f>
        <v/>
      </c>
      <c r="B72" s="88">
        <f>IFERROR(INDEX(Team_Master!$C$6:$C$20,14),"")</f>
        <v/>
      </c>
      <c r="C72" s="89">
        <f>IFERROR(INDEX(Team_Master!$G$6:$G$20,14),"")</f>
        <v/>
      </c>
      <c r="D72" s="63" t="inlineStr">
        <is>
          <t>K2</t>
        </is>
      </c>
      <c r="E72" s="12" t="inlineStr">
        <is>
          <t>Key account approach / Site check</t>
        </is>
      </c>
      <c r="F72" s="64" t="inlineStr">
        <is>
          <t>Roadshow</t>
        </is>
      </c>
      <c r="G72" s="56">
        <f>SUM(H72:K72)</f>
        <v/>
      </c>
      <c r="H72" s="84">
        <f>SUM(L72:N72)</f>
        <v/>
      </c>
      <c r="I72" s="84">
        <f>SUM(O72:Q72)</f>
        <v/>
      </c>
      <c r="J72" s="84">
        <f>SUM(R72:T72)</f>
        <v/>
      </c>
      <c r="K72" s="84">
        <f>SUM(U72:W72)</f>
        <v/>
      </c>
      <c r="L72" s="90">
        <f>SUM(Weekly_Tracker!H204:L204)</f>
        <v/>
      </c>
      <c r="M72" s="90">
        <f>SUM(Weekly_Tracker!M204:Q204)</f>
        <v/>
      </c>
      <c r="N72" s="90">
        <f>SUM(Weekly_Tracker!R204:V204)</f>
        <v/>
      </c>
      <c r="O72" s="90">
        <f>SUM(Weekly_Tracker!W204:AA204)</f>
        <v/>
      </c>
      <c r="P72" s="90">
        <f>SUM(Weekly_Tracker!AB204:AF204)</f>
        <v/>
      </c>
      <c r="Q72" s="90">
        <f>SUM(Weekly_Tracker!AG204:AK204)</f>
        <v/>
      </c>
      <c r="R72" s="90">
        <f>SUM(Weekly_Tracker!AL204:AP204)</f>
        <v/>
      </c>
      <c r="S72" s="90">
        <f>SUM(Weekly_Tracker!AQ204:AU204)</f>
        <v/>
      </c>
      <c r="T72" s="90">
        <f>SUM(Weekly_Tracker!AV204:AZ204)</f>
        <v/>
      </c>
      <c r="U72" s="90">
        <f>SUM(Weekly_Tracker!BA204:BE204)</f>
        <v/>
      </c>
      <c r="V72" s="90">
        <f>SUM(Weekly_Tracker!BF204:BJ204)</f>
        <v/>
      </c>
      <c r="W72" s="90">
        <f>SUM(Weekly_Tracker!BK204:BO204)</f>
        <v/>
      </c>
      <c r="X72" s="91">
        <f>H72</f>
        <v/>
      </c>
      <c r="Y72" s="91">
        <f>X72+I72</f>
        <v/>
      </c>
      <c r="Z72" s="91">
        <f>Y72+J72</f>
        <v/>
      </c>
      <c r="AA72" s="91">
        <f>Z72+K72</f>
        <v/>
      </c>
      <c r="AB72" s="85" t="n"/>
      <c r="AC72" s="86">
        <f>IF($B72="","",IF(AB72=0,"chưa nhập FY target",IF(ROUND(G72-AB72,2)=0,"OK","Lệch "&amp;TEXT(G72-AB72,"#,##0"))))</f>
        <v/>
      </c>
    </row>
    <row r="73">
      <c r="A73" s="87">
        <f>IF($B73="","",$B73&amp;"|"&amp;$D73)</f>
        <v/>
      </c>
      <c r="B73" s="88">
        <f>IFERROR(INDEX(Team_Master!$C$6:$C$20,14),"")</f>
        <v/>
      </c>
      <c r="C73" s="89">
        <f>IFERROR(INDEX(Team_Master!$G$6:$G$20,14),"")</f>
        <v/>
      </c>
      <c r="D73" s="71" t="inlineStr">
        <is>
          <t>K3</t>
        </is>
      </c>
      <c r="E73" s="38" t="inlineStr">
        <is>
          <t>Spec-in Value</t>
        </is>
      </c>
      <c r="F73" s="72" t="inlineStr">
        <is>
          <t>MVND</t>
        </is>
      </c>
      <c r="G73" s="56">
        <f>SUM(H73:K73)</f>
        <v/>
      </c>
      <c r="H73" s="84">
        <f>SUM(L73:N73)</f>
        <v/>
      </c>
      <c r="I73" s="84">
        <f>SUM(O73:Q73)</f>
        <v/>
      </c>
      <c r="J73" s="84">
        <f>SUM(R73:T73)</f>
        <v/>
      </c>
      <c r="K73" s="84">
        <f>SUM(U73:W73)</f>
        <v/>
      </c>
      <c r="L73" s="90">
        <f>SUM(Weekly_Tracker!H207:L207)</f>
        <v/>
      </c>
      <c r="M73" s="90">
        <f>SUM(Weekly_Tracker!M207:Q207)</f>
        <v/>
      </c>
      <c r="N73" s="90">
        <f>SUM(Weekly_Tracker!R207:V207)</f>
        <v/>
      </c>
      <c r="O73" s="90">
        <f>SUM(Weekly_Tracker!W207:AA207)</f>
        <v/>
      </c>
      <c r="P73" s="90">
        <f>SUM(Weekly_Tracker!AB207:AF207)</f>
        <v/>
      </c>
      <c r="Q73" s="90">
        <f>SUM(Weekly_Tracker!AG207:AK207)</f>
        <v/>
      </c>
      <c r="R73" s="90">
        <f>SUM(Weekly_Tracker!AL207:AP207)</f>
        <v/>
      </c>
      <c r="S73" s="90">
        <f>SUM(Weekly_Tracker!AQ207:AU207)</f>
        <v/>
      </c>
      <c r="T73" s="90">
        <f>SUM(Weekly_Tracker!AV207:AZ207)</f>
        <v/>
      </c>
      <c r="U73" s="90">
        <f>SUM(Weekly_Tracker!BA207:BE207)</f>
        <v/>
      </c>
      <c r="V73" s="90">
        <f>SUM(Weekly_Tracker!BF207:BJ207)</f>
        <v/>
      </c>
      <c r="W73" s="90">
        <f>SUM(Weekly_Tracker!BK207:BO207)</f>
        <v/>
      </c>
      <c r="X73" s="91">
        <f>H73</f>
        <v/>
      </c>
      <c r="Y73" s="91">
        <f>X73+I73</f>
        <v/>
      </c>
      <c r="Z73" s="91">
        <f>Y73+J73</f>
        <v/>
      </c>
      <c r="AA73" s="91">
        <f>Z73+K73</f>
        <v/>
      </c>
      <c r="AB73" s="85" t="n"/>
      <c r="AC73" s="86">
        <f>IF($B73="","",IF(AB73=0,"chưa nhập FY target",IF(ROUND(G73-AB73,2)=0,"OK","Lệch "&amp;TEXT(G73-AB73,"#,##0"))))</f>
        <v/>
      </c>
    </row>
    <row r="74">
      <c r="A74" s="87">
        <f>IF($B74="","",$B74&amp;"|"&amp;$D74)</f>
        <v/>
      </c>
      <c r="B74" s="88">
        <f>IFERROR(INDEX(Team_Master!$C$6:$C$20,14),"")</f>
        <v/>
      </c>
      <c r="C74" s="89">
        <f>IFERROR(INDEX(Team_Master!$G$6:$G$20,14),"")</f>
        <v/>
      </c>
      <c r="D74" s="71" t="inlineStr">
        <is>
          <t>K4</t>
        </is>
      </c>
      <c r="E74" s="38" t="inlineStr">
        <is>
          <t>Engaged Architect (Submit Design)</t>
        </is>
      </c>
      <c r="F74" s="72" t="inlineStr">
        <is>
          <t>D&amp;B</t>
        </is>
      </c>
      <c r="G74" s="56">
        <f>SUM(H74:K74)</f>
        <v/>
      </c>
      <c r="H74" s="84">
        <f>SUM(L74:N74)</f>
        <v/>
      </c>
      <c r="I74" s="84">
        <f>SUM(O74:Q74)</f>
        <v/>
      </c>
      <c r="J74" s="84">
        <f>SUM(R74:T74)</f>
        <v/>
      </c>
      <c r="K74" s="84">
        <f>SUM(U74:W74)</f>
        <v/>
      </c>
      <c r="L74" s="90">
        <f>SUM(Weekly_Tracker!H210:L210)</f>
        <v/>
      </c>
      <c r="M74" s="90">
        <f>SUM(Weekly_Tracker!M210:Q210)</f>
        <v/>
      </c>
      <c r="N74" s="90">
        <f>SUM(Weekly_Tracker!R210:V210)</f>
        <v/>
      </c>
      <c r="O74" s="90">
        <f>SUM(Weekly_Tracker!W210:AA210)</f>
        <v/>
      </c>
      <c r="P74" s="90">
        <f>SUM(Weekly_Tracker!AB210:AF210)</f>
        <v/>
      </c>
      <c r="Q74" s="90">
        <f>SUM(Weekly_Tracker!AG210:AK210)</f>
        <v/>
      </c>
      <c r="R74" s="90">
        <f>SUM(Weekly_Tracker!AL210:AP210)</f>
        <v/>
      </c>
      <c r="S74" s="90">
        <f>SUM(Weekly_Tracker!AQ210:AU210)</f>
        <v/>
      </c>
      <c r="T74" s="90">
        <f>SUM(Weekly_Tracker!AV210:AZ210)</f>
        <v/>
      </c>
      <c r="U74" s="90">
        <f>SUM(Weekly_Tracker!BA210:BE210)</f>
        <v/>
      </c>
      <c r="V74" s="90">
        <f>SUM(Weekly_Tracker!BF210:BJ210)</f>
        <v/>
      </c>
      <c r="W74" s="90">
        <f>SUM(Weekly_Tracker!BK210:BO210)</f>
        <v/>
      </c>
      <c r="X74" s="91">
        <f>H74</f>
        <v/>
      </c>
      <c r="Y74" s="91">
        <f>X74+I74</f>
        <v/>
      </c>
      <c r="Z74" s="91">
        <f>Y74+J74</f>
        <v/>
      </c>
      <c r="AA74" s="91">
        <f>Z74+K74</f>
        <v/>
      </c>
      <c r="AB74" s="85" t="n"/>
      <c r="AC74" s="86">
        <f>IF($B74="","",IF(AB74=0,"chưa nhập FY target",IF(ROUND(G74-AB74,2)=0,"OK","Lệch "&amp;TEXT(G74-AB74,"#,##0"))))</f>
        <v/>
      </c>
    </row>
    <row r="75">
      <c r="A75" s="87">
        <f>IF($B75="","",$B75&amp;"|"&amp;$D75)</f>
        <v/>
      </c>
      <c r="B75" s="88">
        <f>IFERROR(INDEX(Team_Master!$C$6:$C$20,14),"")</f>
        <v/>
      </c>
      <c r="C75" s="89">
        <f>IFERROR(INDEX(Team_Master!$G$6:$G$20,14),"")</f>
        <v/>
      </c>
      <c r="D75" s="73" t="inlineStr">
        <is>
          <t>K5</t>
        </is>
      </c>
      <c r="E75" s="42" t="inlineStr">
        <is>
          <t>Spec-in Design (submitted design)</t>
        </is>
      </c>
      <c r="F75" s="74" t="inlineStr">
        <is>
          <t>Designs</t>
        </is>
      </c>
      <c r="G75" s="56">
        <f>SUM(H75:K75)</f>
        <v/>
      </c>
      <c r="H75" s="84">
        <f>SUM(L75:N75)</f>
        <v/>
      </c>
      <c r="I75" s="84">
        <f>SUM(O75:Q75)</f>
        <v/>
      </c>
      <c r="J75" s="84">
        <f>SUM(R75:T75)</f>
        <v/>
      </c>
      <c r="K75" s="84">
        <f>SUM(U75:W75)</f>
        <v/>
      </c>
      <c r="L75" s="90">
        <f>SUM(Weekly_Tracker!H213:L213)</f>
        <v/>
      </c>
      <c r="M75" s="90">
        <f>SUM(Weekly_Tracker!M213:Q213)</f>
        <v/>
      </c>
      <c r="N75" s="90">
        <f>SUM(Weekly_Tracker!R213:V213)</f>
        <v/>
      </c>
      <c r="O75" s="90">
        <f>SUM(Weekly_Tracker!W213:AA213)</f>
        <v/>
      </c>
      <c r="P75" s="90">
        <f>SUM(Weekly_Tracker!AB213:AF213)</f>
        <v/>
      </c>
      <c r="Q75" s="90">
        <f>SUM(Weekly_Tracker!AG213:AK213)</f>
        <v/>
      </c>
      <c r="R75" s="90">
        <f>SUM(Weekly_Tracker!AL213:AP213)</f>
        <v/>
      </c>
      <c r="S75" s="90">
        <f>SUM(Weekly_Tracker!AQ213:AU213)</f>
        <v/>
      </c>
      <c r="T75" s="90">
        <f>SUM(Weekly_Tracker!AV213:AZ213)</f>
        <v/>
      </c>
      <c r="U75" s="90">
        <f>SUM(Weekly_Tracker!BA213:BE213)</f>
        <v/>
      </c>
      <c r="V75" s="90">
        <f>SUM(Weekly_Tracker!BF213:BJ213)</f>
        <v/>
      </c>
      <c r="W75" s="90">
        <f>SUM(Weekly_Tracker!BK213:BO213)</f>
        <v/>
      </c>
      <c r="X75" s="91">
        <f>H75</f>
        <v/>
      </c>
      <c r="Y75" s="91">
        <f>X75+I75</f>
        <v/>
      </c>
      <c r="Z75" s="91">
        <f>Y75+J75</f>
        <v/>
      </c>
      <c r="AA75" s="91">
        <f>Z75+K75</f>
        <v/>
      </c>
      <c r="AB75" s="85" t="n"/>
      <c r="AC75" s="86">
        <f>IF($B75="","",IF(AB75=0,"chưa nhập FY target",IF(ROUND(G75-AB75,2)=0,"OK","Lệch "&amp;TEXT(G75-AB75,"#,##0"))))</f>
        <v/>
      </c>
    </row>
    <row r="76">
      <c r="A76" s="81">
        <f>IF($B76="","",$B76&amp;"|"&amp;$D76)</f>
        <v/>
      </c>
      <c r="B76" s="82">
        <f>IFERROR(INDEX(Team_Master!$C$6:$C$20,15),"")</f>
        <v/>
      </c>
      <c r="C76" s="83">
        <f>IFERROR(INDEX(Team_Master!$G$6:$G$20,15),"")</f>
        <v/>
      </c>
      <c r="D76" s="63" t="inlineStr">
        <is>
          <t>K1</t>
        </is>
      </c>
      <c r="E76" s="12" t="inlineStr">
        <is>
          <t>Invoiced Value</t>
        </is>
      </c>
      <c r="F76" s="64" t="inlineStr">
        <is>
          <t>MVND</t>
        </is>
      </c>
      <c r="G76" s="56">
        <f>SUM(H76:K76)</f>
        <v/>
      </c>
      <c r="H76" s="84">
        <f>SUM(L76:N76)</f>
        <v/>
      </c>
      <c r="I76" s="84">
        <f>SUM(O76:Q76)</f>
        <v/>
      </c>
      <c r="J76" s="84">
        <f>SUM(R76:T76)</f>
        <v/>
      </c>
      <c r="K76" s="84">
        <f>SUM(U76:W76)</f>
        <v/>
      </c>
      <c r="L76" s="54">
        <f>SUM(Weekly_Tracker!H216:L216)</f>
        <v/>
      </c>
      <c r="M76" s="54">
        <f>SUM(Weekly_Tracker!M216:Q216)</f>
        <v/>
      </c>
      <c r="N76" s="54">
        <f>SUM(Weekly_Tracker!R216:V216)</f>
        <v/>
      </c>
      <c r="O76" s="54">
        <f>SUM(Weekly_Tracker!W216:AA216)</f>
        <v/>
      </c>
      <c r="P76" s="54">
        <f>SUM(Weekly_Tracker!AB216:AF216)</f>
        <v/>
      </c>
      <c r="Q76" s="54">
        <f>SUM(Weekly_Tracker!AG216:AK216)</f>
        <v/>
      </c>
      <c r="R76" s="54">
        <f>SUM(Weekly_Tracker!AL216:AP216)</f>
        <v/>
      </c>
      <c r="S76" s="54">
        <f>SUM(Weekly_Tracker!AQ216:AU216)</f>
        <v/>
      </c>
      <c r="T76" s="54">
        <f>SUM(Weekly_Tracker!AV216:AZ216)</f>
        <v/>
      </c>
      <c r="U76" s="54">
        <f>SUM(Weekly_Tracker!BA216:BE216)</f>
        <v/>
      </c>
      <c r="V76" s="54">
        <f>SUM(Weekly_Tracker!BF216:BJ216)</f>
        <v/>
      </c>
      <c r="W76" s="54">
        <f>SUM(Weekly_Tracker!BK216:BO216)</f>
        <v/>
      </c>
      <c r="X76" s="53">
        <f>H76</f>
        <v/>
      </c>
      <c r="Y76" s="53">
        <f>X76+I76</f>
        <v/>
      </c>
      <c r="Z76" s="53">
        <f>Y76+J76</f>
        <v/>
      </c>
      <c r="AA76" s="53">
        <f>Z76+K76</f>
        <v/>
      </c>
      <c r="AB76" s="85" t="n"/>
      <c r="AC76" s="86">
        <f>IF($B76="","",IF(AB76=0,"chưa nhập FY target",IF(ROUND(G76-AB76,2)=0,"OK","Lệch "&amp;TEXT(G76-AB76,"#,##0"))))</f>
        <v/>
      </c>
    </row>
    <row r="77">
      <c r="A77" s="81">
        <f>IF($B77="","",$B77&amp;"|"&amp;$D77)</f>
        <v/>
      </c>
      <c r="B77" s="82">
        <f>IFERROR(INDEX(Team_Master!$C$6:$C$20,15),"")</f>
        <v/>
      </c>
      <c r="C77" s="83">
        <f>IFERROR(INDEX(Team_Master!$G$6:$G$20,15),"")</f>
        <v/>
      </c>
      <c r="D77" s="63" t="inlineStr">
        <is>
          <t>K2</t>
        </is>
      </c>
      <c r="E77" s="12" t="inlineStr">
        <is>
          <t>Key account approach / Site check</t>
        </is>
      </c>
      <c r="F77" s="64" t="inlineStr">
        <is>
          <t>Roadshow</t>
        </is>
      </c>
      <c r="G77" s="56">
        <f>SUM(H77:K77)</f>
        <v/>
      </c>
      <c r="H77" s="84">
        <f>SUM(L77:N77)</f>
        <v/>
      </c>
      <c r="I77" s="84">
        <f>SUM(O77:Q77)</f>
        <v/>
      </c>
      <c r="J77" s="84">
        <f>SUM(R77:T77)</f>
        <v/>
      </c>
      <c r="K77" s="84">
        <f>SUM(U77:W77)</f>
        <v/>
      </c>
      <c r="L77" s="54">
        <f>SUM(Weekly_Tracker!H219:L219)</f>
        <v/>
      </c>
      <c r="M77" s="54">
        <f>SUM(Weekly_Tracker!M219:Q219)</f>
        <v/>
      </c>
      <c r="N77" s="54">
        <f>SUM(Weekly_Tracker!R219:V219)</f>
        <v/>
      </c>
      <c r="O77" s="54">
        <f>SUM(Weekly_Tracker!W219:AA219)</f>
        <v/>
      </c>
      <c r="P77" s="54">
        <f>SUM(Weekly_Tracker!AB219:AF219)</f>
        <v/>
      </c>
      <c r="Q77" s="54">
        <f>SUM(Weekly_Tracker!AG219:AK219)</f>
        <v/>
      </c>
      <c r="R77" s="54">
        <f>SUM(Weekly_Tracker!AL219:AP219)</f>
        <v/>
      </c>
      <c r="S77" s="54">
        <f>SUM(Weekly_Tracker!AQ219:AU219)</f>
        <v/>
      </c>
      <c r="T77" s="54">
        <f>SUM(Weekly_Tracker!AV219:AZ219)</f>
        <v/>
      </c>
      <c r="U77" s="54">
        <f>SUM(Weekly_Tracker!BA219:BE219)</f>
        <v/>
      </c>
      <c r="V77" s="54">
        <f>SUM(Weekly_Tracker!BF219:BJ219)</f>
        <v/>
      </c>
      <c r="W77" s="54">
        <f>SUM(Weekly_Tracker!BK219:BO219)</f>
        <v/>
      </c>
      <c r="X77" s="53">
        <f>H77</f>
        <v/>
      </c>
      <c r="Y77" s="53">
        <f>X77+I77</f>
        <v/>
      </c>
      <c r="Z77" s="53">
        <f>Y77+J77</f>
        <v/>
      </c>
      <c r="AA77" s="53">
        <f>Z77+K77</f>
        <v/>
      </c>
      <c r="AB77" s="85" t="n"/>
      <c r="AC77" s="86">
        <f>IF($B77="","",IF(AB77=0,"chưa nhập FY target",IF(ROUND(G77-AB77,2)=0,"OK","Lệch "&amp;TEXT(G77-AB77,"#,##0"))))</f>
        <v/>
      </c>
    </row>
    <row r="78">
      <c r="A78" s="81">
        <f>IF($B78="","",$B78&amp;"|"&amp;$D78)</f>
        <v/>
      </c>
      <c r="B78" s="82">
        <f>IFERROR(INDEX(Team_Master!$C$6:$C$20,15),"")</f>
        <v/>
      </c>
      <c r="C78" s="83">
        <f>IFERROR(INDEX(Team_Master!$G$6:$G$20,15),"")</f>
        <v/>
      </c>
      <c r="D78" s="71" t="inlineStr">
        <is>
          <t>K3</t>
        </is>
      </c>
      <c r="E78" s="38" t="inlineStr">
        <is>
          <t>Spec-in Value</t>
        </is>
      </c>
      <c r="F78" s="72" t="inlineStr">
        <is>
          <t>MVND</t>
        </is>
      </c>
      <c r="G78" s="56">
        <f>SUM(H78:K78)</f>
        <v/>
      </c>
      <c r="H78" s="84">
        <f>SUM(L78:N78)</f>
        <v/>
      </c>
      <c r="I78" s="84">
        <f>SUM(O78:Q78)</f>
        <v/>
      </c>
      <c r="J78" s="84">
        <f>SUM(R78:T78)</f>
        <v/>
      </c>
      <c r="K78" s="84">
        <f>SUM(U78:W78)</f>
        <v/>
      </c>
      <c r="L78" s="54">
        <f>SUM(Weekly_Tracker!H222:L222)</f>
        <v/>
      </c>
      <c r="M78" s="54">
        <f>SUM(Weekly_Tracker!M222:Q222)</f>
        <v/>
      </c>
      <c r="N78" s="54">
        <f>SUM(Weekly_Tracker!R222:V222)</f>
        <v/>
      </c>
      <c r="O78" s="54">
        <f>SUM(Weekly_Tracker!W222:AA222)</f>
        <v/>
      </c>
      <c r="P78" s="54">
        <f>SUM(Weekly_Tracker!AB222:AF222)</f>
        <v/>
      </c>
      <c r="Q78" s="54">
        <f>SUM(Weekly_Tracker!AG222:AK222)</f>
        <v/>
      </c>
      <c r="R78" s="54">
        <f>SUM(Weekly_Tracker!AL222:AP222)</f>
        <v/>
      </c>
      <c r="S78" s="54">
        <f>SUM(Weekly_Tracker!AQ222:AU222)</f>
        <v/>
      </c>
      <c r="T78" s="54">
        <f>SUM(Weekly_Tracker!AV222:AZ222)</f>
        <v/>
      </c>
      <c r="U78" s="54">
        <f>SUM(Weekly_Tracker!BA222:BE222)</f>
        <v/>
      </c>
      <c r="V78" s="54">
        <f>SUM(Weekly_Tracker!BF222:BJ222)</f>
        <v/>
      </c>
      <c r="W78" s="54">
        <f>SUM(Weekly_Tracker!BK222:BO222)</f>
        <v/>
      </c>
      <c r="X78" s="53">
        <f>H78</f>
        <v/>
      </c>
      <c r="Y78" s="53">
        <f>X78+I78</f>
        <v/>
      </c>
      <c r="Z78" s="53">
        <f>Y78+J78</f>
        <v/>
      </c>
      <c r="AA78" s="53">
        <f>Z78+K78</f>
        <v/>
      </c>
      <c r="AB78" s="85" t="n"/>
      <c r="AC78" s="86">
        <f>IF($B78="","",IF(AB78=0,"chưa nhập FY target",IF(ROUND(G78-AB78,2)=0,"OK","Lệch "&amp;TEXT(G78-AB78,"#,##0"))))</f>
        <v/>
      </c>
    </row>
    <row r="79">
      <c r="A79" s="81">
        <f>IF($B79="","",$B79&amp;"|"&amp;$D79)</f>
        <v/>
      </c>
      <c r="B79" s="82">
        <f>IFERROR(INDEX(Team_Master!$C$6:$C$20,15),"")</f>
        <v/>
      </c>
      <c r="C79" s="83">
        <f>IFERROR(INDEX(Team_Master!$G$6:$G$20,15),"")</f>
        <v/>
      </c>
      <c r="D79" s="71" t="inlineStr">
        <is>
          <t>K4</t>
        </is>
      </c>
      <c r="E79" s="38" t="inlineStr">
        <is>
          <t>Engaged Architect (Submit Design)</t>
        </is>
      </c>
      <c r="F79" s="72" t="inlineStr">
        <is>
          <t>D&amp;B</t>
        </is>
      </c>
      <c r="G79" s="56">
        <f>SUM(H79:K79)</f>
        <v/>
      </c>
      <c r="H79" s="84">
        <f>SUM(L79:N79)</f>
        <v/>
      </c>
      <c r="I79" s="84">
        <f>SUM(O79:Q79)</f>
        <v/>
      </c>
      <c r="J79" s="84">
        <f>SUM(R79:T79)</f>
        <v/>
      </c>
      <c r="K79" s="84">
        <f>SUM(U79:W79)</f>
        <v/>
      </c>
      <c r="L79" s="54">
        <f>SUM(Weekly_Tracker!H225:L225)</f>
        <v/>
      </c>
      <c r="M79" s="54">
        <f>SUM(Weekly_Tracker!M225:Q225)</f>
        <v/>
      </c>
      <c r="N79" s="54">
        <f>SUM(Weekly_Tracker!R225:V225)</f>
        <v/>
      </c>
      <c r="O79" s="54">
        <f>SUM(Weekly_Tracker!W225:AA225)</f>
        <v/>
      </c>
      <c r="P79" s="54">
        <f>SUM(Weekly_Tracker!AB225:AF225)</f>
        <v/>
      </c>
      <c r="Q79" s="54">
        <f>SUM(Weekly_Tracker!AG225:AK225)</f>
        <v/>
      </c>
      <c r="R79" s="54">
        <f>SUM(Weekly_Tracker!AL225:AP225)</f>
        <v/>
      </c>
      <c r="S79" s="54">
        <f>SUM(Weekly_Tracker!AQ225:AU225)</f>
        <v/>
      </c>
      <c r="T79" s="54">
        <f>SUM(Weekly_Tracker!AV225:AZ225)</f>
        <v/>
      </c>
      <c r="U79" s="54">
        <f>SUM(Weekly_Tracker!BA225:BE225)</f>
        <v/>
      </c>
      <c r="V79" s="54">
        <f>SUM(Weekly_Tracker!BF225:BJ225)</f>
        <v/>
      </c>
      <c r="W79" s="54">
        <f>SUM(Weekly_Tracker!BK225:BO225)</f>
        <v/>
      </c>
      <c r="X79" s="53">
        <f>H79</f>
        <v/>
      </c>
      <c r="Y79" s="53">
        <f>X79+I79</f>
        <v/>
      </c>
      <c r="Z79" s="53">
        <f>Y79+J79</f>
        <v/>
      </c>
      <c r="AA79" s="53">
        <f>Z79+K79</f>
        <v/>
      </c>
      <c r="AB79" s="85" t="n"/>
      <c r="AC79" s="86">
        <f>IF($B79="","",IF(AB79=0,"chưa nhập FY target",IF(ROUND(G79-AB79,2)=0,"OK","Lệch "&amp;TEXT(G79-AB79,"#,##0"))))</f>
        <v/>
      </c>
    </row>
    <row r="80">
      <c r="A80" s="81">
        <f>IF($B80="","",$B80&amp;"|"&amp;$D80)</f>
        <v/>
      </c>
      <c r="B80" s="82">
        <f>IFERROR(INDEX(Team_Master!$C$6:$C$20,15),"")</f>
        <v/>
      </c>
      <c r="C80" s="83">
        <f>IFERROR(INDEX(Team_Master!$G$6:$G$20,15),"")</f>
        <v/>
      </c>
      <c r="D80" s="73" t="inlineStr">
        <is>
          <t>K5</t>
        </is>
      </c>
      <c r="E80" s="42" t="inlineStr">
        <is>
          <t>Spec-in Design (submitted design)</t>
        </is>
      </c>
      <c r="F80" s="74" t="inlineStr">
        <is>
          <t>Designs</t>
        </is>
      </c>
      <c r="G80" s="56">
        <f>SUM(H80:K80)</f>
        <v/>
      </c>
      <c r="H80" s="84">
        <f>SUM(L80:N80)</f>
        <v/>
      </c>
      <c r="I80" s="84">
        <f>SUM(O80:Q80)</f>
        <v/>
      </c>
      <c r="J80" s="84">
        <f>SUM(R80:T80)</f>
        <v/>
      </c>
      <c r="K80" s="84">
        <f>SUM(U80:W80)</f>
        <v/>
      </c>
      <c r="L80" s="54">
        <f>SUM(Weekly_Tracker!H228:L228)</f>
        <v/>
      </c>
      <c r="M80" s="54">
        <f>SUM(Weekly_Tracker!M228:Q228)</f>
        <v/>
      </c>
      <c r="N80" s="54">
        <f>SUM(Weekly_Tracker!R228:V228)</f>
        <v/>
      </c>
      <c r="O80" s="54">
        <f>SUM(Weekly_Tracker!W228:AA228)</f>
        <v/>
      </c>
      <c r="P80" s="54">
        <f>SUM(Weekly_Tracker!AB228:AF228)</f>
        <v/>
      </c>
      <c r="Q80" s="54">
        <f>SUM(Weekly_Tracker!AG228:AK228)</f>
        <v/>
      </c>
      <c r="R80" s="54">
        <f>SUM(Weekly_Tracker!AL228:AP228)</f>
        <v/>
      </c>
      <c r="S80" s="54">
        <f>SUM(Weekly_Tracker!AQ228:AU228)</f>
        <v/>
      </c>
      <c r="T80" s="54">
        <f>SUM(Weekly_Tracker!AV228:AZ228)</f>
        <v/>
      </c>
      <c r="U80" s="54">
        <f>SUM(Weekly_Tracker!BA228:BE228)</f>
        <v/>
      </c>
      <c r="V80" s="54">
        <f>SUM(Weekly_Tracker!BF228:BJ228)</f>
        <v/>
      </c>
      <c r="W80" s="54">
        <f>SUM(Weekly_Tracker!BK228:BO228)</f>
        <v/>
      </c>
      <c r="X80" s="53">
        <f>H80</f>
        <v/>
      </c>
      <c r="Y80" s="53">
        <f>X80+I80</f>
        <v/>
      </c>
      <c r="Z80" s="53">
        <f>Y80+J80</f>
        <v/>
      </c>
      <c r="AA80" s="53">
        <f>Z80+K80</f>
        <v/>
      </c>
      <c r="AB80" s="85" t="n"/>
      <c r="AC80" s="86">
        <f>IF($B80="","",IF(AB80=0,"chưa nhập FY target",IF(ROUND(G80-AB80,2)=0,"OK","Lệch "&amp;TEXT(G80-AB80,"#,##0"))))</f>
        <v/>
      </c>
    </row>
    <row r="82">
      <c r="B82" s="92" t="inlineStr">
        <is>
          <t>TỔNG TOÀN KÊNH THEO KPI / CHANNEL TOTAL BY KPI</t>
        </is>
      </c>
    </row>
    <row r="83">
      <c r="D83" s="28" t="inlineStr">
        <is>
          <t>KPI</t>
        </is>
      </c>
      <c r="E83" s="28" t="inlineStr">
        <is>
          <t>KPI name</t>
        </is>
      </c>
      <c r="F83" s="28" t="inlineStr">
        <is>
          <t>Unit</t>
        </is>
      </c>
      <c r="G83" s="28" t="inlineStr">
        <is>
          <t>FY total</t>
        </is>
      </c>
      <c r="H83" s="28" t="inlineStr">
        <is>
          <t>Q1</t>
        </is>
      </c>
      <c r="I83" s="28" t="inlineStr">
        <is>
          <t>Q2</t>
        </is>
      </c>
      <c r="J83" s="28" t="inlineStr">
        <is>
          <t>Q3</t>
        </is>
      </c>
      <c r="K83" s="28" t="inlineStr">
        <is>
          <t>Q4</t>
        </is>
      </c>
    </row>
    <row r="84">
      <c r="D84" s="93" t="inlineStr">
        <is>
          <t>K1</t>
        </is>
      </c>
      <c r="E84" s="25" t="inlineStr">
        <is>
          <t>Invoiced Value</t>
        </is>
      </c>
      <c r="F84" s="94" t="inlineStr">
        <is>
          <t>MVND</t>
        </is>
      </c>
      <c r="G84" s="56">
        <f>SUMIF($D$6:$D$80,$D84,G$6:G$80)</f>
        <v/>
      </c>
      <c r="H84" s="56">
        <f>SUMIF($D$6:$D$80,$D84,H$6:H$80)</f>
        <v/>
      </c>
      <c r="I84" s="56">
        <f>SUMIF($D$6:$D$80,$D84,I$6:I$80)</f>
        <v/>
      </c>
      <c r="J84" s="56">
        <f>SUMIF($D$6:$D$80,$D84,J$6:J$80)</f>
        <v/>
      </c>
      <c r="K84" s="56">
        <f>SUMIF($D$6:$D$80,$D84,K$6:K$80)</f>
        <v/>
      </c>
    </row>
    <row r="85">
      <c r="D85" s="93" t="inlineStr">
        <is>
          <t>K2</t>
        </is>
      </c>
      <c r="E85" s="25" t="inlineStr">
        <is>
          <t>Key account approach / Site check</t>
        </is>
      </c>
      <c r="F85" s="94" t="inlineStr">
        <is>
          <t>Roadshow</t>
        </is>
      </c>
      <c r="G85" s="56">
        <f>SUMIF($D$6:$D$80,$D85,G$6:G$80)</f>
        <v/>
      </c>
      <c r="H85" s="56">
        <f>SUMIF($D$6:$D$80,$D85,H$6:H$80)</f>
        <v/>
      </c>
      <c r="I85" s="56">
        <f>SUMIF($D$6:$D$80,$D85,I$6:I$80)</f>
        <v/>
      </c>
      <c r="J85" s="56">
        <f>SUMIF($D$6:$D$80,$D85,J$6:J$80)</f>
        <v/>
      </c>
      <c r="K85" s="56">
        <f>SUMIF($D$6:$D$80,$D85,K$6:K$80)</f>
        <v/>
      </c>
    </row>
    <row r="86">
      <c r="D86" s="93" t="inlineStr">
        <is>
          <t>K3</t>
        </is>
      </c>
      <c r="E86" s="25" t="inlineStr">
        <is>
          <t>Spec-in Value</t>
        </is>
      </c>
      <c r="F86" s="94" t="inlineStr">
        <is>
          <t>MVND</t>
        </is>
      </c>
      <c r="G86" s="56">
        <f>SUMIF($D$6:$D$80,$D86,G$6:G$80)</f>
        <v/>
      </c>
      <c r="H86" s="56">
        <f>SUMIF($D$6:$D$80,$D86,H$6:H$80)</f>
        <v/>
      </c>
      <c r="I86" s="56">
        <f>SUMIF($D$6:$D$80,$D86,I$6:I$80)</f>
        <v/>
      </c>
      <c r="J86" s="56">
        <f>SUMIF($D$6:$D$80,$D86,J$6:J$80)</f>
        <v/>
      </c>
      <c r="K86" s="56">
        <f>SUMIF($D$6:$D$80,$D86,K$6:K$80)</f>
        <v/>
      </c>
    </row>
    <row r="87">
      <c r="D87" s="93" t="inlineStr">
        <is>
          <t>K4</t>
        </is>
      </c>
      <c r="E87" s="25" t="inlineStr">
        <is>
          <t>Engaged Architect (Submit Design)</t>
        </is>
      </c>
      <c r="F87" s="94" t="inlineStr">
        <is>
          <t>D&amp;B</t>
        </is>
      </c>
      <c r="G87" s="56">
        <f>SUMIF($D$6:$D$80,$D87,G$6:G$80)</f>
        <v/>
      </c>
      <c r="H87" s="56">
        <f>SUMIF($D$6:$D$80,$D87,H$6:H$80)</f>
        <v/>
      </c>
      <c r="I87" s="56">
        <f>SUMIF($D$6:$D$80,$D87,I$6:I$80)</f>
        <v/>
      </c>
      <c r="J87" s="56">
        <f>SUMIF($D$6:$D$80,$D87,J$6:J$80)</f>
        <v/>
      </c>
      <c r="K87" s="56">
        <f>SUMIF($D$6:$D$80,$D87,K$6:K$80)</f>
        <v/>
      </c>
    </row>
    <row r="88">
      <c r="D88" s="93" t="inlineStr">
        <is>
          <t>K5</t>
        </is>
      </c>
      <c r="E88" s="25" t="inlineStr">
        <is>
          <t>Spec-in Design (submitted design)</t>
        </is>
      </c>
      <c r="F88" s="94" t="inlineStr">
        <is>
          <t>Designs</t>
        </is>
      </c>
      <c r="G88" s="56">
        <f>SUMIF($D$6:$D$80,$D88,G$6:G$80)</f>
        <v/>
      </c>
      <c r="H88" s="56">
        <f>SUMIF($D$6:$D$80,$D88,H$6:H$80)</f>
        <v/>
      </c>
      <c r="I88" s="56">
        <f>SUMIF($D$6:$D$80,$D88,I$6:I$80)</f>
        <v/>
      </c>
      <c r="J88" s="56">
        <f>SUMIF($D$6:$D$80,$D88,J$6:J$80)</f>
        <v/>
      </c>
      <c r="K88" s="56">
        <f>SUMIF($D$6:$D$80,$D88,K$6:K$80)</f>
        <v/>
      </c>
    </row>
  </sheetData>
  <conditionalFormatting sqref="AC6:AC80">
    <cfRule type="cellIs" priority="1" operator="equal" dxfId="3">
      <formula>"OK"</formula>
    </cfRule>
  </conditionalFormatting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AA88"/>
  <sheetViews>
    <sheetView showGridLines="0"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7" customWidth="1" min="4" max="4"/>
    <col width="26" customWidth="1" min="5" max="5"/>
    <col width="9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8" customWidth="1" min="29" max="29"/>
  </cols>
  <sheetData>
    <row r="2">
      <c r="B2" s="16" t="inlineStr">
        <is>
          <t>ACTUAL FY2026 – gom từ Weekly_Tracker</t>
        </is>
      </c>
    </row>
    <row r="3">
      <c r="B3" s="17" t="inlineStr">
        <is>
          <t>Sheet chỉ đọc. Actual nhập ở Weekly_Tracker (dòng 'Actual').</t>
        </is>
      </c>
    </row>
    <row r="4">
      <c r="L4" s="76" t="inlineStr">
        <is>
          <t>TỰ GOM TỪ WEEKLY_TRACKER →</t>
        </is>
      </c>
    </row>
    <row r="5" ht="26" customHeight="1">
      <c r="A5" s="28" t="inlineStr">
        <is>
          <t>Key</t>
        </is>
      </c>
      <c r="B5" s="28" t="inlineStr">
        <is>
          <t>Emp Code</t>
        </is>
      </c>
      <c r="C5" s="28" t="inlineStr">
        <is>
          <t>Name of Sales Person</t>
        </is>
      </c>
      <c r="D5" s="28" t="inlineStr">
        <is>
          <t>KPI</t>
        </is>
      </c>
      <c r="E5" s="28" t="inlineStr">
        <is>
          <t>KPI name</t>
        </is>
      </c>
      <c r="F5" s="28" t="inlineStr">
        <is>
          <t>Unit</t>
        </is>
      </c>
      <c r="G5" s="28" t="inlineStr">
        <is>
          <t>FY total</t>
        </is>
      </c>
      <c r="H5" s="77" t="inlineStr">
        <is>
          <t>Q1</t>
        </is>
      </c>
      <c r="I5" s="77" t="inlineStr">
        <is>
          <t>Q2</t>
        </is>
      </c>
      <c r="J5" s="77" t="inlineStr">
        <is>
          <t>Q3</t>
        </is>
      </c>
      <c r="K5" s="77" t="inlineStr">
        <is>
          <t>Q4</t>
        </is>
      </c>
      <c r="L5" s="78" t="inlineStr">
        <is>
          <t>Jan</t>
        </is>
      </c>
      <c r="M5" s="78" t="inlineStr">
        <is>
          <t>Feb</t>
        </is>
      </c>
      <c r="N5" s="78" t="inlineStr">
        <is>
          <t>Mar</t>
        </is>
      </c>
      <c r="O5" s="78" t="inlineStr">
        <is>
          <t>Apr</t>
        </is>
      </c>
      <c r="P5" s="78" t="inlineStr">
        <is>
          <t>May</t>
        </is>
      </c>
      <c r="Q5" s="78" t="inlineStr">
        <is>
          <t>Jun</t>
        </is>
      </c>
      <c r="R5" s="78" t="inlineStr">
        <is>
          <t>Jul</t>
        </is>
      </c>
      <c r="S5" s="78" t="inlineStr">
        <is>
          <t>Aug</t>
        </is>
      </c>
      <c r="T5" s="78" t="inlineStr">
        <is>
          <t>Sep</t>
        </is>
      </c>
      <c r="U5" s="78" t="inlineStr">
        <is>
          <t>Oct</t>
        </is>
      </c>
      <c r="V5" s="78" t="inlineStr">
        <is>
          <t>Nov</t>
        </is>
      </c>
      <c r="W5" s="78" t="inlineStr">
        <is>
          <t>Dec</t>
        </is>
      </c>
      <c r="X5" s="79" t="inlineStr">
        <is>
          <t>YTD Q1</t>
        </is>
      </c>
      <c r="Y5" s="79" t="inlineStr">
        <is>
          <t>YTD Q2</t>
        </is>
      </c>
      <c r="Z5" s="79" t="inlineStr">
        <is>
          <t>YTD Q3</t>
        </is>
      </c>
      <c r="AA5" s="79" t="inlineStr">
        <is>
          <t>YTD Q4</t>
        </is>
      </c>
    </row>
    <row r="6">
      <c r="A6" s="81">
        <f>IF($B6="","",$B6&amp;"|"&amp;$D6)</f>
        <v/>
      </c>
      <c r="B6" s="82">
        <f>IFERROR(INDEX(Team_Master!$C$6:$C$20,1),"")</f>
        <v/>
      </c>
      <c r="C6" s="83">
        <f>IFERROR(INDEX(Team_Master!$G$6:$G$20,1),"")</f>
        <v/>
      </c>
      <c r="D6" s="63" t="inlineStr">
        <is>
          <t>K1</t>
        </is>
      </c>
      <c r="E6" s="12" t="inlineStr">
        <is>
          <t>Invoiced Value</t>
        </is>
      </c>
      <c r="F6" s="64" t="inlineStr">
        <is>
          <t>MVND</t>
        </is>
      </c>
      <c r="G6" s="56">
        <f>SUM(H6:K6)</f>
        <v/>
      </c>
      <c r="H6" s="84">
        <f>SUM(L6:N6)</f>
        <v/>
      </c>
      <c r="I6" s="84">
        <f>SUM(O6:Q6)</f>
        <v/>
      </c>
      <c r="J6" s="84">
        <f>SUM(R6:T6)</f>
        <v/>
      </c>
      <c r="K6" s="84">
        <f>SUM(U6:W6)</f>
        <v/>
      </c>
      <c r="L6" s="54">
        <f>SUM(Weekly_Tracker!H7:L7)</f>
        <v/>
      </c>
      <c r="M6" s="54">
        <f>SUM(Weekly_Tracker!M7:Q7)</f>
        <v/>
      </c>
      <c r="N6" s="54">
        <f>SUM(Weekly_Tracker!R7:V7)</f>
        <v/>
      </c>
      <c r="O6" s="54">
        <f>SUM(Weekly_Tracker!W7:AA7)</f>
        <v/>
      </c>
      <c r="P6" s="54">
        <f>SUM(Weekly_Tracker!AB7:AF7)</f>
        <v/>
      </c>
      <c r="Q6" s="54">
        <f>SUM(Weekly_Tracker!AG7:AK7)</f>
        <v/>
      </c>
      <c r="R6" s="54">
        <f>SUM(Weekly_Tracker!AL7:AP7)</f>
        <v/>
      </c>
      <c r="S6" s="54">
        <f>SUM(Weekly_Tracker!AQ7:AU7)</f>
        <v/>
      </c>
      <c r="T6" s="54">
        <f>SUM(Weekly_Tracker!AV7:AZ7)</f>
        <v/>
      </c>
      <c r="U6" s="54">
        <f>SUM(Weekly_Tracker!BA7:BE7)</f>
        <v/>
      </c>
      <c r="V6" s="54">
        <f>SUM(Weekly_Tracker!BF7:BJ7)</f>
        <v/>
      </c>
      <c r="W6" s="54">
        <f>SUM(Weekly_Tracker!BK7:BO7)</f>
        <v/>
      </c>
      <c r="X6" s="53">
        <f>H6</f>
        <v/>
      </c>
      <c r="Y6" s="53">
        <f>X6+I6</f>
        <v/>
      </c>
      <c r="Z6" s="53">
        <f>Y6+J6</f>
        <v/>
      </c>
      <c r="AA6" s="53">
        <f>Z6+K6</f>
        <v/>
      </c>
    </row>
    <row r="7">
      <c r="A7" s="81">
        <f>IF($B7="","",$B7&amp;"|"&amp;$D7)</f>
        <v/>
      </c>
      <c r="B7" s="82">
        <f>IFERROR(INDEX(Team_Master!$C$6:$C$20,1),"")</f>
        <v/>
      </c>
      <c r="C7" s="83">
        <f>IFERROR(INDEX(Team_Master!$G$6:$G$20,1),"")</f>
        <v/>
      </c>
      <c r="D7" s="63" t="inlineStr">
        <is>
          <t>K2</t>
        </is>
      </c>
      <c r="E7" s="12" t="inlineStr">
        <is>
          <t>Key account approach / Site check</t>
        </is>
      </c>
      <c r="F7" s="64" t="inlineStr">
        <is>
          <t>Roadshow</t>
        </is>
      </c>
      <c r="G7" s="56">
        <f>SUM(H7:K7)</f>
        <v/>
      </c>
      <c r="H7" s="84">
        <f>SUM(L7:N7)</f>
        <v/>
      </c>
      <c r="I7" s="84">
        <f>SUM(O7:Q7)</f>
        <v/>
      </c>
      <c r="J7" s="84">
        <f>SUM(R7:T7)</f>
        <v/>
      </c>
      <c r="K7" s="84">
        <f>SUM(U7:W7)</f>
        <v/>
      </c>
      <c r="L7" s="54">
        <f>SUM(Weekly_Tracker!H10:L10)</f>
        <v/>
      </c>
      <c r="M7" s="54">
        <f>SUM(Weekly_Tracker!M10:Q10)</f>
        <v/>
      </c>
      <c r="N7" s="54">
        <f>SUM(Weekly_Tracker!R10:V10)</f>
        <v/>
      </c>
      <c r="O7" s="54">
        <f>SUM(Weekly_Tracker!W10:AA10)</f>
        <v/>
      </c>
      <c r="P7" s="54">
        <f>SUM(Weekly_Tracker!AB10:AF10)</f>
        <v/>
      </c>
      <c r="Q7" s="54">
        <f>SUM(Weekly_Tracker!AG10:AK10)</f>
        <v/>
      </c>
      <c r="R7" s="54">
        <f>SUM(Weekly_Tracker!AL10:AP10)</f>
        <v/>
      </c>
      <c r="S7" s="54">
        <f>SUM(Weekly_Tracker!AQ10:AU10)</f>
        <v/>
      </c>
      <c r="T7" s="54">
        <f>SUM(Weekly_Tracker!AV10:AZ10)</f>
        <v/>
      </c>
      <c r="U7" s="54">
        <f>SUM(Weekly_Tracker!BA10:BE10)</f>
        <v/>
      </c>
      <c r="V7" s="54">
        <f>SUM(Weekly_Tracker!BF10:BJ10)</f>
        <v/>
      </c>
      <c r="W7" s="54">
        <f>SUM(Weekly_Tracker!BK10:BO10)</f>
        <v/>
      </c>
      <c r="X7" s="53">
        <f>H7</f>
        <v/>
      </c>
      <c r="Y7" s="53">
        <f>X7+I7</f>
        <v/>
      </c>
      <c r="Z7" s="53">
        <f>Y7+J7</f>
        <v/>
      </c>
      <c r="AA7" s="53">
        <f>Z7+K7</f>
        <v/>
      </c>
    </row>
    <row r="8">
      <c r="A8" s="81">
        <f>IF($B8="","",$B8&amp;"|"&amp;$D8)</f>
        <v/>
      </c>
      <c r="B8" s="82">
        <f>IFERROR(INDEX(Team_Master!$C$6:$C$20,1),"")</f>
        <v/>
      </c>
      <c r="C8" s="83">
        <f>IFERROR(INDEX(Team_Master!$G$6:$G$20,1),"")</f>
        <v/>
      </c>
      <c r="D8" s="71" t="inlineStr">
        <is>
          <t>K3</t>
        </is>
      </c>
      <c r="E8" s="38" t="inlineStr">
        <is>
          <t>Spec-in Value</t>
        </is>
      </c>
      <c r="F8" s="72" t="inlineStr">
        <is>
          <t>MVND</t>
        </is>
      </c>
      <c r="G8" s="56">
        <f>SUM(H8:K8)</f>
        <v/>
      </c>
      <c r="H8" s="84">
        <f>SUM(L8:N8)</f>
        <v/>
      </c>
      <c r="I8" s="84">
        <f>SUM(O8:Q8)</f>
        <v/>
      </c>
      <c r="J8" s="84">
        <f>SUM(R8:T8)</f>
        <v/>
      </c>
      <c r="K8" s="84">
        <f>SUM(U8:W8)</f>
        <v/>
      </c>
      <c r="L8" s="54">
        <f>SUM(Weekly_Tracker!H13:L13)</f>
        <v/>
      </c>
      <c r="M8" s="54">
        <f>SUM(Weekly_Tracker!M13:Q13)</f>
        <v/>
      </c>
      <c r="N8" s="54">
        <f>SUM(Weekly_Tracker!R13:V13)</f>
        <v/>
      </c>
      <c r="O8" s="54">
        <f>SUM(Weekly_Tracker!W13:AA13)</f>
        <v/>
      </c>
      <c r="P8" s="54">
        <f>SUM(Weekly_Tracker!AB13:AF13)</f>
        <v/>
      </c>
      <c r="Q8" s="54">
        <f>SUM(Weekly_Tracker!AG13:AK13)</f>
        <v/>
      </c>
      <c r="R8" s="54">
        <f>SUM(Weekly_Tracker!AL13:AP13)</f>
        <v/>
      </c>
      <c r="S8" s="54">
        <f>SUM(Weekly_Tracker!AQ13:AU13)</f>
        <v/>
      </c>
      <c r="T8" s="54">
        <f>SUM(Weekly_Tracker!AV13:AZ13)</f>
        <v/>
      </c>
      <c r="U8" s="54">
        <f>SUM(Weekly_Tracker!BA13:BE13)</f>
        <v/>
      </c>
      <c r="V8" s="54">
        <f>SUM(Weekly_Tracker!BF13:BJ13)</f>
        <v/>
      </c>
      <c r="W8" s="54">
        <f>SUM(Weekly_Tracker!BK13:BO13)</f>
        <v/>
      </c>
      <c r="X8" s="53">
        <f>H8</f>
        <v/>
      </c>
      <c r="Y8" s="53">
        <f>X8+I8</f>
        <v/>
      </c>
      <c r="Z8" s="53">
        <f>Y8+J8</f>
        <v/>
      </c>
      <c r="AA8" s="53">
        <f>Z8+K8</f>
        <v/>
      </c>
    </row>
    <row r="9">
      <c r="A9" s="81">
        <f>IF($B9="","",$B9&amp;"|"&amp;$D9)</f>
        <v/>
      </c>
      <c r="B9" s="82">
        <f>IFERROR(INDEX(Team_Master!$C$6:$C$20,1),"")</f>
        <v/>
      </c>
      <c r="C9" s="83">
        <f>IFERROR(INDEX(Team_Master!$G$6:$G$20,1),"")</f>
        <v/>
      </c>
      <c r="D9" s="71" t="inlineStr">
        <is>
          <t>K4</t>
        </is>
      </c>
      <c r="E9" s="38" t="inlineStr">
        <is>
          <t>Engaged Architect (Submit Design)</t>
        </is>
      </c>
      <c r="F9" s="72" t="inlineStr">
        <is>
          <t>D&amp;B</t>
        </is>
      </c>
      <c r="G9" s="56">
        <f>SUM(H9:K9)</f>
        <v/>
      </c>
      <c r="H9" s="84">
        <f>SUM(L9:N9)</f>
        <v/>
      </c>
      <c r="I9" s="84">
        <f>SUM(O9:Q9)</f>
        <v/>
      </c>
      <c r="J9" s="84">
        <f>SUM(R9:T9)</f>
        <v/>
      </c>
      <c r="K9" s="84">
        <f>SUM(U9:W9)</f>
        <v/>
      </c>
      <c r="L9" s="54">
        <f>SUM(Weekly_Tracker!H16:L16)</f>
        <v/>
      </c>
      <c r="M9" s="54">
        <f>SUM(Weekly_Tracker!M16:Q16)</f>
        <v/>
      </c>
      <c r="N9" s="54">
        <f>SUM(Weekly_Tracker!R16:V16)</f>
        <v/>
      </c>
      <c r="O9" s="54">
        <f>SUM(Weekly_Tracker!W16:AA16)</f>
        <v/>
      </c>
      <c r="P9" s="54">
        <f>SUM(Weekly_Tracker!AB16:AF16)</f>
        <v/>
      </c>
      <c r="Q9" s="54">
        <f>SUM(Weekly_Tracker!AG16:AK16)</f>
        <v/>
      </c>
      <c r="R9" s="54">
        <f>SUM(Weekly_Tracker!AL16:AP16)</f>
        <v/>
      </c>
      <c r="S9" s="54">
        <f>SUM(Weekly_Tracker!AQ16:AU16)</f>
        <v/>
      </c>
      <c r="T9" s="54">
        <f>SUM(Weekly_Tracker!AV16:AZ16)</f>
        <v/>
      </c>
      <c r="U9" s="54">
        <f>SUM(Weekly_Tracker!BA16:BE16)</f>
        <v/>
      </c>
      <c r="V9" s="54">
        <f>SUM(Weekly_Tracker!BF16:BJ16)</f>
        <v/>
      </c>
      <c r="W9" s="54">
        <f>SUM(Weekly_Tracker!BK16:BO16)</f>
        <v/>
      </c>
      <c r="X9" s="53">
        <f>H9</f>
        <v/>
      </c>
      <c r="Y9" s="53">
        <f>X9+I9</f>
        <v/>
      </c>
      <c r="Z9" s="53">
        <f>Y9+J9</f>
        <v/>
      </c>
      <c r="AA9" s="53">
        <f>Z9+K9</f>
        <v/>
      </c>
    </row>
    <row r="10">
      <c r="A10" s="81">
        <f>IF($B10="","",$B10&amp;"|"&amp;$D10)</f>
        <v/>
      </c>
      <c r="B10" s="82">
        <f>IFERROR(INDEX(Team_Master!$C$6:$C$20,1),"")</f>
        <v/>
      </c>
      <c r="C10" s="83">
        <f>IFERROR(INDEX(Team_Master!$G$6:$G$20,1),"")</f>
        <v/>
      </c>
      <c r="D10" s="73" t="inlineStr">
        <is>
          <t>K5</t>
        </is>
      </c>
      <c r="E10" s="42" t="inlineStr">
        <is>
          <t>Spec-in Design (submitted design)</t>
        </is>
      </c>
      <c r="F10" s="74" t="inlineStr">
        <is>
          <t>Designs</t>
        </is>
      </c>
      <c r="G10" s="56">
        <f>SUM(H10:K10)</f>
        <v/>
      </c>
      <c r="H10" s="84">
        <f>SUM(L10:N10)</f>
        <v/>
      </c>
      <c r="I10" s="84">
        <f>SUM(O10:Q10)</f>
        <v/>
      </c>
      <c r="J10" s="84">
        <f>SUM(R10:T10)</f>
        <v/>
      </c>
      <c r="K10" s="84">
        <f>SUM(U10:W10)</f>
        <v/>
      </c>
      <c r="L10" s="54">
        <f>SUM(Weekly_Tracker!H19:L19)</f>
        <v/>
      </c>
      <c r="M10" s="54">
        <f>SUM(Weekly_Tracker!M19:Q19)</f>
        <v/>
      </c>
      <c r="N10" s="54">
        <f>SUM(Weekly_Tracker!R19:V19)</f>
        <v/>
      </c>
      <c r="O10" s="54">
        <f>SUM(Weekly_Tracker!W19:AA19)</f>
        <v/>
      </c>
      <c r="P10" s="54">
        <f>SUM(Weekly_Tracker!AB19:AF19)</f>
        <v/>
      </c>
      <c r="Q10" s="54">
        <f>SUM(Weekly_Tracker!AG19:AK19)</f>
        <v/>
      </c>
      <c r="R10" s="54">
        <f>SUM(Weekly_Tracker!AL19:AP19)</f>
        <v/>
      </c>
      <c r="S10" s="54">
        <f>SUM(Weekly_Tracker!AQ19:AU19)</f>
        <v/>
      </c>
      <c r="T10" s="54">
        <f>SUM(Weekly_Tracker!AV19:AZ19)</f>
        <v/>
      </c>
      <c r="U10" s="54">
        <f>SUM(Weekly_Tracker!BA19:BE19)</f>
        <v/>
      </c>
      <c r="V10" s="54">
        <f>SUM(Weekly_Tracker!BF19:BJ19)</f>
        <v/>
      </c>
      <c r="W10" s="54">
        <f>SUM(Weekly_Tracker!BK19:BO19)</f>
        <v/>
      </c>
      <c r="X10" s="53">
        <f>H10</f>
        <v/>
      </c>
      <c r="Y10" s="53">
        <f>X10+I10</f>
        <v/>
      </c>
      <c r="Z10" s="53">
        <f>Y10+J10</f>
        <v/>
      </c>
      <c r="AA10" s="53">
        <f>Z10+K10</f>
        <v/>
      </c>
    </row>
    <row r="11">
      <c r="A11" s="87">
        <f>IF($B11="","",$B11&amp;"|"&amp;$D11)</f>
        <v/>
      </c>
      <c r="B11" s="88">
        <f>IFERROR(INDEX(Team_Master!$C$6:$C$20,2),"")</f>
        <v/>
      </c>
      <c r="C11" s="89">
        <f>IFERROR(INDEX(Team_Master!$G$6:$G$20,2),"")</f>
        <v/>
      </c>
      <c r="D11" s="63" t="inlineStr">
        <is>
          <t>K1</t>
        </is>
      </c>
      <c r="E11" s="12" t="inlineStr">
        <is>
          <t>Invoiced Value</t>
        </is>
      </c>
      <c r="F11" s="64" t="inlineStr">
        <is>
          <t>MVND</t>
        </is>
      </c>
      <c r="G11" s="56">
        <f>SUM(H11:K11)</f>
        <v/>
      </c>
      <c r="H11" s="84">
        <f>SUM(L11:N11)</f>
        <v/>
      </c>
      <c r="I11" s="84">
        <f>SUM(O11:Q11)</f>
        <v/>
      </c>
      <c r="J11" s="84">
        <f>SUM(R11:T11)</f>
        <v/>
      </c>
      <c r="K11" s="84">
        <f>SUM(U11:W11)</f>
        <v/>
      </c>
      <c r="L11" s="90">
        <f>SUM(Weekly_Tracker!H22:L22)</f>
        <v/>
      </c>
      <c r="M11" s="90">
        <f>SUM(Weekly_Tracker!M22:Q22)</f>
        <v/>
      </c>
      <c r="N11" s="90">
        <f>SUM(Weekly_Tracker!R22:V22)</f>
        <v/>
      </c>
      <c r="O11" s="90">
        <f>SUM(Weekly_Tracker!W22:AA22)</f>
        <v/>
      </c>
      <c r="P11" s="90">
        <f>SUM(Weekly_Tracker!AB22:AF22)</f>
        <v/>
      </c>
      <c r="Q11" s="90">
        <f>SUM(Weekly_Tracker!AG22:AK22)</f>
        <v/>
      </c>
      <c r="R11" s="90">
        <f>SUM(Weekly_Tracker!AL22:AP22)</f>
        <v/>
      </c>
      <c r="S11" s="90">
        <f>SUM(Weekly_Tracker!AQ22:AU22)</f>
        <v/>
      </c>
      <c r="T11" s="90">
        <f>SUM(Weekly_Tracker!AV22:AZ22)</f>
        <v/>
      </c>
      <c r="U11" s="90">
        <f>SUM(Weekly_Tracker!BA22:BE22)</f>
        <v/>
      </c>
      <c r="V11" s="90">
        <f>SUM(Weekly_Tracker!BF22:BJ22)</f>
        <v/>
      </c>
      <c r="W11" s="90">
        <f>SUM(Weekly_Tracker!BK22:BO22)</f>
        <v/>
      </c>
      <c r="X11" s="91">
        <f>H11</f>
        <v/>
      </c>
      <c r="Y11" s="91">
        <f>X11+I11</f>
        <v/>
      </c>
      <c r="Z11" s="91">
        <f>Y11+J11</f>
        <v/>
      </c>
      <c r="AA11" s="91">
        <f>Z11+K11</f>
        <v/>
      </c>
    </row>
    <row r="12">
      <c r="A12" s="87">
        <f>IF($B12="","",$B12&amp;"|"&amp;$D12)</f>
        <v/>
      </c>
      <c r="B12" s="88">
        <f>IFERROR(INDEX(Team_Master!$C$6:$C$20,2),"")</f>
        <v/>
      </c>
      <c r="C12" s="89">
        <f>IFERROR(INDEX(Team_Master!$G$6:$G$20,2),"")</f>
        <v/>
      </c>
      <c r="D12" s="63" t="inlineStr">
        <is>
          <t>K2</t>
        </is>
      </c>
      <c r="E12" s="12" t="inlineStr">
        <is>
          <t>Key account approach / Site check</t>
        </is>
      </c>
      <c r="F12" s="64" t="inlineStr">
        <is>
          <t>Roadshow</t>
        </is>
      </c>
      <c r="G12" s="56">
        <f>SUM(H12:K12)</f>
        <v/>
      </c>
      <c r="H12" s="84">
        <f>SUM(L12:N12)</f>
        <v/>
      </c>
      <c r="I12" s="84">
        <f>SUM(O12:Q12)</f>
        <v/>
      </c>
      <c r="J12" s="84">
        <f>SUM(R12:T12)</f>
        <v/>
      </c>
      <c r="K12" s="84">
        <f>SUM(U12:W12)</f>
        <v/>
      </c>
      <c r="L12" s="90">
        <f>SUM(Weekly_Tracker!H25:L25)</f>
        <v/>
      </c>
      <c r="M12" s="90">
        <f>SUM(Weekly_Tracker!M25:Q25)</f>
        <v/>
      </c>
      <c r="N12" s="90">
        <f>SUM(Weekly_Tracker!R25:V25)</f>
        <v/>
      </c>
      <c r="O12" s="90">
        <f>SUM(Weekly_Tracker!W25:AA25)</f>
        <v/>
      </c>
      <c r="P12" s="90">
        <f>SUM(Weekly_Tracker!AB25:AF25)</f>
        <v/>
      </c>
      <c r="Q12" s="90">
        <f>SUM(Weekly_Tracker!AG25:AK25)</f>
        <v/>
      </c>
      <c r="R12" s="90">
        <f>SUM(Weekly_Tracker!AL25:AP25)</f>
        <v/>
      </c>
      <c r="S12" s="90">
        <f>SUM(Weekly_Tracker!AQ25:AU25)</f>
        <v/>
      </c>
      <c r="T12" s="90">
        <f>SUM(Weekly_Tracker!AV25:AZ25)</f>
        <v/>
      </c>
      <c r="U12" s="90">
        <f>SUM(Weekly_Tracker!BA25:BE25)</f>
        <v/>
      </c>
      <c r="V12" s="90">
        <f>SUM(Weekly_Tracker!BF25:BJ25)</f>
        <v/>
      </c>
      <c r="W12" s="90">
        <f>SUM(Weekly_Tracker!BK25:BO25)</f>
        <v/>
      </c>
      <c r="X12" s="91">
        <f>H12</f>
        <v/>
      </c>
      <c r="Y12" s="91">
        <f>X12+I12</f>
        <v/>
      </c>
      <c r="Z12" s="91">
        <f>Y12+J12</f>
        <v/>
      </c>
      <c r="AA12" s="91">
        <f>Z12+K12</f>
        <v/>
      </c>
    </row>
    <row r="13">
      <c r="A13" s="87">
        <f>IF($B13="","",$B13&amp;"|"&amp;$D13)</f>
        <v/>
      </c>
      <c r="B13" s="88">
        <f>IFERROR(INDEX(Team_Master!$C$6:$C$20,2),"")</f>
        <v/>
      </c>
      <c r="C13" s="89">
        <f>IFERROR(INDEX(Team_Master!$G$6:$G$20,2),"")</f>
        <v/>
      </c>
      <c r="D13" s="71" t="inlineStr">
        <is>
          <t>K3</t>
        </is>
      </c>
      <c r="E13" s="38" t="inlineStr">
        <is>
          <t>Spec-in Value</t>
        </is>
      </c>
      <c r="F13" s="72" t="inlineStr">
        <is>
          <t>MVND</t>
        </is>
      </c>
      <c r="G13" s="56">
        <f>SUM(H13:K13)</f>
        <v/>
      </c>
      <c r="H13" s="84">
        <f>SUM(L13:N13)</f>
        <v/>
      </c>
      <c r="I13" s="84">
        <f>SUM(O13:Q13)</f>
        <v/>
      </c>
      <c r="J13" s="84">
        <f>SUM(R13:T13)</f>
        <v/>
      </c>
      <c r="K13" s="84">
        <f>SUM(U13:W13)</f>
        <v/>
      </c>
      <c r="L13" s="90">
        <f>SUM(Weekly_Tracker!H28:L28)</f>
        <v/>
      </c>
      <c r="M13" s="90">
        <f>SUM(Weekly_Tracker!M28:Q28)</f>
        <v/>
      </c>
      <c r="N13" s="90">
        <f>SUM(Weekly_Tracker!R28:V28)</f>
        <v/>
      </c>
      <c r="O13" s="90">
        <f>SUM(Weekly_Tracker!W28:AA28)</f>
        <v/>
      </c>
      <c r="P13" s="90">
        <f>SUM(Weekly_Tracker!AB28:AF28)</f>
        <v/>
      </c>
      <c r="Q13" s="90">
        <f>SUM(Weekly_Tracker!AG28:AK28)</f>
        <v/>
      </c>
      <c r="R13" s="90">
        <f>SUM(Weekly_Tracker!AL28:AP28)</f>
        <v/>
      </c>
      <c r="S13" s="90">
        <f>SUM(Weekly_Tracker!AQ28:AU28)</f>
        <v/>
      </c>
      <c r="T13" s="90">
        <f>SUM(Weekly_Tracker!AV28:AZ28)</f>
        <v/>
      </c>
      <c r="U13" s="90">
        <f>SUM(Weekly_Tracker!BA28:BE28)</f>
        <v/>
      </c>
      <c r="V13" s="90">
        <f>SUM(Weekly_Tracker!BF28:BJ28)</f>
        <v/>
      </c>
      <c r="W13" s="90">
        <f>SUM(Weekly_Tracker!BK28:BO28)</f>
        <v/>
      </c>
      <c r="X13" s="91">
        <f>H13</f>
        <v/>
      </c>
      <c r="Y13" s="91">
        <f>X13+I13</f>
        <v/>
      </c>
      <c r="Z13" s="91">
        <f>Y13+J13</f>
        <v/>
      </c>
      <c r="AA13" s="91">
        <f>Z13+K13</f>
        <v/>
      </c>
    </row>
    <row r="14">
      <c r="A14" s="87">
        <f>IF($B14="","",$B14&amp;"|"&amp;$D14)</f>
        <v/>
      </c>
      <c r="B14" s="88">
        <f>IFERROR(INDEX(Team_Master!$C$6:$C$20,2),"")</f>
        <v/>
      </c>
      <c r="C14" s="89">
        <f>IFERROR(INDEX(Team_Master!$G$6:$G$20,2),"")</f>
        <v/>
      </c>
      <c r="D14" s="71" t="inlineStr">
        <is>
          <t>K4</t>
        </is>
      </c>
      <c r="E14" s="38" t="inlineStr">
        <is>
          <t>Engaged Architect (Submit Design)</t>
        </is>
      </c>
      <c r="F14" s="72" t="inlineStr">
        <is>
          <t>D&amp;B</t>
        </is>
      </c>
      <c r="G14" s="56">
        <f>SUM(H14:K14)</f>
        <v/>
      </c>
      <c r="H14" s="84">
        <f>SUM(L14:N14)</f>
        <v/>
      </c>
      <c r="I14" s="84">
        <f>SUM(O14:Q14)</f>
        <v/>
      </c>
      <c r="J14" s="84">
        <f>SUM(R14:T14)</f>
        <v/>
      </c>
      <c r="K14" s="84">
        <f>SUM(U14:W14)</f>
        <v/>
      </c>
      <c r="L14" s="90">
        <f>SUM(Weekly_Tracker!H31:L31)</f>
        <v/>
      </c>
      <c r="M14" s="90">
        <f>SUM(Weekly_Tracker!M31:Q31)</f>
        <v/>
      </c>
      <c r="N14" s="90">
        <f>SUM(Weekly_Tracker!R31:V31)</f>
        <v/>
      </c>
      <c r="O14" s="90">
        <f>SUM(Weekly_Tracker!W31:AA31)</f>
        <v/>
      </c>
      <c r="P14" s="90">
        <f>SUM(Weekly_Tracker!AB31:AF31)</f>
        <v/>
      </c>
      <c r="Q14" s="90">
        <f>SUM(Weekly_Tracker!AG31:AK31)</f>
        <v/>
      </c>
      <c r="R14" s="90">
        <f>SUM(Weekly_Tracker!AL31:AP31)</f>
        <v/>
      </c>
      <c r="S14" s="90">
        <f>SUM(Weekly_Tracker!AQ31:AU31)</f>
        <v/>
      </c>
      <c r="T14" s="90">
        <f>SUM(Weekly_Tracker!AV31:AZ31)</f>
        <v/>
      </c>
      <c r="U14" s="90">
        <f>SUM(Weekly_Tracker!BA31:BE31)</f>
        <v/>
      </c>
      <c r="V14" s="90">
        <f>SUM(Weekly_Tracker!BF31:BJ31)</f>
        <v/>
      </c>
      <c r="W14" s="90">
        <f>SUM(Weekly_Tracker!BK31:BO31)</f>
        <v/>
      </c>
      <c r="X14" s="91">
        <f>H14</f>
        <v/>
      </c>
      <c r="Y14" s="91">
        <f>X14+I14</f>
        <v/>
      </c>
      <c r="Z14" s="91">
        <f>Y14+J14</f>
        <v/>
      </c>
      <c r="AA14" s="91">
        <f>Z14+K14</f>
        <v/>
      </c>
    </row>
    <row r="15">
      <c r="A15" s="87">
        <f>IF($B15="","",$B15&amp;"|"&amp;$D15)</f>
        <v/>
      </c>
      <c r="B15" s="88">
        <f>IFERROR(INDEX(Team_Master!$C$6:$C$20,2),"")</f>
        <v/>
      </c>
      <c r="C15" s="89">
        <f>IFERROR(INDEX(Team_Master!$G$6:$G$20,2),"")</f>
        <v/>
      </c>
      <c r="D15" s="73" t="inlineStr">
        <is>
          <t>K5</t>
        </is>
      </c>
      <c r="E15" s="42" t="inlineStr">
        <is>
          <t>Spec-in Design (submitted design)</t>
        </is>
      </c>
      <c r="F15" s="74" t="inlineStr">
        <is>
          <t>Designs</t>
        </is>
      </c>
      <c r="G15" s="56">
        <f>SUM(H15:K15)</f>
        <v/>
      </c>
      <c r="H15" s="84">
        <f>SUM(L15:N15)</f>
        <v/>
      </c>
      <c r="I15" s="84">
        <f>SUM(O15:Q15)</f>
        <v/>
      </c>
      <c r="J15" s="84">
        <f>SUM(R15:T15)</f>
        <v/>
      </c>
      <c r="K15" s="84">
        <f>SUM(U15:W15)</f>
        <v/>
      </c>
      <c r="L15" s="90">
        <f>SUM(Weekly_Tracker!H34:L34)</f>
        <v/>
      </c>
      <c r="M15" s="90">
        <f>SUM(Weekly_Tracker!M34:Q34)</f>
        <v/>
      </c>
      <c r="N15" s="90">
        <f>SUM(Weekly_Tracker!R34:V34)</f>
        <v/>
      </c>
      <c r="O15" s="90">
        <f>SUM(Weekly_Tracker!W34:AA34)</f>
        <v/>
      </c>
      <c r="P15" s="90">
        <f>SUM(Weekly_Tracker!AB34:AF34)</f>
        <v/>
      </c>
      <c r="Q15" s="90">
        <f>SUM(Weekly_Tracker!AG34:AK34)</f>
        <v/>
      </c>
      <c r="R15" s="90">
        <f>SUM(Weekly_Tracker!AL34:AP34)</f>
        <v/>
      </c>
      <c r="S15" s="90">
        <f>SUM(Weekly_Tracker!AQ34:AU34)</f>
        <v/>
      </c>
      <c r="T15" s="90">
        <f>SUM(Weekly_Tracker!AV34:AZ34)</f>
        <v/>
      </c>
      <c r="U15" s="90">
        <f>SUM(Weekly_Tracker!BA34:BE34)</f>
        <v/>
      </c>
      <c r="V15" s="90">
        <f>SUM(Weekly_Tracker!BF34:BJ34)</f>
        <v/>
      </c>
      <c r="W15" s="90">
        <f>SUM(Weekly_Tracker!BK34:BO34)</f>
        <v/>
      </c>
      <c r="X15" s="91">
        <f>H15</f>
        <v/>
      </c>
      <c r="Y15" s="91">
        <f>X15+I15</f>
        <v/>
      </c>
      <c r="Z15" s="91">
        <f>Y15+J15</f>
        <v/>
      </c>
      <c r="AA15" s="91">
        <f>Z15+K15</f>
        <v/>
      </c>
    </row>
    <row r="16">
      <c r="A16" s="81">
        <f>IF($B16="","",$B16&amp;"|"&amp;$D16)</f>
        <v/>
      </c>
      <c r="B16" s="82">
        <f>IFERROR(INDEX(Team_Master!$C$6:$C$20,3),"")</f>
        <v/>
      </c>
      <c r="C16" s="83">
        <f>IFERROR(INDEX(Team_Master!$G$6:$G$20,3),"")</f>
        <v/>
      </c>
      <c r="D16" s="63" t="inlineStr">
        <is>
          <t>K1</t>
        </is>
      </c>
      <c r="E16" s="12" t="inlineStr">
        <is>
          <t>Invoiced Value</t>
        </is>
      </c>
      <c r="F16" s="64" t="inlineStr">
        <is>
          <t>MVND</t>
        </is>
      </c>
      <c r="G16" s="56">
        <f>SUM(H16:K16)</f>
        <v/>
      </c>
      <c r="H16" s="84">
        <f>SUM(L16:N16)</f>
        <v/>
      </c>
      <c r="I16" s="84">
        <f>SUM(O16:Q16)</f>
        <v/>
      </c>
      <c r="J16" s="84">
        <f>SUM(R16:T16)</f>
        <v/>
      </c>
      <c r="K16" s="84">
        <f>SUM(U16:W16)</f>
        <v/>
      </c>
      <c r="L16" s="54">
        <f>SUM(Weekly_Tracker!H37:L37)</f>
        <v/>
      </c>
      <c r="M16" s="54">
        <f>SUM(Weekly_Tracker!M37:Q37)</f>
        <v/>
      </c>
      <c r="N16" s="54">
        <f>SUM(Weekly_Tracker!R37:V37)</f>
        <v/>
      </c>
      <c r="O16" s="54">
        <f>SUM(Weekly_Tracker!W37:AA37)</f>
        <v/>
      </c>
      <c r="P16" s="54">
        <f>SUM(Weekly_Tracker!AB37:AF37)</f>
        <v/>
      </c>
      <c r="Q16" s="54">
        <f>SUM(Weekly_Tracker!AG37:AK37)</f>
        <v/>
      </c>
      <c r="R16" s="54">
        <f>SUM(Weekly_Tracker!AL37:AP37)</f>
        <v/>
      </c>
      <c r="S16" s="54">
        <f>SUM(Weekly_Tracker!AQ37:AU37)</f>
        <v/>
      </c>
      <c r="T16" s="54">
        <f>SUM(Weekly_Tracker!AV37:AZ37)</f>
        <v/>
      </c>
      <c r="U16" s="54">
        <f>SUM(Weekly_Tracker!BA37:BE37)</f>
        <v/>
      </c>
      <c r="V16" s="54">
        <f>SUM(Weekly_Tracker!BF37:BJ37)</f>
        <v/>
      </c>
      <c r="W16" s="54">
        <f>SUM(Weekly_Tracker!BK37:BO37)</f>
        <v/>
      </c>
      <c r="X16" s="53">
        <f>H16</f>
        <v/>
      </c>
      <c r="Y16" s="53">
        <f>X16+I16</f>
        <v/>
      </c>
      <c r="Z16" s="53">
        <f>Y16+J16</f>
        <v/>
      </c>
      <c r="AA16" s="53">
        <f>Z16+K16</f>
        <v/>
      </c>
    </row>
    <row r="17">
      <c r="A17" s="81">
        <f>IF($B17="","",$B17&amp;"|"&amp;$D17)</f>
        <v/>
      </c>
      <c r="B17" s="82">
        <f>IFERROR(INDEX(Team_Master!$C$6:$C$20,3),"")</f>
        <v/>
      </c>
      <c r="C17" s="83">
        <f>IFERROR(INDEX(Team_Master!$G$6:$G$20,3),"")</f>
        <v/>
      </c>
      <c r="D17" s="63" t="inlineStr">
        <is>
          <t>K2</t>
        </is>
      </c>
      <c r="E17" s="12" t="inlineStr">
        <is>
          <t>Key account approach / Site check</t>
        </is>
      </c>
      <c r="F17" s="64" t="inlineStr">
        <is>
          <t>Roadshow</t>
        </is>
      </c>
      <c r="G17" s="56">
        <f>SUM(H17:K17)</f>
        <v/>
      </c>
      <c r="H17" s="84">
        <f>SUM(L17:N17)</f>
        <v/>
      </c>
      <c r="I17" s="84">
        <f>SUM(O17:Q17)</f>
        <v/>
      </c>
      <c r="J17" s="84">
        <f>SUM(R17:T17)</f>
        <v/>
      </c>
      <c r="K17" s="84">
        <f>SUM(U17:W17)</f>
        <v/>
      </c>
      <c r="L17" s="54">
        <f>SUM(Weekly_Tracker!H40:L40)</f>
        <v/>
      </c>
      <c r="M17" s="54">
        <f>SUM(Weekly_Tracker!M40:Q40)</f>
        <v/>
      </c>
      <c r="N17" s="54">
        <f>SUM(Weekly_Tracker!R40:V40)</f>
        <v/>
      </c>
      <c r="O17" s="54">
        <f>SUM(Weekly_Tracker!W40:AA40)</f>
        <v/>
      </c>
      <c r="P17" s="54">
        <f>SUM(Weekly_Tracker!AB40:AF40)</f>
        <v/>
      </c>
      <c r="Q17" s="54">
        <f>SUM(Weekly_Tracker!AG40:AK40)</f>
        <v/>
      </c>
      <c r="R17" s="54">
        <f>SUM(Weekly_Tracker!AL40:AP40)</f>
        <v/>
      </c>
      <c r="S17" s="54">
        <f>SUM(Weekly_Tracker!AQ40:AU40)</f>
        <v/>
      </c>
      <c r="T17" s="54">
        <f>SUM(Weekly_Tracker!AV40:AZ40)</f>
        <v/>
      </c>
      <c r="U17" s="54">
        <f>SUM(Weekly_Tracker!BA40:BE40)</f>
        <v/>
      </c>
      <c r="V17" s="54">
        <f>SUM(Weekly_Tracker!BF40:BJ40)</f>
        <v/>
      </c>
      <c r="W17" s="54">
        <f>SUM(Weekly_Tracker!BK40:BO40)</f>
        <v/>
      </c>
      <c r="X17" s="53">
        <f>H17</f>
        <v/>
      </c>
      <c r="Y17" s="53">
        <f>X17+I17</f>
        <v/>
      </c>
      <c r="Z17" s="53">
        <f>Y17+J17</f>
        <v/>
      </c>
      <c r="AA17" s="53">
        <f>Z17+K17</f>
        <v/>
      </c>
    </row>
    <row r="18">
      <c r="A18" s="81">
        <f>IF($B18="","",$B18&amp;"|"&amp;$D18)</f>
        <v/>
      </c>
      <c r="B18" s="82">
        <f>IFERROR(INDEX(Team_Master!$C$6:$C$20,3),"")</f>
        <v/>
      </c>
      <c r="C18" s="83">
        <f>IFERROR(INDEX(Team_Master!$G$6:$G$20,3),"")</f>
        <v/>
      </c>
      <c r="D18" s="71" t="inlineStr">
        <is>
          <t>K3</t>
        </is>
      </c>
      <c r="E18" s="38" t="inlineStr">
        <is>
          <t>Spec-in Value</t>
        </is>
      </c>
      <c r="F18" s="72" t="inlineStr">
        <is>
          <t>MVND</t>
        </is>
      </c>
      <c r="G18" s="56">
        <f>SUM(H18:K18)</f>
        <v/>
      </c>
      <c r="H18" s="84">
        <f>SUM(L18:N18)</f>
        <v/>
      </c>
      <c r="I18" s="84">
        <f>SUM(O18:Q18)</f>
        <v/>
      </c>
      <c r="J18" s="84">
        <f>SUM(R18:T18)</f>
        <v/>
      </c>
      <c r="K18" s="84">
        <f>SUM(U18:W18)</f>
        <v/>
      </c>
      <c r="L18" s="54">
        <f>SUM(Weekly_Tracker!H43:L43)</f>
        <v/>
      </c>
      <c r="M18" s="54">
        <f>SUM(Weekly_Tracker!M43:Q43)</f>
        <v/>
      </c>
      <c r="N18" s="54">
        <f>SUM(Weekly_Tracker!R43:V43)</f>
        <v/>
      </c>
      <c r="O18" s="54">
        <f>SUM(Weekly_Tracker!W43:AA43)</f>
        <v/>
      </c>
      <c r="P18" s="54">
        <f>SUM(Weekly_Tracker!AB43:AF43)</f>
        <v/>
      </c>
      <c r="Q18" s="54">
        <f>SUM(Weekly_Tracker!AG43:AK43)</f>
        <v/>
      </c>
      <c r="R18" s="54">
        <f>SUM(Weekly_Tracker!AL43:AP43)</f>
        <v/>
      </c>
      <c r="S18" s="54">
        <f>SUM(Weekly_Tracker!AQ43:AU43)</f>
        <v/>
      </c>
      <c r="T18" s="54">
        <f>SUM(Weekly_Tracker!AV43:AZ43)</f>
        <v/>
      </c>
      <c r="U18" s="54">
        <f>SUM(Weekly_Tracker!BA43:BE43)</f>
        <v/>
      </c>
      <c r="V18" s="54">
        <f>SUM(Weekly_Tracker!BF43:BJ43)</f>
        <v/>
      </c>
      <c r="W18" s="54">
        <f>SUM(Weekly_Tracker!BK43:BO43)</f>
        <v/>
      </c>
      <c r="X18" s="53">
        <f>H18</f>
        <v/>
      </c>
      <c r="Y18" s="53">
        <f>X18+I18</f>
        <v/>
      </c>
      <c r="Z18" s="53">
        <f>Y18+J18</f>
        <v/>
      </c>
      <c r="AA18" s="53">
        <f>Z18+K18</f>
        <v/>
      </c>
    </row>
    <row r="19">
      <c r="A19" s="81">
        <f>IF($B19="","",$B19&amp;"|"&amp;$D19)</f>
        <v/>
      </c>
      <c r="B19" s="82">
        <f>IFERROR(INDEX(Team_Master!$C$6:$C$20,3),"")</f>
        <v/>
      </c>
      <c r="C19" s="83">
        <f>IFERROR(INDEX(Team_Master!$G$6:$G$20,3),"")</f>
        <v/>
      </c>
      <c r="D19" s="71" t="inlineStr">
        <is>
          <t>K4</t>
        </is>
      </c>
      <c r="E19" s="38" t="inlineStr">
        <is>
          <t>Engaged Architect (Submit Design)</t>
        </is>
      </c>
      <c r="F19" s="72" t="inlineStr">
        <is>
          <t>D&amp;B</t>
        </is>
      </c>
      <c r="G19" s="56">
        <f>SUM(H19:K19)</f>
        <v/>
      </c>
      <c r="H19" s="84">
        <f>SUM(L19:N19)</f>
        <v/>
      </c>
      <c r="I19" s="84">
        <f>SUM(O19:Q19)</f>
        <v/>
      </c>
      <c r="J19" s="84">
        <f>SUM(R19:T19)</f>
        <v/>
      </c>
      <c r="K19" s="84">
        <f>SUM(U19:W19)</f>
        <v/>
      </c>
      <c r="L19" s="54">
        <f>SUM(Weekly_Tracker!H46:L46)</f>
        <v/>
      </c>
      <c r="M19" s="54">
        <f>SUM(Weekly_Tracker!M46:Q46)</f>
        <v/>
      </c>
      <c r="N19" s="54">
        <f>SUM(Weekly_Tracker!R46:V46)</f>
        <v/>
      </c>
      <c r="O19" s="54">
        <f>SUM(Weekly_Tracker!W46:AA46)</f>
        <v/>
      </c>
      <c r="P19" s="54">
        <f>SUM(Weekly_Tracker!AB46:AF46)</f>
        <v/>
      </c>
      <c r="Q19" s="54">
        <f>SUM(Weekly_Tracker!AG46:AK46)</f>
        <v/>
      </c>
      <c r="R19" s="54">
        <f>SUM(Weekly_Tracker!AL46:AP46)</f>
        <v/>
      </c>
      <c r="S19" s="54">
        <f>SUM(Weekly_Tracker!AQ46:AU46)</f>
        <v/>
      </c>
      <c r="T19" s="54">
        <f>SUM(Weekly_Tracker!AV46:AZ46)</f>
        <v/>
      </c>
      <c r="U19" s="54">
        <f>SUM(Weekly_Tracker!BA46:BE46)</f>
        <v/>
      </c>
      <c r="V19" s="54">
        <f>SUM(Weekly_Tracker!BF46:BJ46)</f>
        <v/>
      </c>
      <c r="W19" s="54">
        <f>SUM(Weekly_Tracker!BK46:BO46)</f>
        <v/>
      </c>
      <c r="X19" s="53">
        <f>H19</f>
        <v/>
      </c>
      <c r="Y19" s="53">
        <f>X19+I19</f>
        <v/>
      </c>
      <c r="Z19" s="53">
        <f>Y19+J19</f>
        <v/>
      </c>
      <c r="AA19" s="53">
        <f>Z19+K19</f>
        <v/>
      </c>
    </row>
    <row r="20">
      <c r="A20" s="81">
        <f>IF($B20="","",$B20&amp;"|"&amp;$D20)</f>
        <v/>
      </c>
      <c r="B20" s="82">
        <f>IFERROR(INDEX(Team_Master!$C$6:$C$20,3),"")</f>
        <v/>
      </c>
      <c r="C20" s="83">
        <f>IFERROR(INDEX(Team_Master!$G$6:$G$20,3),"")</f>
        <v/>
      </c>
      <c r="D20" s="73" t="inlineStr">
        <is>
          <t>K5</t>
        </is>
      </c>
      <c r="E20" s="42" t="inlineStr">
        <is>
          <t>Spec-in Design (submitted design)</t>
        </is>
      </c>
      <c r="F20" s="74" t="inlineStr">
        <is>
          <t>Designs</t>
        </is>
      </c>
      <c r="G20" s="56">
        <f>SUM(H20:K20)</f>
        <v/>
      </c>
      <c r="H20" s="84">
        <f>SUM(L20:N20)</f>
        <v/>
      </c>
      <c r="I20" s="84">
        <f>SUM(O20:Q20)</f>
        <v/>
      </c>
      <c r="J20" s="84">
        <f>SUM(R20:T20)</f>
        <v/>
      </c>
      <c r="K20" s="84">
        <f>SUM(U20:W20)</f>
        <v/>
      </c>
      <c r="L20" s="54">
        <f>SUM(Weekly_Tracker!H49:L49)</f>
        <v/>
      </c>
      <c r="M20" s="54">
        <f>SUM(Weekly_Tracker!M49:Q49)</f>
        <v/>
      </c>
      <c r="N20" s="54">
        <f>SUM(Weekly_Tracker!R49:V49)</f>
        <v/>
      </c>
      <c r="O20" s="54">
        <f>SUM(Weekly_Tracker!W49:AA49)</f>
        <v/>
      </c>
      <c r="P20" s="54">
        <f>SUM(Weekly_Tracker!AB49:AF49)</f>
        <v/>
      </c>
      <c r="Q20" s="54">
        <f>SUM(Weekly_Tracker!AG49:AK49)</f>
        <v/>
      </c>
      <c r="R20" s="54">
        <f>SUM(Weekly_Tracker!AL49:AP49)</f>
        <v/>
      </c>
      <c r="S20" s="54">
        <f>SUM(Weekly_Tracker!AQ49:AU49)</f>
        <v/>
      </c>
      <c r="T20" s="54">
        <f>SUM(Weekly_Tracker!AV49:AZ49)</f>
        <v/>
      </c>
      <c r="U20" s="54">
        <f>SUM(Weekly_Tracker!BA49:BE49)</f>
        <v/>
      </c>
      <c r="V20" s="54">
        <f>SUM(Weekly_Tracker!BF49:BJ49)</f>
        <v/>
      </c>
      <c r="W20" s="54">
        <f>SUM(Weekly_Tracker!BK49:BO49)</f>
        <v/>
      </c>
      <c r="X20" s="53">
        <f>H20</f>
        <v/>
      </c>
      <c r="Y20" s="53">
        <f>X20+I20</f>
        <v/>
      </c>
      <c r="Z20" s="53">
        <f>Y20+J20</f>
        <v/>
      </c>
      <c r="AA20" s="53">
        <f>Z20+K20</f>
        <v/>
      </c>
    </row>
    <row r="21">
      <c r="A21" s="87">
        <f>IF($B21="","",$B21&amp;"|"&amp;$D21)</f>
        <v/>
      </c>
      <c r="B21" s="88">
        <f>IFERROR(INDEX(Team_Master!$C$6:$C$20,4),"")</f>
        <v/>
      </c>
      <c r="C21" s="89">
        <f>IFERROR(INDEX(Team_Master!$G$6:$G$20,4),"")</f>
        <v/>
      </c>
      <c r="D21" s="63" t="inlineStr">
        <is>
          <t>K1</t>
        </is>
      </c>
      <c r="E21" s="12" t="inlineStr">
        <is>
          <t>Invoiced Value</t>
        </is>
      </c>
      <c r="F21" s="64" t="inlineStr">
        <is>
          <t>MVND</t>
        </is>
      </c>
      <c r="G21" s="56">
        <f>SUM(H21:K21)</f>
        <v/>
      </c>
      <c r="H21" s="84">
        <f>SUM(L21:N21)</f>
        <v/>
      </c>
      <c r="I21" s="84">
        <f>SUM(O21:Q21)</f>
        <v/>
      </c>
      <c r="J21" s="84">
        <f>SUM(R21:T21)</f>
        <v/>
      </c>
      <c r="K21" s="84">
        <f>SUM(U21:W21)</f>
        <v/>
      </c>
      <c r="L21" s="90">
        <f>SUM(Weekly_Tracker!H52:L52)</f>
        <v/>
      </c>
      <c r="M21" s="90">
        <f>SUM(Weekly_Tracker!M52:Q52)</f>
        <v/>
      </c>
      <c r="N21" s="90">
        <f>SUM(Weekly_Tracker!R52:V52)</f>
        <v/>
      </c>
      <c r="O21" s="90">
        <f>SUM(Weekly_Tracker!W52:AA52)</f>
        <v/>
      </c>
      <c r="P21" s="90">
        <f>SUM(Weekly_Tracker!AB52:AF52)</f>
        <v/>
      </c>
      <c r="Q21" s="90">
        <f>SUM(Weekly_Tracker!AG52:AK52)</f>
        <v/>
      </c>
      <c r="R21" s="90">
        <f>SUM(Weekly_Tracker!AL52:AP52)</f>
        <v/>
      </c>
      <c r="S21" s="90">
        <f>SUM(Weekly_Tracker!AQ52:AU52)</f>
        <v/>
      </c>
      <c r="T21" s="90">
        <f>SUM(Weekly_Tracker!AV52:AZ52)</f>
        <v/>
      </c>
      <c r="U21" s="90">
        <f>SUM(Weekly_Tracker!BA52:BE52)</f>
        <v/>
      </c>
      <c r="V21" s="90">
        <f>SUM(Weekly_Tracker!BF52:BJ52)</f>
        <v/>
      </c>
      <c r="W21" s="90">
        <f>SUM(Weekly_Tracker!BK52:BO52)</f>
        <v/>
      </c>
      <c r="X21" s="91">
        <f>H21</f>
        <v/>
      </c>
      <c r="Y21" s="91">
        <f>X21+I21</f>
        <v/>
      </c>
      <c r="Z21" s="91">
        <f>Y21+J21</f>
        <v/>
      </c>
      <c r="AA21" s="91">
        <f>Z21+K21</f>
        <v/>
      </c>
    </row>
    <row r="22">
      <c r="A22" s="87">
        <f>IF($B22="","",$B22&amp;"|"&amp;$D22)</f>
        <v/>
      </c>
      <c r="B22" s="88">
        <f>IFERROR(INDEX(Team_Master!$C$6:$C$20,4),"")</f>
        <v/>
      </c>
      <c r="C22" s="89">
        <f>IFERROR(INDEX(Team_Master!$G$6:$G$20,4),"")</f>
        <v/>
      </c>
      <c r="D22" s="63" t="inlineStr">
        <is>
          <t>K2</t>
        </is>
      </c>
      <c r="E22" s="12" t="inlineStr">
        <is>
          <t>Key account approach / Site check</t>
        </is>
      </c>
      <c r="F22" s="64" t="inlineStr">
        <is>
          <t>Roadshow</t>
        </is>
      </c>
      <c r="G22" s="56">
        <f>SUM(H22:K22)</f>
        <v/>
      </c>
      <c r="H22" s="84">
        <f>SUM(L22:N22)</f>
        <v/>
      </c>
      <c r="I22" s="84">
        <f>SUM(O22:Q22)</f>
        <v/>
      </c>
      <c r="J22" s="84">
        <f>SUM(R22:T22)</f>
        <v/>
      </c>
      <c r="K22" s="84">
        <f>SUM(U22:W22)</f>
        <v/>
      </c>
      <c r="L22" s="90">
        <f>SUM(Weekly_Tracker!H55:L55)</f>
        <v/>
      </c>
      <c r="M22" s="90">
        <f>SUM(Weekly_Tracker!M55:Q55)</f>
        <v/>
      </c>
      <c r="N22" s="90">
        <f>SUM(Weekly_Tracker!R55:V55)</f>
        <v/>
      </c>
      <c r="O22" s="90">
        <f>SUM(Weekly_Tracker!W55:AA55)</f>
        <v/>
      </c>
      <c r="P22" s="90">
        <f>SUM(Weekly_Tracker!AB55:AF55)</f>
        <v/>
      </c>
      <c r="Q22" s="90">
        <f>SUM(Weekly_Tracker!AG55:AK55)</f>
        <v/>
      </c>
      <c r="R22" s="90">
        <f>SUM(Weekly_Tracker!AL55:AP55)</f>
        <v/>
      </c>
      <c r="S22" s="90">
        <f>SUM(Weekly_Tracker!AQ55:AU55)</f>
        <v/>
      </c>
      <c r="T22" s="90">
        <f>SUM(Weekly_Tracker!AV55:AZ55)</f>
        <v/>
      </c>
      <c r="U22" s="90">
        <f>SUM(Weekly_Tracker!BA55:BE55)</f>
        <v/>
      </c>
      <c r="V22" s="90">
        <f>SUM(Weekly_Tracker!BF55:BJ55)</f>
        <v/>
      </c>
      <c r="W22" s="90">
        <f>SUM(Weekly_Tracker!BK55:BO55)</f>
        <v/>
      </c>
      <c r="X22" s="91">
        <f>H22</f>
        <v/>
      </c>
      <c r="Y22" s="91">
        <f>X22+I22</f>
        <v/>
      </c>
      <c r="Z22" s="91">
        <f>Y22+J22</f>
        <v/>
      </c>
      <c r="AA22" s="91">
        <f>Z22+K22</f>
        <v/>
      </c>
    </row>
    <row r="23">
      <c r="A23" s="87">
        <f>IF($B23="","",$B23&amp;"|"&amp;$D23)</f>
        <v/>
      </c>
      <c r="B23" s="88">
        <f>IFERROR(INDEX(Team_Master!$C$6:$C$20,4),"")</f>
        <v/>
      </c>
      <c r="C23" s="89">
        <f>IFERROR(INDEX(Team_Master!$G$6:$G$20,4),"")</f>
        <v/>
      </c>
      <c r="D23" s="71" t="inlineStr">
        <is>
          <t>K3</t>
        </is>
      </c>
      <c r="E23" s="38" t="inlineStr">
        <is>
          <t>Spec-in Value</t>
        </is>
      </c>
      <c r="F23" s="72" t="inlineStr">
        <is>
          <t>MVND</t>
        </is>
      </c>
      <c r="G23" s="56">
        <f>SUM(H23:K23)</f>
        <v/>
      </c>
      <c r="H23" s="84">
        <f>SUM(L23:N23)</f>
        <v/>
      </c>
      <c r="I23" s="84">
        <f>SUM(O23:Q23)</f>
        <v/>
      </c>
      <c r="J23" s="84">
        <f>SUM(R23:T23)</f>
        <v/>
      </c>
      <c r="K23" s="84">
        <f>SUM(U23:W23)</f>
        <v/>
      </c>
      <c r="L23" s="90">
        <f>SUM(Weekly_Tracker!H58:L58)</f>
        <v/>
      </c>
      <c r="M23" s="90">
        <f>SUM(Weekly_Tracker!M58:Q58)</f>
        <v/>
      </c>
      <c r="N23" s="90">
        <f>SUM(Weekly_Tracker!R58:V58)</f>
        <v/>
      </c>
      <c r="O23" s="90">
        <f>SUM(Weekly_Tracker!W58:AA58)</f>
        <v/>
      </c>
      <c r="P23" s="90">
        <f>SUM(Weekly_Tracker!AB58:AF58)</f>
        <v/>
      </c>
      <c r="Q23" s="90">
        <f>SUM(Weekly_Tracker!AG58:AK58)</f>
        <v/>
      </c>
      <c r="R23" s="90">
        <f>SUM(Weekly_Tracker!AL58:AP58)</f>
        <v/>
      </c>
      <c r="S23" s="90">
        <f>SUM(Weekly_Tracker!AQ58:AU58)</f>
        <v/>
      </c>
      <c r="T23" s="90">
        <f>SUM(Weekly_Tracker!AV58:AZ58)</f>
        <v/>
      </c>
      <c r="U23" s="90">
        <f>SUM(Weekly_Tracker!BA58:BE58)</f>
        <v/>
      </c>
      <c r="V23" s="90">
        <f>SUM(Weekly_Tracker!BF58:BJ58)</f>
        <v/>
      </c>
      <c r="W23" s="90">
        <f>SUM(Weekly_Tracker!BK58:BO58)</f>
        <v/>
      </c>
      <c r="X23" s="91">
        <f>H23</f>
        <v/>
      </c>
      <c r="Y23" s="91">
        <f>X23+I23</f>
        <v/>
      </c>
      <c r="Z23" s="91">
        <f>Y23+J23</f>
        <v/>
      </c>
      <c r="AA23" s="91">
        <f>Z23+K23</f>
        <v/>
      </c>
    </row>
    <row r="24">
      <c r="A24" s="87">
        <f>IF($B24="","",$B24&amp;"|"&amp;$D24)</f>
        <v/>
      </c>
      <c r="B24" s="88">
        <f>IFERROR(INDEX(Team_Master!$C$6:$C$20,4),"")</f>
        <v/>
      </c>
      <c r="C24" s="89">
        <f>IFERROR(INDEX(Team_Master!$G$6:$G$20,4),"")</f>
        <v/>
      </c>
      <c r="D24" s="71" t="inlineStr">
        <is>
          <t>K4</t>
        </is>
      </c>
      <c r="E24" s="38" t="inlineStr">
        <is>
          <t>Engaged Architect (Submit Design)</t>
        </is>
      </c>
      <c r="F24" s="72" t="inlineStr">
        <is>
          <t>D&amp;B</t>
        </is>
      </c>
      <c r="G24" s="56">
        <f>SUM(H24:K24)</f>
        <v/>
      </c>
      <c r="H24" s="84">
        <f>SUM(L24:N24)</f>
        <v/>
      </c>
      <c r="I24" s="84">
        <f>SUM(O24:Q24)</f>
        <v/>
      </c>
      <c r="J24" s="84">
        <f>SUM(R24:T24)</f>
        <v/>
      </c>
      <c r="K24" s="84">
        <f>SUM(U24:W24)</f>
        <v/>
      </c>
      <c r="L24" s="90">
        <f>SUM(Weekly_Tracker!H61:L61)</f>
        <v/>
      </c>
      <c r="M24" s="90">
        <f>SUM(Weekly_Tracker!M61:Q61)</f>
        <v/>
      </c>
      <c r="N24" s="90">
        <f>SUM(Weekly_Tracker!R61:V61)</f>
        <v/>
      </c>
      <c r="O24" s="90">
        <f>SUM(Weekly_Tracker!W61:AA61)</f>
        <v/>
      </c>
      <c r="P24" s="90">
        <f>SUM(Weekly_Tracker!AB61:AF61)</f>
        <v/>
      </c>
      <c r="Q24" s="90">
        <f>SUM(Weekly_Tracker!AG61:AK61)</f>
        <v/>
      </c>
      <c r="R24" s="90">
        <f>SUM(Weekly_Tracker!AL61:AP61)</f>
        <v/>
      </c>
      <c r="S24" s="90">
        <f>SUM(Weekly_Tracker!AQ61:AU61)</f>
        <v/>
      </c>
      <c r="T24" s="90">
        <f>SUM(Weekly_Tracker!AV61:AZ61)</f>
        <v/>
      </c>
      <c r="U24" s="90">
        <f>SUM(Weekly_Tracker!BA61:BE61)</f>
        <v/>
      </c>
      <c r="V24" s="90">
        <f>SUM(Weekly_Tracker!BF61:BJ61)</f>
        <v/>
      </c>
      <c r="W24" s="90">
        <f>SUM(Weekly_Tracker!BK61:BO61)</f>
        <v/>
      </c>
      <c r="X24" s="91">
        <f>H24</f>
        <v/>
      </c>
      <c r="Y24" s="91">
        <f>X24+I24</f>
        <v/>
      </c>
      <c r="Z24" s="91">
        <f>Y24+J24</f>
        <v/>
      </c>
      <c r="AA24" s="91">
        <f>Z24+K24</f>
        <v/>
      </c>
    </row>
    <row r="25">
      <c r="A25" s="87">
        <f>IF($B25="","",$B25&amp;"|"&amp;$D25)</f>
        <v/>
      </c>
      <c r="B25" s="88">
        <f>IFERROR(INDEX(Team_Master!$C$6:$C$20,4),"")</f>
        <v/>
      </c>
      <c r="C25" s="89">
        <f>IFERROR(INDEX(Team_Master!$G$6:$G$20,4),"")</f>
        <v/>
      </c>
      <c r="D25" s="73" t="inlineStr">
        <is>
          <t>K5</t>
        </is>
      </c>
      <c r="E25" s="42" t="inlineStr">
        <is>
          <t>Spec-in Design (submitted design)</t>
        </is>
      </c>
      <c r="F25" s="74" t="inlineStr">
        <is>
          <t>Designs</t>
        </is>
      </c>
      <c r="G25" s="56">
        <f>SUM(H25:K25)</f>
        <v/>
      </c>
      <c r="H25" s="84">
        <f>SUM(L25:N25)</f>
        <v/>
      </c>
      <c r="I25" s="84">
        <f>SUM(O25:Q25)</f>
        <v/>
      </c>
      <c r="J25" s="84">
        <f>SUM(R25:T25)</f>
        <v/>
      </c>
      <c r="K25" s="84">
        <f>SUM(U25:W25)</f>
        <v/>
      </c>
      <c r="L25" s="90">
        <f>SUM(Weekly_Tracker!H64:L64)</f>
        <v/>
      </c>
      <c r="M25" s="90">
        <f>SUM(Weekly_Tracker!M64:Q64)</f>
        <v/>
      </c>
      <c r="N25" s="90">
        <f>SUM(Weekly_Tracker!R64:V64)</f>
        <v/>
      </c>
      <c r="O25" s="90">
        <f>SUM(Weekly_Tracker!W64:AA64)</f>
        <v/>
      </c>
      <c r="P25" s="90">
        <f>SUM(Weekly_Tracker!AB64:AF64)</f>
        <v/>
      </c>
      <c r="Q25" s="90">
        <f>SUM(Weekly_Tracker!AG64:AK64)</f>
        <v/>
      </c>
      <c r="R25" s="90">
        <f>SUM(Weekly_Tracker!AL64:AP64)</f>
        <v/>
      </c>
      <c r="S25" s="90">
        <f>SUM(Weekly_Tracker!AQ64:AU64)</f>
        <v/>
      </c>
      <c r="T25" s="90">
        <f>SUM(Weekly_Tracker!AV64:AZ64)</f>
        <v/>
      </c>
      <c r="U25" s="90">
        <f>SUM(Weekly_Tracker!BA64:BE64)</f>
        <v/>
      </c>
      <c r="V25" s="90">
        <f>SUM(Weekly_Tracker!BF64:BJ64)</f>
        <v/>
      </c>
      <c r="W25" s="90">
        <f>SUM(Weekly_Tracker!BK64:BO64)</f>
        <v/>
      </c>
      <c r="X25" s="91">
        <f>H25</f>
        <v/>
      </c>
      <c r="Y25" s="91">
        <f>X25+I25</f>
        <v/>
      </c>
      <c r="Z25" s="91">
        <f>Y25+J25</f>
        <v/>
      </c>
      <c r="AA25" s="91">
        <f>Z25+K25</f>
        <v/>
      </c>
    </row>
    <row r="26">
      <c r="A26" s="81">
        <f>IF($B26="","",$B26&amp;"|"&amp;$D26)</f>
        <v/>
      </c>
      <c r="B26" s="82">
        <f>IFERROR(INDEX(Team_Master!$C$6:$C$20,5),"")</f>
        <v/>
      </c>
      <c r="C26" s="83">
        <f>IFERROR(INDEX(Team_Master!$G$6:$G$20,5),"")</f>
        <v/>
      </c>
      <c r="D26" s="63" t="inlineStr">
        <is>
          <t>K1</t>
        </is>
      </c>
      <c r="E26" s="12" t="inlineStr">
        <is>
          <t>Invoiced Value</t>
        </is>
      </c>
      <c r="F26" s="64" t="inlineStr">
        <is>
          <t>MVND</t>
        </is>
      </c>
      <c r="G26" s="56">
        <f>SUM(H26:K26)</f>
        <v/>
      </c>
      <c r="H26" s="84">
        <f>SUM(L26:N26)</f>
        <v/>
      </c>
      <c r="I26" s="84">
        <f>SUM(O26:Q26)</f>
        <v/>
      </c>
      <c r="J26" s="84">
        <f>SUM(R26:T26)</f>
        <v/>
      </c>
      <c r="K26" s="84">
        <f>SUM(U26:W26)</f>
        <v/>
      </c>
      <c r="L26" s="54">
        <f>SUM(Weekly_Tracker!H67:L67)</f>
        <v/>
      </c>
      <c r="M26" s="54">
        <f>SUM(Weekly_Tracker!M67:Q67)</f>
        <v/>
      </c>
      <c r="N26" s="54">
        <f>SUM(Weekly_Tracker!R67:V67)</f>
        <v/>
      </c>
      <c r="O26" s="54">
        <f>SUM(Weekly_Tracker!W67:AA67)</f>
        <v/>
      </c>
      <c r="P26" s="54">
        <f>SUM(Weekly_Tracker!AB67:AF67)</f>
        <v/>
      </c>
      <c r="Q26" s="54">
        <f>SUM(Weekly_Tracker!AG67:AK67)</f>
        <v/>
      </c>
      <c r="R26" s="54">
        <f>SUM(Weekly_Tracker!AL67:AP67)</f>
        <v/>
      </c>
      <c r="S26" s="54">
        <f>SUM(Weekly_Tracker!AQ67:AU67)</f>
        <v/>
      </c>
      <c r="T26" s="54">
        <f>SUM(Weekly_Tracker!AV67:AZ67)</f>
        <v/>
      </c>
      <c r="U26" s="54">
        <f>SUM(Weekly_Tracker!BA67:BE67)</f>
        <v/>
      </c>
      <c r="V26" s="54">
        <f>SUM(Weekly_Tracker!BF67:BJ67)</f>
        <v/>
      </c>
      <c r="W26" s="54">
        <f>SUM(Weekly_Tracker!BK67:BO67)</f>
        <v/>
      </c>
      <c r="X26" s="53">
        <f>H26</f>
        <v/>
      </c>
      <c r="Y26" s="53">
        <f>X26+I26</f>
        <v/>
      </c>
      <c r="Z26" s="53">
        <f>Y26+J26</f>
        <v/>
      </c>
      <c r="AA26" s="53">
        <f>Z26+K26</f>
        <v/>
      </c>
    </row>
    <row r="27">
      <c r="A27" s="81">
        <f>IF($B27="","",$B27&amp;"|"&amp;$D27)</f>
        <v/>
      </c>
      <c r="B27" s="82">
        <f>IFERROR(INDEX(Team_Master!$C$6:$C$20,5),"")</f>
        <v/>
      </c>
      <c r="C27" s="83">
        <f>IFERROR(INDEX(Team_Master!$G$6:$G$20,5),"")</f>
        <v/>
      </c>
      <c r="D27" s="63" t="inlineStr">
        <is>
          <t>K2</t>
        </is>
      </c>
      <c r="E27" s="12" t="inlineStr">
        <is>
          <t>Key account approach / Site check</t>
        </is>
      </c>
      <c r="F27" s="64" t="inlineStr">
        <is>
          <t>Roadshow</t>
        </is>
      </c>
      <c r="G27" s="56">
        <f>SUM(H27:K27)</f>
        <v/>
      </c>
      <c r="H27" s="84">
        <f>SUM(L27:N27)</f>
        <v/>
      </c>
      <c r="I27" s="84">
        <f>SUM(O27:Q27)</f>
        <v/>
      </c>
      <c r="J27" s="84">
        <f>SUM(R27:T27)</f>
        <v/>
      </c>
      <c r="K27" s="84">
        <f>SUM(U27:W27)</f>
        <v/>
      </c>
      <c r="L27" s="54">
        <f>SUM(Weekly_Tracker!H70:L70)</f>
        <v/>
      </c>
      <c r="M27" s="54">
        <f>SUM(Weekly_Tracker!M70:Q70)</f>
        <v/>
      </c>
      <c r="N27" s="54">
        <f>SUM(Weekly_Tracker!R70:V70)</f>
        <v/>
      </c>
      <c r="O27" s="54">
        <f>SUM(Weekly_Tracker!W70:AA70)</f>
        <v/>
      </c>
      <c r="P27" s="54">
        <f>SUM(Weekly_Tracker!AB70:AF70)</f>
        <v/>
      </c>
      <c r="Q27" s="54">
        <f>SUM(Weekly_Tracker!AG70:AK70)</f>
        <v/>
      </c>
      <c r="R27" s="54">
        <f>SUM(Weekly_Tracker!AL70:AP70)</f>
        <v/>
      </c>
      <c r="S27" s="54">
        <f>SUM(Weekly_Tracker!AQ70:AU70)</f>
        <v/>
      </c>
      <c r="T27" s="54">
        <f>SUM(Weekly_Tracker!AV70:AZ70)</f>
        <v/>
      </c>
      <c r="U27" s="54">
        <f>SUM(Weekly_Tracker!BA70:BE70)</f>
        <v/>
      </c>
      <c r="V27" s="54">
        <f>SUM(Weekly_Tracker!BF70:BJ70)</f>
        <v/>
      </c>
      <c r="W27" s="54">
        <f>SUM(Weekly_Tracker!BK70:BO70)</f>
        <v/>
      </c>
      <c r="X27" s="53">
        <f>H27</f>
        <v/>
      </c>
      <c r="Y27" s="53">
        <f>X27+I27</f>
        <v/>
      </c>
      <c r="Z27" s="53">
        <f>Y27+J27</f>
        <v/>
      </c>
      <c r="AA27" s="53">
        <f>Z27+K27</f>
        <v/>
      </c>
    </row>
    <row r="28">
      <c r="A28" s="81">
        <f>IF($B28="","",$B28&amp;"|"&amp;$D28)</f>
        <v/>
      </c>
      <c r="B28" s="82">
        <f>IFERROR(INDEX(Team_Master!$C$6:$C$20,5),"")</f>
        <v/>
      </c>
      <c r="C28" s="83">
        <f>IFERROR(INDEX(Team_Master!$G$6:$G$20,5),"")</f>
        <v/>
      </c>
      <c r="D28" s="71" t="inlineStr">
        <is>
          <t>K3</t>
        </is>
      </c>
      <c r="E28" s="38" t="inlineStr">
        <is>
          <t>Spec-in Value</t>
        </is>
      </c>
      <c r="F28" s="72" t="inlineStr">
        <is>
          <t>MVND</t>
        </is>
      </c>
      <c r="G28" s="56">
        <f>SUM(H28:K28)</f>
        <v/>
      </c>
      <c r="H28" s="84">
        <f>SUM(L28:N28)</f>
        <v/>
      </c>
      <c r="I28" s="84">
        <f>SUM(O28:Q28)</f>
        <v/>
      </c>
      <c r="J28" s="84">
        <f>SUM(R28:T28)</f>
        <v/>
      </c>
      <c r="K28" s="84">
        <f>SUM(U28:W28)</f>
        <v/>
      </c>
      <c r="L28" s="54">
        <f>SUM(Weekly_Tracker!H73:L73)</f>
        <v/>
      </c>
      <c r="M28" s="54">
        <f>SUM(Weekly_Tracker!M73:Q73)</f>
        <v/>
      </c>
      <c r="N28" s="54">
        <f>SUM(Weekly_Tracker!R73:V73)</f>
        <v/>
      </c>
      <c r="O28" s="54">
        <f>SUM(Weekly_Tracker!W73:AA73)</f>
        <v/>
      </c>
      <c r="P28" s="54">
        <f>SUM(Weekly_Tracker!AB73:AF73)</f>
        <v/>
      </c>
      <c r="Q28" s="54">
        <f>SUM(Weekly_Tracker!AG73:AK73)</f>
        <v/>
      </c>
      <c r="R28" s="54">
        <f>SUM(Weekly_Tracker!AL73:AP73)</f>
        <v/>
      </c>
      <c r="S28" s="54">
        <f>SUM(Weekly_Tracker!AQ73:AU73)</f>
        <v/>
      </c>
      <c r="T28" s="54">
        <f>SUM(Weekly_Tracker!AV73:AZ73)</f>
        <v/>
      </c>
      <c r="U28" s="54">
        <f>SUM(Weekly_Tracker!BA73:BE73)</f>
        <v/>
      </c>
      <c r="V28" s="54">
        <f>SUM(Weekly_Tracker!BF73:BJ73)</f>
        <v/>
      </c>
      <c r="W28" s="54">
        <f>SUM(Weekly_Tracker!BK73:BO73)</f>
        <v/>
      </c>
      <c r="X28" s="53">
        <f>H28</f>
        <v/>
      </c>
      <c r="Y28" s="53">
        <f>X28+I28</f>
        <v/>
      </c>
      <c r="Z28" s="53">
        <f>Y28+J28</f>
        <v/>
      </c>
      <c r="AA28" s="53">
        <f>Z28+K28</f>
        <v/>
      </c>
    </row>
    <row r="29">
      <c r="A29" s="81">
        <f>IF($B29="","",$B29&amp;"|"&amp;$D29)</f>
        <v/>
      </c>
      <c r="B29" s="82">
        <f>IFERROR(INDEX(Team_Master!$C$6:$C$20,5),"")</f>
        <v/>
      </c>
      <c r="C29" s="83">
        <f>IFERROR(INDEX(Team_Master!$G$6:$G$20,5),"")</f>
        <v/>
      </c>
      <c r="D29" s="71" t="inlineStr">
        <is>
          <t>K4</t>
        </is>
      </c>
      <c r="E29" s="38" t="inlineStr">
        <is>
          <t>Engaged Architect (Submit Design)</t>
        </is>
      </c>
      <c r="F29" s="72" t="inlineStr">
        <is>
          <t>D&amp;B</t>
        </is>
      </c>
      <c r="G29" s="56">
        <f>SUM(H29:K29)</f>
        <v/>
      </c>
      <c r="H29" s="84">
        <f>SUM(L29:N29)</f>
        <v/>
      </c>
      <c r="I29" s="84">
        <f>SUM(O29:Q29)</f>
        <v/>
      </c>
      <c r="J29" s="84">
        <f>SUM(R29:T29)</f>
        <v/>
      </c>
      <c r="K29" s="84">
        <f>SUM(U29:W29)</f>
        <v/>
      </c>
      <c r="L29" s="54">
        <f>SUM(Weekly_Tracker!H76:L76)</f>
        <v/>
      </c>
      <c r="M29" s="54">
        <f>SUM(Weekly_Tracker!M76:Q76)</f>
        <v/>
      </c>
      <c r="N29" s="54">
        <f>SUM(Weekly_Tracker!R76:V76)</f>
        <v/>
      </c>
      <c r="O29" s="54">
        <f>SUM(Weekly_Tracker!W76:AA76)</f>
        <v/>
      </c>
      <c r="P29" s="54">
        <f>SUM(Weekly_Tracker!AB76:AF76)</f>
        <v/>
      </c>
      <c r="Q29" s="54">
        <f>SUM(Weekly_Tracker!AG76:AK76)</f>
        <v/>
      </c>
      <c r="R29" s="54">
        <f>SUM(Weekly_Tracker!AL76:AP76)</f>
        <v/>
      </c>
      <c r="S29" s="54">
        <f>SUM(Weekly_Tracker!AQ76:AU76)</f>
        <v/>
      </c>
      <c r="T29" s="54">
        <f>SUM(Weekly_Tracker!AV76:AZ76)</f>
        <v/>
      </c>
      <c r="U29" s="54">
        <f>SUM(Weekly_Tracker!BA76:BE76)</f>
        <v/>
      </c>
      <c r="V29" s="54">
        <f>SUM(Weekly_Tracker!BF76:BJ76)</f>
        <v/>
      </c>
      <c r="W29" s="54">
        <f>SUM(Weekly_Tracker!BK76:BO76)</f>
        <v/>
      </c>
      <c r="X29" s="53">
        <f>H29</f>
        <v/>
      </c>
      <c r="Y29" s="53">
        <f>X29+I29</f>
        <v/>
      </c>
      <c r="Z29" s="53">
        <f>Y29+J29</f>
        <v/>
      </c>
      <c r="AA29" s="53">
        <f>Z29+K29</f>
        <v/>
      </c>
    </row>
    <row r="30">
      <c r="A30" s="81">
        <f>IF($B30="","",$B30&amp;"|"&amp;$D30)</f>
        <v/>
      </c>
      <c r="B30" s="82">
        <f>IFERROR(INDEX(Team_Master!$C$6:$C$20,5),"")</f>
        <v/>
      </c>
      <c r="C30" s="83">
        <f>IFERROR(INDEX(Team_Master!$G$6:$G$20,5),"")</f>
        <v/>
      </c>
      <c r="D30" s="73" t="inlineStr">
        <is>
          <t>K5</t>
        </is>
      </c>
      <c r="E30" s="42" t="inlineStr">
        <is>
          <t>Spec-in Design (submitted design)</t>
        </is>
      </c>
      <c r="F30" s="74" t="inlineStr">
        <is>
          <t>Designs</t>
        </is>
      </c>
      <c r="G30" s="56">
        <f>SUM(H30:K30)</f>
        <v/>
      </c>
      <c r="H30" s="84">
        <f>SUM(L30:N30)</f>
        <v/>
      </c>
      <c r="I30" s="84">
        <f>SUM(O30:Q30)</f>
        <v/>
      </c>
      <c r="J30" s="84">
        <f>SUM(R30:T30)</f>
        <v/>
      </c>
      <c r="K30" s="84">
        <f>SUM(U30:W30)</f>
        <v/>
      </c>
      <c r="L30" s="54">
        <f>SUM(Weekly_Tracker!H79:L79)</f>
        <v/>
      </c>
      <c r="M30" s="54">
        <f>SUM(Weekly_Tracker!M79:Q79)</f>
        <v/>
      </c>
      <c r="N30" s="54">
        <f>SUM(Weekly_Tracker!R79:V79)</f>
        <v/>
      </c>
      <c r="O30" s="54">
        <f>SUM(Weekly_Tracker!W79:AA79)</f>
        <v/>
      </c>
      <c r="P30" s="54">
        <f>SUM(Weekly_Tracker!AB79:AF79)</f>
        <v/>
      </c>
      <c r="Q30" s="54">
        <f>SUM(Weekly_Tracker!AG79:AK79)</f>
        <v/>
      </c>
      <c r="R30" s="54">
        <f>SUM(Weekly_Tracker!AL79:AP79)</f>
        <v/>
      </c>
      <c r="S30" s="54">
        <f>SUM(Weekly_Tracker!AQ79:AU79)</f>
        <v/>
      </c>
      <c r="T30" s="54">
        <f>SUM(Weekly_Tracker!AV79:AZ79)</f>
        <v/>
      </c>
      <c r="U30" s="54">
        <f>SUM(Weekly_Tracker!BA79:BE79)</f>
        <v/>
      </c>
      <c r="V30" s="54">
        <f>SUM(Weekly_Tracker!BF79:BJ79)</f>
        <v/>
      </c>
      <c r="W30" s="54">
        <f>SUM(Weekly_Tracker!BK79:BO79)</f>
        <v/>
      </c>
      <c r="X30" s="53">
        <f>H30</f>
        <v/>
      </c>
      <c r="Y30" s="53">
        <f>X30+I30</f>
        <v/>
      </c>
      <c r="Z30" s="53">
        <f>Y30+J30</f>
        <v/>
      </c>
      <c r="AA30" s="53">
        <f>Z30+K30</f>
        <v/>
      </c>
    </row>
    <row r="31">
      <c r="A31" s="87">
        <f>IF($B31="","",$B31&amp;"|"&amp;$D31)</f>
        <v/>
      </c>
      <c r="B31" s="88">
        <f>IFERROR(INDEX(Team_Master!$C$6:$C$20,6),"")</f>
        <v/>
      </c>
      <c r="C31" s="89">
        <f>IFERROR(INDEX(Team_Master!$G$6:$G$20,6),"")</f>
        <v/>
      </c>
      <c r="D31" s="63" t="inlineStr">
        <is>
          <t>K1</t>
        </is>
      </c>
      <c r="E31" s="12" t="inlineStr">
        <is>
          <t>Invoiced Value</t>
        </is>
      </c>
      <c r="F31" s="64" t="inlineStr">
        <is>
          <t>MVND</t>
        </is>
      </c>
      <c r="G31" s="56">
        <f>SUM(H31:K31)</f>
        <v/>
      </c>
      <c r="H31" s="84">
        <f>SUM(L31:N31)</f>
        <v/>
      </c>
      <c r="I31" s="84">
        <f>SUM(O31:Q31)</f>
        <v/>
      </c>
      <c r="J31" s="84">
        <f>SUM(R31:T31)</f>
        <v/>
      </c>
      <c r="K31" s="84">
        <f>SUM(U31:W31)</f>
        <v/>
      </c>
      <c r="L31" s="90">
        <f>SUM(Weekly_Tracker!H82:L82)</f>
        <v/>
      </c>
      <c r="M31" s="90">
        <f>SUM(Weekly_Tracker!M82:Q82)</f>
        <v/>
      </c>
      <c r="N31" s="90">
        <f>SUM(Weekly_Tracker!R82:V82)</f>
        <v/>
      </c>
      <c r="O31" s="90">
        <f>SUM(Weekly_Tracker!W82:AA82)</f>
        <v/>
      </c>
      <c r="P31" s="90">
        <f>SUM(Weekly_Tracker!AB82:AF82)</f>
        <v/>
      </c>
      <c r="Q31" s="90">
        <f>SUM(Weekly_Tracker!AG82:AK82)</f>
        <v/>
      </c>
      <c r="R31" s="90">
        <f>SUM(Weekly_Tracker!AL82:AP82)</f>
        <v/>
      </c>
      <c r="S31" s="90">
        <f>SUM(Weekly_Tracker!AQ82:AU82)</f>
        <v/>
      </c>
      <c r="T31" s="90">
        <f>SUM(Weekly_Tracker!AV82:AZ82)</f>
        <v/>
      </c>
      <c r="U31" s="90">
        <f>SUM(Weekly_Tracker!BA82:BE82)</f>
        <v/>
      </c>
      <c r="V31" s="90">
        <f>SUM(Weekly_Tracker!BF82:BJ82)</f>
        <v/>
      </c>
      <c r="W31" s="90">
        <f>SUM(Weekly_Tracker!BK82:BO82)</f>
        <v/>
      </c>
      <c r="X31" s="91">
        <f>H31</f>
        <v/>
      </c>
      <c r="Y31" s="91">
        <f>X31+I31</f>
        <v/>
      </c>
      <c r="Z31" s="91">
        <f>Y31+J31</f>
        <v/>
      </c>
      <c r="AA31" s="91">
        <f>Z31+K31</f>
        <v/>
      </c>
    </row>
    <row r="32">
      <c r="A32" s="87">
        <f>IF($B32="","",$B32&amp;"|"&amp;$D32)</f>
        <v/>
      </c>
      <c r="B32" s="88">
        <f>IFERROR(INDEX(Team_Master!$C$6:$C$20,6),"")</f>
        <v/>
      </c>
      <c r="C32" s="89">
        <f>IFERROR(INDEX(Team_Master!$G$6:$G$20,6),"")</f>
        <v/>
      </c>
      <c r="D32" s="63" t="inlineStr">
        <is>
          <t>K2</t>
        </is>
      </c>
      <c r="E32" s="12" t="inlineStr">
        <is>
          <t>Key account approach / Site check</t>
        </is>
      </c>
      <c r="F32" s="64" t="inlineStr">
        <is>
          <t>Roadshow</t>
        </is>
      </c>
      <c r="G32" s="56">
        <f>SUM(H32:K32)</f>
        <v/>
      </c>
      <c r="H32" s="84">
        <f>SUM(L32:N32)</f>
        <v/>
      </c>
      <c r="I32" s="84">
        <f>SUM(O32:Q32)</f>
        <v/>
      </c>
      <c r="J32" s="84">
        <f>SUM(R32:T32)</f>
        <v/>
      </c>
      <c r="K32" s="84">
        <f>SUM(U32:W32)</f>
        <v/>
      </c>
      <c r="L32" s="90">
        <f>SUM(Weekly_Tracker!H85:L85)</f>
        <v/>
      </c>
      <c r="M32" s="90">
        <f>SUM(Weekly_Tracker!M85:Q85)</f>
        <v/>
      </c>
      <c r="N32" s="90">
        <f>SUM(Weekly_Tracker!R85:V85)</f>
        <v/>
      </c>
      <c r="O32" s="90">
        <f>SUM(Weekly_Tracker!W85:AA85)</f>
        <v/>
      </c>
      <c r="P32" s="90">
        <f>SUM(Weekly_Tracker!AB85:AF85)</f>
        <v/>
      </c>
      <c r="Q32" s="90">
        <f>SUM(Weekly_Tracker!AG85:AK85)</f>
        <v/>
      </c>
      <c r="R32" s="90">
        <f>SUM(Weekly_Tracker!AL85:AP85)</f>
        <v/>
      </c>
      <c r="S32" s="90">
        <f>SUM(Weekly_Tracker!AQ85:AU85)</f>
        <v/>
      </c>
      <c r="T32" s="90">
        <f>SUM(Weekly_Tracker!AV85:AZ85)</f>
        <v/>
      </c>
      <c r="U32" s="90">
        <f>SUM(Weekly_Tracker!BA85:BE85)</f>
        <v/>
      </c>
      <c r="V32" s="90">
        <f>SUM(Weekly_Tracker!BF85:BJ85)</f>
        <v/>
      </c>
      <c r="W32" s="90">
        <f>SUM(Weekly_Tracker!BK85:BO85)</f>
        <v/>
      </c>
      <c r="X32" s="91">
        <f>H32</f>
        <v/>
      </c>
      <c r="Y32" s="91">
        <f>X32+I32</f>
        <v/>
      </c>
      <c r="Z32" s="91">
        <f>Y32+J32</f>
        <v/>
      </c>
      <c r="AA32" s="91">
        <f>Z32+K32</f>
        <v/>
      </c>
    </row>
    <row r="33">
      <c r="A33" s="87">
        <f>IF($B33="","",$B33&amp;"|"&amp;$D33)</f>
        <v/>
      </c>
      <c r="B33" s="88">
        <f>IFERROR(INDEX(Team_Master!$C$6:$C$20,6),"")</f>
        <v/>
      </c>
      <c r="C33" s="89">
        <f>IFERROR(INDEX(Team_Master!$G$6:$G$20,6),"")</f>
        <v/>
      </c>
      <c r="D33" s="71" t="inlineStr">
        <is>
          <t>K3</t>
        </is>
      </c>
      <c r="E33" s="38" t="inlineStr">
        <is>
          <t>Spec-in Value</t>
        </is>
      </c>
      <c r="F33" s="72" t="inlineStr">
        <is>
          <t>MVND</t>
        </is>
      </c>
      <c r="G33" s="56">
        <f>SUM(H33:K33)</f>
        <v/>
      </c>
      <c r="H33" s="84">
        <f>SUM(L33:N33)</f>
        <v/>
      </c>
      <c r="I33" s="84">
        <f>SUM(O33:Q33)</f>
        <v/>
      </c>
      <c r="J33" s="84">
        <f>SUM(R33:T33)</f>
        <v/>
      </c>
      <c r="K33" s="84">
        <f>SUM(U33:W33)</f>
        <v/>
      </c>
      <c r="L33" s="90">
        <f>SUM(Weekly_Tracker!H88:L88)</f>
        <v/>
      </c>
      <c r="M33" s="90">
        <f>SUM(Weekly_Tracker!M88:Q88)</f>
        <v/>
      </c>
      <c r="N33" s="90">
        <f>SUM(Weekly_Tracker!R88:V88)</f>
        <v/>
      </c>
      <c r="O33" s="90">
        <f>SUM(Weekly_Tracker!W88:AA88)</f>
        <v/>
      </c>
      <c r="P33" s="90">
        <f>SUM(Weekly_Tracker!AB88:AF88)</f>
        <v/>
      </c>
      <c r="Q33" s="90">
        <f>SUM(Weekly_Tracker!AG88:AK88)</f>
        <v/>
      </c>
      <c r="R33" s="90">
        <f>SUM(Weekly_Tracker!AL88:AP88)</f>
        <v/>
      </c>
      <c r="S33" s="90">
        <f>SUM(Weekly_Tracker!AQ88:AU88)</f>
        <v/>
      </c>
      <c r="T33" s="90">
        <f>SUM(Weekly_Tracker!AV88:AZ88)</f>
        <v/>
      </c>
      <c r="U33" s="90">
        <f>SUM(Weekly_Tracker!BA88:BE88)</f>
        <v/>
      </c>
      <c r="V33" s="90">
        <f>SUM(Weekly_Tracker!BF88:BJ88)</f>
        <v/>
      </c>
      <c r="W33" s="90">
        <f>SUM(Weekly_Tracker!BK88:BO88)</f>
        <v/>
      </c>
      <c r="X33" s="91">
        <f>H33</f>
        <v/>
      </c>
      <c r="Y33" s="91">
        <f>X33+I33</f>
        <v/>
      </c>
      <c r="Z33" s="91">
        <f>Y33+J33</f>
        <v/>
      </c>
      <c r="AA33" s="91">
        <f>Z33+K33</f>
        <v/>
      </c>
    </row>
    <row r="34">
      <c r="A34" s="87">
        <f>IF($B34="","",$B34&amp;"|"&amp;$D34)</f>
        <v/>
      </c>
      <c r="B34" s="88">
        <f>IFERROR(INDEX(Team_Master!$C$6:$C$20,6),"")</f>
        <v/>
      </c>
      <c r="C34" s="89">
        <f>IFERROR(INDEX(Team_Master!$G$6:$G$20,6),"")</f>
        <v/>
      </c>
      <c r="D34" s="71" t="inlineStr">
        <is>
          <t>K4</t>
        </is>
      </c>
      <c r="E34" s="38" t="inlineStr">
        <is>
          <t>Engaged Architect (Submit Design)</t>
        </is>
      </c>
      <c r="F34" s="72" t="inlineStr">
        <is>
          <t>D&amp;B</t>
        </is>
      </c>
      <c r="G34" s="56">
        <f>SUM(H34:K34)</f>
        <v/>
      </c>
      <c r="H34" s="84">
        <f>SUM(L34:N34)</f>
        <v/>
      </c>
      <c r="I34" s="84">
        <f>SUM(O34:Q34)</f>
        <v/>
      </c>
      <c r="J34" s="84">
        <f>SUM(R34:T34)</f>
        <v/>
      </c>
      <c r="K34" s="84">
        <f>SUM(U34:W34)</f>
        <v/>
      </c>
      <c r="L34" s="90">
        <f>SUM(Weekly_Tracker!H91:L91)</f>
        <v/>
      </c>
      <c r="M34" s="90">
        <f>SUM(Weekly_Tracker!M91:Q91)</f>
        <v/>
      </c>
      <c r="N34" s="90">
        <f>SUM(Weekly_Tracker!R91:V91)</f>
        <v/>
      </c>
      <c r="O34" s="90">
        <f>SUM(Weekly_Tracker!W91:AA91)</f>
        <v/>
      </c>
      <c r="P34" s="90">
        <f>SUM(Weekly_Tracker!AB91:AF91)</f>
        <v/>
      </c>
      <c r="Q34" s="90">
        <f>SUM(Weekly_Tracker!AG91:AK91)</f>
        <v/>
      </c>
      <c r="R34" s="90">
        <f>SUM(Weekly_Tracker!AL91:AP91)</f>
        <v/>
      </c>
      <c r="S34" s="90">
        <f>SUM(Weekly_Tracker!AQ91:AU91)</f>
        <v/>
      </c>
      <c r="T34" s="90">
        <f>SUM(Weekly_Tracker!AV91:AZ91)</f>
        <v/>
      </c>
      <c r="U34" s="90">
        <f>SUM(Weekly_Tracker!BA91:BE91)</f>
        <v/>
      </c>
      <c r="V34" s="90">
        <f>SUM(Weekly_Tracker!BF91:BJ91)</f>
        <v/>
      </c>
      <c r="W34" s="90">
        <f>SUM(Weekly_Tracker!BK91:BO91)</f>
        <v/>
      </c>
      <c r="X34" s="91">
        <f>H34</f>
        <v/>
      </c>
      <c r="Y34" s="91">
        <f>X34+I34</f>
        <v/>
      </c>
      <c r="Z34" s="91">
        <f>Y34+J34</f>
        <v/>
      </c>
      <c r="AA34" s="91">
        <f>Z34+K34</f>
        <v/>
      </c>
    </row>
    <row r="35">
      <c r="A35" s="87">
        <f>IF($B35="","",$B35&amp;"|"&amp;$D35)</f>
        <v/>
      </c>
      <c r="B35" s="88">
        <f>IFERROR(INDEX(Team_Master!$C$6:$C$20,6),"")</f>
        <v/>
      </c>
      <c r="C35" s="89">
        <f>IFERROR(INDEX(Team_Master!$G$6:$G$20,6),"")</f>
        <v/>
      </c>
      <c r="D35" s="73" t="inlineStr">
        <is>
          <t>K5</t>
        </is>
      </c>
      <c r="E35" s="42" t="inlineStr">
        <is>
          <t>Spec-in Design (submitted design)</t>
        </is>
      </c>
      <c r="F35" s="74" t="inlineStr">
        <is>
          <t>Designs</t>
        </is>
      </c>
      <c r="G35" s="56">
        <f>SUM(H35:K35)</f>
        <v/>
      </c>
      <c r="H35" s="84">
        <f>SUM(L35:N35)</f>
        <v/>
      </c>
      <c r="I35" s="84">
        <f>SUM(O35:Q35)</f>
        <v/>
      </c>
      <c r="J35" s="84">
        <f>SUM(R35:T35)</f>
        <v/>
      </c>
      <c r="K35" s="84">
        <f>SUM(U35:W35)</f>
        <v/>
      </c>
      <c r="L35" s="90">
        <f>SUM(Weekly_Tracker!H94:L94)</f>
        <v/>
      </c>
      <c r="M35" s="90">
        <f>SUM(Weekly_Tracker!M94:Q94)</f>
        <v/>
      </c>
      <c r="N35" s="90">
        <f>SUM(Weekly_Tracker!R94:V94)</f>
        <v/>
      </c>
      <c r="O35" s="90">
        <f>SUM(Weekly_Tracker!W94:AA94)</f>
        <v/>
      </c>
      <c r="P35" s="90">
        <f>SUM(Weekly_Tracker!AB94:AF94)</f>
        <v/>
      </c>
      <c r="Q35" s="90">
        <f>SUM(Weekly_Tracker!AG94:AK94)</f>
        <v/>
      </c>
      <c r="R35" s="90">
        <f>SUM(Weekly_Tracker!AL94:AP94)</f>
        <v/>
      </c>
      <c r="S35" s="90">
        <f>SUM(Weekly_Tracker!AQ94:AU94)</f>
        <v/>
      </c>
      <c r="T35" s="90">
        <f>SUM(Weekly_Tracker!AV94:AZ94)</f>
        <v/>
      </c>
      <c r="U35" s="90">
        <f>SUM(Weekly_Tracker!BA94:BE94)</f>
        <v/>
      </c>
      <c r="V35" s="90">
        <f>SUM(Weekly_Tracker!BF94:BJ94)</f>
        <v/>
      </c>
      <c r="W35" s="90">
        <f>SUM(Weekly_Tracker!BK94:BO94)</f>
        <v/>
      </c>
      <c r="X35" s="91">
        <f>H35</f>
        <v/>
      </c>
      <c r="Y35" s="91">
        <f>X35+I35</f>
        <v/>
      </c>
      <c r="Z35" s="91">
        <f>Y35+J35</f>
        <v/>
      </c>
      <c r="AA35" s="91">
        <f>Z35+K35</f>
        <v/>
      </c>
    </row>
    <row r="36">
      <c r="A36" s="81">
        <f>IF($B36="","",$B36&amp;"|"&amp;$D36)</f>
        <v/>
      </c>
      <c r="B36" s="82">
        <f>IFERROR(INDEX(Team_Master!$C$6:$C$20,7),"")</f>
        <v/>
      </c>
      <c r="C36" s="83">
        <f>IFERROR(INDEX(Team_Master!$G$6:$G$20,7),"")</f>
        <v/>
      </c>
      <c r="D36" s="63" t="inlineStr">
        <is>
          <t>K1</t>
        </is>
      </c>
      <c r="E36" s="12" t="inlineStr">
        <is>
          <t>Invoiced Value</t>
        </is>
      </c>
      <c r="F36" s="64" t="inlineStr">
        <is>
          <t>MVND</t>
        </is>
      </c>
      <c r="G36" s="56">
        <f>SUM(H36:K36)</f>
        <v/>
      </c>
      <c r="H36" s="84">
        <f>SUM(L36:N36)</f>
        <v/>
      </c>
      <c r="I36" s="84">
        <f>SUM(O36:Q36)</f>
        <v/>
      </c>
      <c r="J36" s="84">
        <f>SUM(R36:T36)</f>
        <v/>
      </c>
      <c r="K36" s="84">
        <f>SUM(U36:W36)</f>
        <v/>
      </c>
      <c r="L36" s="54">
        <f>SUM(Weekly_Tracker!H97:L97)</f>
        <v/>
      </c>
      <c r="M36" s="54">
        <f>SUM(Weekly_Tracker!M97:Q97)</f>
        <v/>
      </c>
      <c r="N36" s="54">
        <f>SUM(Weekly_Tracker!R97:V97)</f>
        <v/>
      </c>
      <c r="O36" s="54">
        <f>SUM(Weekly_Tracker!W97:AA97)</f>
        <v/>
      </c>
      <c r="P36" s="54">
        <f>SUM(Weekly_Tracker!AB97:AF97)</f>
        <v/>
      </c>
      <c r="Q36" s="54">
        <f>SUM(Weekly_Tracker!AG97:AK97)</f>
        <v/>
      </c>
      <c r="R36" s="54">
        <f>SUM(Weekly_Tracker!AL97:AP97)</f>
        <v/>
      </c>
      <c r="S36" s="54">
        <f>SUM(Weekly_Tracker!AQ97:AU97)</f>
        <v/>
      </c>
      <c r="T36" s="54">
        <f>SUM(Weekly_Tracker!AV97:AZ97)</f>
        <v/>
      </c>
      <c r="U36" s="54">
        <f>SUM(Weekly_Tracker!BA97:BE97)</f>
        <v/>
      </c>
      <c r="V36" s="54">
        <f>SUM(Weekly_Tracker!BF97:BJ97)</f>
        <v/>
      </c>
      <c r="W36" s="54">
        <f>SUM(Weekly_Tracker!BK97:BO97)</f>
        <v/>
      </c>
      <c r="X36" s="53">
        <f>H36</f>
        <v/>
      </c>
      <c r="Y36" s="53">
        <f>X36+I36</f>
        <v/>
      </c>
      <c r="Z36" s="53">
        <f>Y36+J36</f>
        <v/>
      </c>
      <c r="AA36" s="53">
        <f>Z36+K36</f>
        <v/>
      </c>
    </row>
    <row r="37">
      <c r="A37" s="81">
        <f>IF($B37="","",$B37&amp;"|"&amp;$D37)</f>
        <v/>
      </c>
      <c r="B37" s="82">
        <f>IFERROR(INDEX(Team_Master!$C$6:$C$20,7),"")</f>
        <v/>
      </c>
      <c r="C37" s="83">
        <f>IFERROR(INDEX(Team_Master!$G$6:$G$20,7),"")</f>
        <v/>
      </c>
      <c r="D37" s="63" t="inlineStr">
        <is>
          <t>K2</t>
        </is>
      </c>
      <c r="E37" s="12" t="inlineStr">
        <is>
          <t>Key account approach / Site check</t>
        </is>
      </c>
      <c r="F37" s="64" t="inlineStr">
        <is>
          <t>Roadshow</t>
        </is>
      </c>
      <c r="G37" s="56">
        <f>SUM(H37:K37)</f>
        <v/>
      </c>
      <c r="H37" s="84">
        <f>SUM(L37:N37)</f>
        <v/>
      </c>
      <c r="I37" s="84">
        <f>SUM(O37:Q37)</f>
        <v/>
      </c>
      <c r="J37" s="84">
        <f>SUM(R37:T37)</f>
        <v/>
      </c>
      <c r="K37" s="84">
        <f>SUM(U37:W37)</f>
        <v/>
      </c>
      <c r="L37" s="54">
        <f>SUM(Weekly_Tracker!H100:L100)</f>
        <v/>
      </c>
      <c r="M37" s="54">
        <f>SUM(Weekly_Tracker!M100:Q100)</f>
        <v/>
      </c>
      <c r="N37" s="54">
        <f>SUM(Weekly_Tracker!R100:V100)</f>
        <v/>
      </c>
      <c r="O37" s="54">
        <f>SUM(Weekly_Tracker!W100:AA100)</f>
        <v/>
      </c>
      <c r="P37" s="54">
        <f>SUM(Weekly_Tracker!AB100:AF100)</f>
        <v/>
      </c>
      <c r="Q37" s="54">
        <f>SUM(Weekly_Tracker!AG100:AK100)</f>
        <v/>
      </c>
      <c r="R37" s="54">
        <f>SUM(Weekly_Tracker!AL100:AP100)</f>
        <v/>
      </c>
      <c r="S37" s="54">
        <f>SUM(Weekly_Tracker!AQ100:AU100)</f>
        <v/>
      </c>
      <c r="T37" s="54">
        <f>SUM(Weekly_Tracker!AV100:AZ100)</f>
        <v/>
      </c>
      <c r="U37" s="54">
        <f>SUM(Weekly_Tracker!BA100:BE100)</f>
        <v/>
      </c>
      <c r="V37" s="54">
        <f>SUM(Weekly_Tracker!BF100:BJ100)</f>
        <v/>
      </c>
      <c r="W37" s="54">
        <f>SUM(Weekly_Tracker!BK100:BO100)</f>
        <v/>
      </c>
      <c r="X37" s="53">
        <f>H37</f>
        <v/>
      </c>
      <c r="Y37" s="53">
        <f>X37+I37</f>
        <v/>
      </c>
      <c r="Z37" s="53">
        <f>Y37+J37</f>
        <v/>
      </c>
      <c r="AA37" s="53">
        <f>Z37+K37</f>
        <v/>
      </c>
    </row>
    <row r="38">
      <c r="A38" s="81">
        <f>IF($B38="","",$B38&amp;"|"&amp;$D38)</f>
        <v/>
      </c>
      <c r="B38" s="82">
        <f>IFERROR(INDEX(Team_Master!$C$6:$C$20,7),"")</f>
        <v/>
      </c>
      <c r="C38" s="83">
        <f>IFERROR(INDEX(Team_Master!$G$6:$G$20,7),"")</f>
        <v/>
      </c>
      <c r="D38" s="71" t="inlineStr">
        <is>
          <t>K3</t>
        </is>
      </c>
      <c r="E38" s="38" t="inlineStr">
        <is>
          <t>Spec-in Value</t>
        </is>
      </c>
      <c r="F38" s="72" t="inlineStr">
        <is>
          <t>MVND</t>
        </is>
      </c>
      <c r="G38" s="56">
        <f>SUM(H38:K38)</f>
        <v/>
      </c>
      <c r="H38" s="84">
        <f>SUM(L38:N38)</f>
        <v/>
      </c>
      <c r="I38" s="84">
        <f>SUM(O38:Q38)</f>
        <v/>
      </c>
      <c r="J38" s="84">
        <f>SUM(R38:T38)</f>
        <v/>
      </c>
      <c r="K38" s="84">
        <f>SUM(U38:W38)</f>
        <v/>
      </c>
      <c r="L38" s="54">
        <f>SUM(Weekly_Tracker!H103:L103)</f>
        <v/>
      </c>
      <c r="M38" s="54">
        <f>SUM(Weekly_Tracker!M103:Q103)</f>
        <v/>
      </c>
      <c r="N38" s="54">
        <f>SUM(Weekly_Tracker!R103:V103)</f>
        <v/>
      </c>
      <c r="O38" s="54">
        <f>SUM(Weekly_Tracker!W103:AA103)</f>
        <v/>
      </c>
      <c r="P38" s="54">
        <f>SUM(Weekly_Tracker!AB103:AF103)</f>
        <v/>
      </c>
      <c r="Q38" s="54">
        <f>SUM(Weekly_Tracker!AG103:AK103)</f>
        <v/>
      </c>
      <c r="R38" s="54">
        <f>SUM(Weekly_Tracker!AL103:AP103)</f>
        <v/>
      </c>
      <c r="S38" s="54">
        <f>SUM(Weekly_Tracker!AQ103:AU103)</f>
        <v/>
      </c>
      <c r="T38" s="54">
        <f>SUM(Weekly_Tracker!AV103:AZ103)</f>
        <v/>
      </c>
      <c r="U38" s="54">
        <f>SUM(Weekly_Tracker!BA103:BE103)</f>
        <v/>
      </c>
      <c r="V38" s="54">
        <f>SUM(Weekly_Tracker!BF103:BJ103)</f>
        <v/>
      </c>
      <c r="W38" s="54">
        <f>SUM(Weekly_Tracker!BK103:BO103)</f>
        <v/>
      </c>
      <c r="X38" s="53">
        <f>H38</f>
        <v/>
      </c>
      <c r="Y38" s="53">
        <f>X38+I38</f>
        <v/>
      </c>
      <c r="Z38" s="53">
        <f>Y38+J38</f>
        <v/>
      </c>
      <c r="AA38" s="53">
        <f>Z38+K38</f>
        <v/>
      </c>
    </row>
    <row r="39">
      <c r="A39" s="81">
        <f>IF($B39="","",$B39&amp;"|"&amp;$D39)</f>
        <v/>
      </c>
      <c r="B39" s="82">
        <f>IFERROR(INDEX(Team_Master!$C$6:$C$20,7),"")</f>
        <v/>
      </c>
      <c r="C39" s="83">
        <f>IFERROR(INDEX(Team_Master!$G$6:$G$20,7),"")</f>
        <v/>
      </c>
      <c r="D39" s="71" t="inlineStr">
        <is>
          <t>K4</t>
        </is>
      </c>
      <c r="E39" s="38" t="inlineStr">
        <is>
          <t>Engaged Architect (Submit Design)</t>
        </is>
      </c>
      <c r="F39" s="72" t="inlineStr">
        <is>
          <t>D&amp;B</t>
        </is>
      </c>
      <c r="G39" s="56">
        <f>SUM(H39:K39)</f>
        <v/>
      </c>
      <c r="H39" s="84">
        <f>SUM(L39:N39)</f>
        <v/>
      </c>
      <c r="I39" s="84">
        <f>SUM(O39:Q39)</f>
        <v/>
      </c>
      <c r="J39" s="84">
        <f>SUM(R39:T39)</f>
        <v/>
      </c>
      <c r="K39" s="84">
        <f>SUM(U39:W39)</f>
        <v/>
      </c>
      <c r="L39" s="54">
        <f>SUM(Weekly_Tracker!H106:L106)</f>
        <v/>
      </c>
      <c r="M39" s="54">
        <f>SUM(Weekly_Tracker!M106:Q106)</f>
        <v/>
      </c>
      <c r="N39" s="54">
        <f>SUM(Weekly_Tracker!R106:V106)</f>
        <v/>
      </c>
      <c r="O39" s="54">
        <f>SUM(Weekly_Tracker!W106:AA106)</f>
        <v/>
      </c>
      <c r="P39" s="54">
        <f>SUM(Weekly_Tracker!AB106:AF106)</f>
        <v/>
      </c>
      <c r="Q39" s="54">
        <f>SUM(Weekly_Tracker!AG106:AK106)</f>
        <v/>
      </c>
      <c r="R39" s="54">
        <f>SUM(Weekly_Tracker!AL106:AP106)</f>
        <v/>
      </c>
      <c r="S39" s="54">
        <f>SUM(Weekly_Tracker!AQ106:AU106)</f>
        <v/>
      </c>
      <c r="T39" s="54">
        <f>SUM(Weekly_Tracker!AV106:AZ106)</f>
        <v/>
      </c>
      <c r="U39" s="54">
        <f>SUM(Weekly_Tracker!BA106:BE106)</f>
        <v/>
      </c>
      <c r="V39" s="54">
        <f>SUM(Weekly_Tracker!BF106:BJ106)</f>
        <v/>
      </c>
      <c r="W39" s="54">
        <f>SUM(Weekly_Tracker!BK106:BO106)</f>
        <v/>
      </c>
      <c r="X39" s="53">
        <f>H39</f>
        <v/>
      </c>
      <c r="Y39" s="53">
        <f>X39+I39</f>
        <v/>
      </c>
      <c r="Z39" s="53">
        <f>Y39+J39</f>
        <v/>
      </c>
      <c r="AA39" s="53">
        <f>Z39+K39</f>
        <v/>
      </c>
    </row>
    <row r="40">
      <c r="A40" s="81">
        <f>IF($B40="","",$B40&amp;"|"&amp;$D40)</f>
        <v/>
      </c>
      <c r="B40" s="82">
        <f>IFERROR(INDEX(Team_Master!$C$6:$C$20,7),"")</f>
        <v/>
      </c>
      <c r="C40" s="83">
        <f>IFERROR(INDEX(Team_Master!$G$6:$G$20,7),"")</f>
        <v/>
      </c>
      <c r="D40" s="73" t="inlineStr">
        <is>
          <t>K5</t>
        </is>
      </c>
      <c r="E40" s="42" t="inlineStr">
        <is>
          <t>Spec-in Design (submitted design)</t>
        </is>
      </c>
      <c r="F40" s="74" t="inlineStr">
        <is>
          <t>Designs</t>
        </is>
      </c>
      <c r="G40" s="56">
        <f>SUM(H40:K40)</f>
        <v/>
      </c>
      <c r="H40" s="84">
        <f>SUM(L40:N40)</f>
        <v/>
      </c>
      <c r="I40" s="84">
        <f>SUM(O40:Q40)</f>
        <v/>
      </c>
      <c r="J40" s="84">
        <f>SUM(R40:T40)</f>
        <v/>
      </c>
      <c r="K40" s="84">
        <f>SUM(U40:W40)</f>
        <v/>
      </c>
      <c r="L40" s="54">
        <f>SUM(Weekly_Tracker!H109:L109)</f>
        <v/>
      </c>
      <c r="M40" s="54">
        <f>SUM(Weekly_Tracker!M109:Q109)</f>
        <v/>
      </c>
      <c r="N40" s="54">
        <f>SUM(Weekly_Tracker!R109:V109)</f>
        <v/>
      </c>
      <c r="O40" s="54">
        <f>SUM(Weekly_Tracker!W109:AA109)</f>
        <v/>
      </c>
      <c r="P40" s="54">
        <f>SUM(Weekly_Tracker!AB109:AF109)</f>
        <v/>
      </c>
      <c r="Q40" s="54">
        <f>SUM(Weekly_Tracker!AG109:AK109)</f>
        <v/>
      </c>
      <c r="R40" s="54">
        <f>SUM(Weekly_Tracker!AL109:AP109)</f>
        <v/>
      </c>
      <c r="S40" s="54">
        <f>SUM(Weekly_Tracker!AQ109:AU109)</f>
        <v/>
      </c>
      <c r="T40" s="54">
        <f>SUM(Weekly_Tracker!AV109:AZ109)</f>
        <v/>
      </c>
      <c r="U40" s="54">
        <f>SUM(Weekly_Tracker!BA109:BE109)</f>
        <v/>
      </c>
      <c r="V40" s="54">
        <f>SUM(Weekly_Tracker!BF109:BJ109)</f>
        <v/>
      </c>
      <c r="W40" s="54">
        <f>SUM(Weekly_Tracker!BK109:BO109)</f>
        <v/>
      </c>
      <c r="X40" s="53">
        <f>H40</f>
        <v/>
      </c>
      <c r="Y40" s="53">
        <f>X40+I40</f>
        <v/>
      </c>
      <c r="Z40" s="53">
        <f>Y40+J40</f>
        <v/>
      </c>
      <c r="AA40" s="53">
        <f>Z40+K40</f>
        <v/>
      </c>
    </row>
    <row r="41">
      <c r="A41" s="87">
        <f>IF($B41="","",$B41&amp;"|"&amp;$D41)</f>
        <v/>
      </c>
      <c r="B41" s="88">
        <f>IFERROR(INDEX(Team_Master!$C$6:$C$20,8),"")</f>
        <v/>
      </c>
      <c r="C41" s="89">
        <f>IFERROR(INDEX(Team_Master!$G$6:$G$20,8),"")</f>
        <v/>
      </c>
      <c r="D41" s="63" t="inlineStr">
        <is>
          <t>K1</t>
        </is>
      </c>
      <c r="E41" s="12" t="inlineStr">
        <is>
          <t>Invoiced Value</t>
        </is>
      </c>
      <c r="F41" s="64" t="inlineStr">
        <is>
          <t>MVND</t>
        </is>
      </c>
      <c r="G41" s="56">
        <f>SUM(H41:K41)</f>
        <v/>
      </c>
      <c r="H41" s="84">
        <f>SUM(L41:N41)</f>
        <v/>
      </c>
      <c r="I41" s="84">
        <f>SUM(O41:Q41)</f>
        <v/>
      </c>
      <c r="J41" s="84">
        <f>SUM(R41:T41)</f>
        <v/>
      </c>
      <c r="K41" s="84">
        <f>SUM(U41:W41)</f>
        <v/>
      </c>
      <c r="L41" s="90">
        <f>SUM(Weekly_Tracker!H112:L112)</f>
        <v/>
      </c>
      <c r="M41" s="90">
        <f>SUM(Weekly_Tracker!M112:Q112)</f>
        <v/>
      </c>
      <c r="N41" s="90">
        <f>SUM(Weekly_Tracker!R112:V112)</f>
        <v/>
      </c>
      <c r="O41" s="90">
        <f>SUM(Weekly_Tracker!W112:AA112)</f>
        <v/>
      </c>
      <c r="P41" s="90">
        <f>SUM(Weekly_Tracker!AB112:AF112)</f>
        <v/>
      </c>
      <c r="Q41" s="90">
        <f>SUM(Weekly_Tracker!AG112:AK112)</f>
        <v/>
      </c>
      <c r="R41" s="90">
        <f>SUM(Weekly_Tracker!AL112:AP112)</f>
        <v/>
      </c>
      <c r="S41" s="90">
        <f>SUM(Weekly_Tracker!AQ112:AU112)</f>
        <v/>
      </c>
      <c r="T41" s="90">
        <f>SUM(Weekly_Tracker!AV112:AZ112)</f>
        <v/>
      </c>
      <c r="U41" s="90">
        <f>SUM(Weekly_Tracker!BA112:BE112)</f>
        <v/>
      </c>
      <c r="V41" s="90">
        <f>SUM(Weekly_Tracker!BF112:BJ112)</f>
        <v/>
      </c>
      <c r="W41" s="90">
        <f>SUM(Weekly_Tracker!BK112:BO112)</f>
        <v/>
      </c>
      <c r="X41" s="91">
        <f>H41</f>
        <v/>
      </c>
      <c r="Y41" s="91">
        <f>X41+I41</f>
        <v/>
      </c>
      <c r="Z41" s="91">
        <f>Y41+J41</f>
        <v/>
      </c>
      <c r="AA41" s="91">
        <f>Z41+K41</f>
        <v/>
      </c>
    </row>
    <row r="42">
      <c r="A42" s="87">
        <f>IF($B42="","",$B42&amp;"|"&amp;$D42)</f>
        <v/>
      </c>
      <c r="B42" s="88">
        <f>IFERROR(INDEX(Team_Master!$C$6:$C$20,8),"")</f>
        <v/>
      </c>
      <c r="C42" s="89">
        <f>IFERROR(INDEX(Team_Master!$G$6:$G$20,8),"")</f>
        <v/>
      </c>
      <c r="D42" s="63" t="inlineStr">
        <is>
          <t>K2</t>
        </is>
      </c>
      <c r="E42" s="12" t="inlineStr">
        <is>
          <t>Key account approach / Site check</t>
        </is>
      </c>
      <c r="F42" s="64" t="inlineStr">
        <is>
          <t>Roadshow</t>
        </is>
      </c>
      <c r="G42" s="56">
        <f>SUM(H42:K42)</f>
        <v/>
      </c>
      <c r="H42" s="84">
        <f>SUM(L42:N42)</f>
        <v/>
      </c>
      <c r="I42" s="84">
        <f>SUM(O42:Q42)</f>
        <v/>
      </c>
      <c r="J42" s="84">
        <f>SUM(R42:T42)</f>
        <v/>
      </c>
      <c r="K42" s="84">
        <f>SUM(U42:W42)</f>
        <v/>
      </c>
      <c r="L42" s="90">
        <f>SUM(Weekly_Tracker!H115:L115)</f>
        <v/>
      </c>
      <c r="M42" s="90">
        <f>SUM(Weekly_Tracker!M115:Q115)</f>
        <v/>
      </c>
      <c r="N42" s="90">
        <f>SUM(Weekly_Tracker!R115:V115)</f>
        <v/>
      </c>
      <c r="O42" s="90">
        <f>SUM(Weekly_Tracker!W115:AA115)</f>
        <v/>
      </c>
      <c r="P42" s="90">
        <f>SUM(Weekly_Tracker!AB115:AF115)</f>
        <v/>
      </c>
      <c r="Q42" s="90">
        <f>SUM(Weekly_Tracker!AG115:AK115)</f>
        <v/>
      </c>
      <c r="R42" s="90">
        <f>SUM(Weekly_Tracker!AL115:AP115)</f>
        <v/>
      </c>
      <c r="S42" s="90">
        <f>SUM(Weekly_Tracker!AQ115:AU115)</f>
        <v/>
      </c>
      <c r="T42" s="90">
        <f>SUM(Weekly_Tracker!AV115:AZ115)</f>
        <v/>
      </c>
      <c r="U42" s="90">
        <f>SUM(Weekly_Tracker!BA115:BE115)</f>
        <v/>
      </c>
      <c r="V42" s="90">
        <f>SUM(Weekly_Tracker!BF115:BJ115)</f>
        <v/>
      </c>
      <c r="W42" s="90">
        <f>SUM(Weekly_Tracker!BK115:BO115)</f>
        <v/>
      </c>
      <c r="X42" s="91">
        <f>H42</f>
        <v/>
      </c>
      <c r="Y42" s="91">
        <f>X42+I42</f>
        <v/>
      </c>
      <c r="Z42" s="91">
        <f>Y42+J42</f>
        <v/>
      </c>
      <c r="AA42" s="91">
        <f>Z42+K42</f>
        <v/>
      </c>
    </row>
    <row r="43">
      <c r="A43" s="87">
        <f>IF($B43="","",$B43&amp;"|"&amp;$D43)</f>
        <v/>
      </c>
      <c r="B43" s="88">
        <f>IFERROR(INDEX(Team_Master!$C$6:$C$20,8),"")</f>
        <v/>
      </c>
      <c r="C43" s="89">
        <f>IFERROR(INDEX(Team_Master!$G$6:$G$20,8),"")</f>
        <v/>
      </c>
      <c r="D43" s="71" t="inlineStr">
        <is>
          <t>K3</t>
        </is>
      </c>
      <c r="E43" s="38" t="inlineStr">
        <is>
          <t>Spec-in Value</t>
        </is>
      </c>
      <c r="F43" s="72" t="inlineStr">
        <is>
          <t>MVND</t>
        </is>
      </c>
      <c r="G43" s="56">
        <f>SUM(H43:K43)</f>
        <v/>
      </c>
      <c r="H43" s="84">
        <f>SUM(L43:N43)</f>
        <v/>
      </c>
      <c r="I43" s="84">
        <f>SUM(O43:Q43)</f>
        <v/>
      </c>
      <c r="J43" s="84">
        <f>SUM(R43:T43)</f>
        <v/>
      </c>
      <c r="K43" s="84">
        <f>SUM(U43:W43)</f>
        <v/>
      </c>
      <c r="L43" s="90">
        <f>SUM(Weekly_Tracker!H118:L118)</f>
        <v/>
      </c>
      <c r="M43" s="90">
        <f>SUM(Weekly_Tracker!M118:Q118)</f>
        <v/>
      </c>
      <c r="N43" s="90">
        <f>SUM(Weekly_Tracker!R118:V118)</f>
        <v/>
      </c>
      <c r="O43" s="90">
        <f>SUM(Weekly_Tracker!W118:AA118)</f>
        <v/>
      </c>
      <c r="P43" s="90">
        <f>SUM(Weekly_Tracker!AB118:AF118)</f>
        <v/>
      </c>
      <c r="Q43" s="90">
        <f>SUM(Weekly_Tracker!AG118:AK118)</f>
        <v/>
      </c>
      <c r="R43" s="90">
        <f>SUM(Weekly_Tracker!AL118:AP118)</f>
        <v/>
      </c>
      <c r="S43" s="90">
        <f>SUM(Weekly_Tracker!AQ118:AU118)</f>
        <v/>
      </c>
      <c r="T43" s="90">
        <f>SUM(Weekly_Tracker!AV118:AZ118)</f>
        <v/>
      </c>
      <c r="U43" s="90">
        <f>SUM(Weekly_Tracker!BA118:BE118)</f>
        <v/>
      </c>
      <c r="V43" s="90">
        <f>SUM(Weekly_Tracker!BF118:BJ118)</f>
        <v/>
      </c>
      <c r="W43" s="90">
        <f>SUM(Weekly_Tracker!BK118:BO118)</f>
        <v/>
      </c>
      <c r="X43" s="91">
        <f>H43</f>
        <v/>
      </c>
      <c r="Y43" s="91">
        <f>X43+I43</f>
        <v/>
      </c>
      <c r="Z43" s="91">
        <f>Y43+J43</f>
        <v/>
      </c>
      <c r="AA43" s="91">
        <f>Z43+K43</f>
        <v/>
      </c>
    </row>
    <row r="44">
      <c r="A44" s="87">
        <f>IF($B44="","",$B44&amp;"|"&amp;$D44)</f>
        <v/>
      </c>
      <c r="B44" s="88">
        <f>IFERROR(INDEX(Team_Master!$C$6:$C$20,8),"")</f>
        <v/>
      </c>
      <c r="C44" s="89">
        <f>IFERROR(INDEX(Team_Master!$G$6:$G$20,8),"")</f>
        <v/>
      </c>
      <c r="D44" s="71" t="inlineStr">
        <is>
          <t>K4</t>
        </is>
      </c>
      <c r="E44" s="38" t="inlineStr">
        <is>
          <t>Engaged Architect (Submit Design)</t>
        </is>
      </c>
      <c r="F44" s="72" t="inlineStr">
        <is>
          <t>D&amp;B</t>
        </is>
      </c>
      <c r="G44" s="56">
        <f>SUM(H44:K44)</f>
        <v/>
      </c>
      <c r="H44" s="84">
        <f>SUM(L44:N44)</f>
        <v/>
      </c>
      <c r="I44" s="84">
        <f>SUM(O44:Q44)</f>
        <v/>
      </c>
      <c r="J44" s="84">
        <f>SUM(R44:T44)</f>
        <v/>
      </c>
      <c r="K44" s="84">
        <f>SUM(U44:W44)</f>
        <v/>
      </c>
      <c r="L44" s="90">
        <f>SUM(Weekly_Tracker!H121:L121)</f>
        <v/>
      </c>
      <c r="M44" s="90">
        <f>SUM(Weekly_Tracker!M121:Q121)</f>
        <v/>
      </c>
      <c r="N44" s="90">
        <f>SUM(Weekly_Tracker!R121:V121)</f>
        <v/>
      </c>
      <c r="O44" s="90">
        <f>SUM(Weekly_Tracker!W121:AA121)</f>
        <v/>
      </c>
      <c r="P44" s="90">
        <f>SUM(Weekly_Tracker!AB121:AF121)</f>
        <v/>
      </c>
      <c r="Q44" s="90">
        <f>SUM(Weekly_Tracker!AG121:AK121)</f>
        <v/>
      </c>
      <c r="R44" s="90">
        <f>SUM(Weekly_Tracker!AL121:AP121)</f>
        <v/>
      </c>
      <c r="S44" s="90">
        <f>SUM(Weekly_Tracker!AQ121:AU121)</f>
        <v/>
      </c>
      <c r="T44" s="90">
        <f>SUM(Weekly_Tracker!AV121:AZ121)</f>
        <v/>
      </c>
      <c r="U44" s="90">
        <f>SUM(Weekly_Tracker!BA121:BE121)</f>
        <v/>
      </c>
      <c r="V44" s="90">
        <f>SUM(Weekly_Tracker!BF121:BJ121)</f>
        <v/>
      </c>
      <c r="W44" s="90">
        <f>SUM(Weekly_Tracker!BK121:BO121)</f>
        <v/>
      </c>
      <c r="X44" s="91">
        <f>H44</f>
        <v/>
      </c>
      <c r="Y44" s="91">
        <f>X44+I44</f>
        <v/>
      </c>
      <c r="Z44" s="91">
        <f>Y44+J44</f>
        <v/>
      </c>
      <c r="AA44" s="91">
        <f>Z44+K44</f>
        <v/>
      </c>
    </row>
    <row r="45">
      <c r="A45" s="87">
        <f>IF($B45="","",$B45&amp;"|"&amp;$D45)</f>
        <v/>
      </c>
      <c r="B45" s="88">
        <f>IFERROR(INDEX(Team_Master!$C$6:$C$20,8),"")</f>
        <v/>
      </c>
      <c r="C45" s="89">
        <f>IFERROR(INDEX(Team_Master!$G$6:$G$20,8),"")</f>
        <v/>
      </c>
      <c r="D45" s="73" t="inlineStr">
        <is>
          <t>K5</t>
        </is>
      </c>
      <c r="E45" s="42" t="inlineStr">
        <is>
          <t>Spec-in Design (submitted design)</t>
        </is>
      </c>
      <c r="F45" s="74" t="inlineStr">
        <is>
          <t>Designs</t>
        </is>
      </c>
      <c r="G45" s="56">
        <f>SUM(H45:K45)</f>
        <v/>
      </c>
      <c r="H45" s="84">
        <f>SUM(L45:N45)</f>
        <v/>
      </c>
      <c r="I45" s="84">
        <f>SUM(O45:Q45)</f>
        <v/>
      </c>
      <c r="J45" s="84">
        <f>SUM(R45:T45)</f>
        <v/>
      </c>
      <c r="K45" s="84">
        <f>SUM(U45:W45)</f>
        <v/>
      </c>
      <c r="L45" s="90">
        <f>SUM(Weekly_Tracker!H124:L124)</f>
        <v/>
      </c>
      <c r="M45" s="90">
        <f>SUM(Weekly_Tracker!M124:Q124)</f>
        <v/>
      </c>
      <c r="N45" s="90">
        <f>SUM(Weekly_Tracker!R124:V124)</f>
        <v/>
      </c>
      <c r="O45" s="90">
        <f>SUM(Weekly_Tracker!W124:AA124)</f>
        <v/>
      </c>
      <c r="P45" s="90">
        <f>SUM(Weekly_Tracker!AB124:AF124)</f>
        <v/>
      </c>
      <c r="Q45" s="90">
        <f>SUM(Weekly_Tracker!AG124:AK124)</f>
        <v/>
      </c>
      <c r="R45" s="90">
        <f>SUM(Weekly_Tracker!AL124:AP124)</f>
        <v/>
      </c>
      <c r="S45" s="90">
        <f>SUM(Weekly_Tracker!AQ124:AU124)</f>
        <v/>
      </c>
      <c r="T45" s="90">
        <f>SUM(Weekly_Tracker!AV124:AZ124)</f>
        <v/>
      </c>
      <c r="U45" s="90">
        <f>SUM(Weekly_Tracker!BA124:BE124)</f>
        <v/>
      </c>
      <c r="V45" s="90">
        <f>SUM(Weekly_Tracker!BF124:BJ124)</f>
        <v/>
      </c>
      <c r="W45" s="90">
        <f>SUM(Weekly_Tracker!BK124:BO124)</f>
        <v/>
      </c>
      <c r="X45" s="91">
        <f>H45</f>
        <v/>
      </c>
      <c r="Y45" s="91">
        <f>X45+I45</f>
        <v/>
      </c>
      <c r="Z45" s="91">
        <f>Y45+J45</f>
        <v/>
      </c>
      <c r="AA45" s="91">
        <f>Z45+K45</f>
        <v/>
      </c>
    </row>
    <row r="46">
      <c r="A46" s="81">
        <f>IF($B46="","",$B46&amp;"|"&amp;$D46)</f>
        <v/>
      </c>
      <c r="B46" s="82">
        <f>IFERROR(INDEX(Team_Master!$C$6:$C$20,9),"")</f>
        <v/>
      </c>
      <c r="C46" s="83">
        <f>IFERROR(INDEX(Team_Master!$G$6:$G$20,9),"")</f>
        <v/>
      </c>
      <c r="D46" s="63" t="inlineStr">
        <is>
          <t>K1</t>
        </is>
      </c>
      <c r="E46" s="12" t="inlineStr">
        <is>
          <t>Invoiced Value</t>
        </is>
      </c>
      <c r="F46" s="64" t="inlineStr">
        <is>
          <t>MVND</t>
        </is>
      </c>
      <c r="G46" s="56">
        <f>SUM(H46:K46)</f>
        <v/>
      </c>
      <c r="H46" s="84">
        <f>SUM(L46:N46)</f>
        <v/>
      </c>
      <c r="I46" s="84">
        <f>SUM(O46:Q46)</f>
        <v/>
      </c>
      <c r="J46" s="84">
        <f>SUM(R46:T46)</f>
        <v/>
      </c>
      <c r="K46" s="84">
        <f>SUM(U46:W46)</f>
        <v/>
      </c>
      <c r="L46" s="54">
        <f>SUM(Weekly_Tracker!H127:L127)</f>
        <v/>
      </c>
      <c r="M46" s="54">
        <f>SUM(Weekly_Tracker!M127:Q127)</f>
        <v/>
      </c>
      <c r="N46" s="54">
        <f>SUM(Weekly_Tracker!R127:V127)</f>
        <v/>
      </c>
      <c r="O46" s="54">
        <f>SUM(Weekly_Tracker!W127:AA127)</f>
        <v/>
      </c>
      <c r="P46" s="54">
        <f>SUM(Weekly_Tracker!AB127:AF127)</f>
        <v/>
      </c>
      <c r="Q46" s="54">
        <f>SUM(Weekly_Tracker!AG127:AK127)</f>
        <v/>
      </c>
      <c r="R46" s="54">
        <f>SUM(Weekly_Tracker!AL127:AP127)</f>
        <v/>
      </c>
      <c r="S46" s="54">
        <f>SUM(Weekly_Tracker!AQ127:AU127)</f>
        <v/>
      </c>
      <c r="T46" s="54">
        <f>SUM(Weekly_Tracker!AV127:AZ127)</f>
        <v/>
      </c>
      <c r="U46" s="54">
        <f>SUM(Weekly_Tracker!BA127:BE127)</f>
        <v/>
      </c>
      <c r="V46" s="54">
        <f>SUM(Weekly_Tracker!BF127:BJ127)</f>
        <v/>
      </c>
      <c r="W46" s="54">
        <f>SUM(Weekly_Tracker!BK127:BO127)</f>
        <v/>
      </c>
      <c r="X46" s="53">
        <f>H46</f>
        <v/>
      </c>
      <c r="Y46" s="53">
        <f>X46+I46</f>
        <v/>
      </c>
      <c r="Z46" s="53">
        <f>Y46+J46</f>
        <v/>
      </c>
      <c r="AA46" s="53">
        <f>Z46+K46</f>
        <v/>
      </c>
    </row>
    <row r="47">
      <c r="A47" s="81">
        <f>IF($B47="","",$B47&amp;"|"&amp;$D47)</f>
        <v/>
      </c>
      <c r="B47" s="82">
        <f>IFERROR(INDEX(Team_Master!$C$6:$C$20,9),"")</f>
        <v/>
      </c>
      <c r="C47" s="83">
        <f>IFERROR(INDEX(Team_Master!$G$6:$G$20,9),"")</f>
        <v/>
      </c>
      <c r="D47" s="63" t="inlineStr">
        <is>
          <t>K2</t>
        </is>
      </c>
      <c r="E47" s="12" t="inlineStr">
        <is>
          <t>Key account approach / Site check</t>
        </is>
      </c>
      <c r="F47" s="64" t="inlineStr">
        <is>
          <t>Roadshow</t>
        </is>
      </c>
      <c r="G47" s="56">
        <f>SUM(H47:K47)</f>
        <v/>
      </c>
      <c r="H47" s="84">
        <f>SUM(L47:N47)</f>
        <v/>
      </c>
      <c r="I47" s="84">
        <f>SUM(O47:Q47)</f>
        <v/>
      </c>
      <c r="J47" s="84">
        <f>SUM(R47:T47)</f>
        <v/>
      </c>
      <c r="K47" s="84">
        <f>SUM(U47:W47)</f>
        <v/>
      </c>
      <c r="L47" s="54">
        <f>SUM(Weekly_Tracker!H130:L130)</f>
        <v/>
      </c>
      <c r="M47" s="54">
        <f>SUM(Weekly_Tracker!M130:Q130)</f>
        <v/>
      </c>
      <c r="N47" s="54">
        <f>SUM(Weekly_Tracker!R130:V130)</f>
        <v/>
      </c>
      <c r="O47" s="54">
        <f>SUM(Weekly_Tracker!W130:AA130)</f>
        <v/>
      </c>
      <c r="P47" s="54">
        <f>SUM(Weekly_Tracker!AB130:AF130)</f>
        <v/>
      </c>
      <c r="Q47" s="54">
        <f>SUM(Weekly_Tracker!AG130:AK130)</f>
        <v/>
      </c>
      <c r="R47" s="54">
        <f>SUM(Weekly_Tracker!AL130:AP130)</f>
        <v/>
      </c>
      <c r="S47" s="54">
        <f>SUM(Weekly_Tracker!AQ130:AU130)</f>
        <v/>
      </c>
      <c r="T47" s="54">
        <f>SUM(Weekly_Tracker!AV130:AZ130)</f>
        <v/>
      </c>
      <c r="U47" s="54">
        <f>SUM(Weekly_Tracker!BA130:BE130)</f>
        <v/>
      </c>
      <c r="V47" s="54">
        <f>SUM(Weekly_Tracker!BF130:BJ130)</f>
        <v/>
      </c>
      <c r="W47" s="54">
        <f>SUM(Weekly_Tracker!BK130:BO130)</f>
        <v/>
      </c>
      <c r="X47" s="53">
        <f>H47</f>
        <v/>
      </c>
      <c r="Y47" s="53">
        <f>X47+I47</f>
        <v/>
      </c>
      <c r="Z47" s="53">
        <f>Y47+J47</f>
        <v/>
      </c>
      <c r="AA47" s="53">
        <f>Z47+K47</f>
        <v/>
      </c>
    </row>
    <row r="48">
      <c r="A48" s="81">
        <f>IF($B48="","",$B48&amp;"|"&amp;$D48)</f>
        <v/>
      </c>
      <c r="B48" s="82">
        <f>IFERROR(INDEX(Team_Master!$C$6:$C$20,9),"")</f>
        <v/>
      </c>
      <c r="C48" s="83">
        <f>IFERROR(INDEX(Team_Master!$G$6:$G$20,9),"")</f>
        <v/>
      </c>
      <c r="D48" s="71" t="inlineStr">
        <is>
          <t>K3</t>
        </is>
      </c>
      <c r="E48" s="38" t="inlineStr">
        <is>
          <t>Spec-in Value</t>
        </is>
      </c>
      <c r="F48" s="72" t="inlineStr">
        <is>
          <t>MVND</t>
        </is>
      </c>
      <c r="G48" s="56">
        <f>SUM(H48:K48)</f>
        <v/>
      </c>
      <c r="H48" s="84">
        <f>SUM(L48:N48)</f>
        <v/>
      </c>
      <c r="I48" s="84">
        <f>SUM(O48:Q48)</f>
        <v/>
      </c>
      <c r="J48" s="84">
        <f>SUM(R48:T48)</f>
        <v/>
      </c>
      <c r="K48" s="84">
        <f>SUM(U48:W48)</f>
        <v/>
      </c>
      <c r="L48" s="54">
        <f>SUM(Weekly_Tracker!H133:L133)</f>
        <v/>
      </c>
      <c r="M48" s="54">
        <f>SUM(Weekly_Tracker!M133:Q133)</f>
        <v/>
      </c>
      <c r="N48" s="54">
        <f>SUM(Weekly_Tracker!R133:V133)</f>
        <v/>
      </c>
      <c r="O48" s="54">
        <f>SUM(Weekly_Tracker!W133:AA133)</f>
        <v/>
      </c>
      <c r="P48" s="54">
        <f>SUM(Weekly_Tracker!AB133:AF133)</f>
        <v/>
      </c>
      <c r="Q48" s="54">
        <f>SUM(Weekly_Tracker!AG133:AK133)</f>
        <v/>
      </c>
      <c r="R48" s="54">
        <f>SUM(Weekly_Tracker!AL133:AP133)</f>
        <v/>
      </c>
      <c r="S48" s="54">
        <f>SUM(Weekly_Tracker!AQ133:AU133)</f>
        <v/>
      </c>
      <c r="T48" s="54">
        <f>SUM(Weekly_Tracker!AV133:AZ133)</f>
        <v/>
      </c>
      <c r="U48" s="54">
        <f>SUM(Weekly_Tracker!BA133:BE133)</f>
        <v/>
      </c>
      <c r="V48" s="54">
        <f>SUM(Weekly_Tracker!BF133:BJ133)</f>
        <v/>
      </c>
      <c r="W48" s="54">
        <f>SUM(Weekly_Tracker!BK133:BO133)</f>
        <v/>
      </c>
      <c r="X48" s="53">
        <f>H48</f>
        <v/>
      </c>
      <c r="Y48" s="53">
        <f>X48+I48</f>
        <v/>
      </c>
      <c r="Z48" s="53">
        <f>Y48+J48</f>
        <v/>
      </c>
      <c r="AA48" s="53">
        <f>Z48+K48</f>
        <v/>
      </c>
    </row>
    <row r="49">
      <c r="A49" s="81">
        <f>IF($B49="","",$B49&amp;"|"&amp;$D49)</f>
        <v/>
      </c>
      <c r="B49" s="82">
        <f>IFERROR(INDEX(Team_Master!$C$6:$C$20,9),"")</f>
        <v/>
      </c>
      <c r="C49" s="83">
        <f>IFERROR(INDEX(Team_Master!$G$6:$G$20,9),"")</f>
        <v/>
      </c>
      <c r="D49" s="71" t="inlineStr">
        <is>
          <t>K4</t>
        </is>
      </c>
      <c r="E49" s="38" t="inlineStr">
        <is>
          <t>Engaged Architect (Submit Design)</t>
        </is>
      </c>
      <c r="F49" s="72" t="inlineStr">
        <is>
          <t>D&amp;B</t>
        </is>
      </c>
      <c r="G49" s="56">
        <f>SUM(H49:K49)</f>
        <v/>
      </c>
      <c r="H49" s="84">
        <f>SUM(L49:N49)</f>
        <v/>
      </c>
      <c r="I49" s="84">
        <f>SUM(O49:Q49)</f>
        <v/>
      </c>
      <c r="J49" s="84">
        <f>SUM(R49:T49)</f>
        <v/>
      </c>
      <c r="K49" s="84">
        <f>SUM(U49:W49)</f>
        <v/>
      </c>
      <c r="L49" s="54">
        <f>SUM(Weekly_Tracker!H136:L136)</f>
        <v/>
      </c>
      <c r="M49" s="54">
        <f>SUM(Weekly_Tracker!M136:Q136)</f>
        <v/>
      </c>
      <c r="N49" s="54">
        <f>SUM(Weekly_Tracker!R136:V136)</f>
        <v/>
      </c>
      <c r="O49" s="54">
        <f>SUM(Weekly_Tracker!W136:AA136)</f>
        <v/>
      </c>
      <c r="P49" s="54">
        <f>SUM(Weekly_Tracker!AB136:AF136)</f>
        <v/>
      </c>
      <c r="Q49" s="54">
        <f>SUM(Weekly_Tracker!AG136:AK136)</f>
        <v/>
      </c>
      <c r="R49" s="54">
        <f>SUM(Weekly_Tracker!AL136:AP136)</f>
        <v/>
      </c>
      <c r="S49" s="54">
        <f>SUM(Weekly_Tracker!AQ136:AU136)</f>
        <v/>
      </c>
      <c r="T49" s="54">
        <f>SUM(Weekly_Tracker!AV136:AZ136)</f>
        <v/>
      </c>
      <c r="U49" s="54">
        <f>SUM(Weekly_Tracker!BA136:BE136)</f>
        <v/>
      </c>
      <c r="V49" s="54">
        <f>SUM(Weekly_Tracker!BF136:BJ136)</f>
        <v/>
      </c>
      <c r="W49" s="54">
        <f>SUM(Weekly_Tracker!BK136:BO136)</f>
        <v/>
      </c>
      <c r="X49" s="53">
        <f>H49</f>
        <v/>
      </c>
      <c r="Y49" s="53">
        <f>X49+I49</f>
        <v/>
      </c>
      <c r="Z49" s="53">
        <f>Y49+J49</f>
        <v/>
      </c>
      <c r="AA49" s="53">
        <f>Z49+K49</f>
        <v/>
      </c>
    </row>
    <row r="50">
      <c r="A50" s="81">
        <f>IF($B50="","",$B50&amp;"|"&amp;$D50)</f>
        <v/>
      </c>
      <c r="B50" s="82">
        <f>IFERROR(INDEX(Team_Master!$C$6:$C$20,9),"")</f>
        <v/>
      </c>
      <c r="C50" s="83">
        <f>IFERROR(INDEX(Team_Master!$G$6:$G$20,9),"")</f>
        <v/>
      </c>
      <c r="D50" s="73" t="inlineStr">
        <is>
          <t>K5</t>
        </is>
      </c>
      <c r="E50" s="42" t="inlineStr">
        <is>
          <t>Spec-in Design (submitted design)</t>
        </is>
      </c>
      <c r="F50" s="74" t="inlineStr">
        <is>
          <t>Designs</t>
        </is>
      </c>
      <c r="G50" s="56">
        <f>SUM(H50:K50)</f>
        <v/>
      </c>
      <c r="H50" s="84">
        <f>SUM(L50:N50)</f>
        <v/>
      </c>
      <c r="I50" s="84">
        <f>SUM(O50:Q50)</f>
        <v/>
      </c>
      <c r="J50" s="84">
        <f>SUM(R50:T50)</f>
        <v/>
      </c>
      <c r="K50" s="84">
        <f>SUM(U50:W50)</f>
        <v/>
      </c>
      <c r="L50" s="54">
        <f>SUM(Weekly_Tracker!H139:L139)</f>
        <v/>
      </c>
      <c r="M50" s="54">
        <f>SUM(Weekly_Tracker!M139:Q139)</f>
        <v/>
      </c>
      <c r="N50" s="54">
        <f>SUM(Weekly_Tracker!R139:V139)</f>
        <v/>
      </c>
      <c r="O50" s="54">
        <f>SUM(Weekly_Tracker!W139:AA139)</f>
        <v/>
      </c>
      <c r="P50" s="54">
        <f>SUM(Weekly_Tracker!AB139:AF139)</f>
        <v/>
      </c>
      <c r="Q50" s="54">
        <f>SUM(Weekly_Tracker!AG139:AK139)</f>
        <v/>
      </c>
      <c r="R50" s="54">
        <f>SUM(Weekly_Tracker!AL139:AP139)</f>
        <v/>
      </c>
      <c r="S50" s="54">
        <f>SUM(Weekly_Tracker!AQ139:AU139)</f>
        <v/>
      </c>
      <c r="T50" s="54">
        <f>SUM(Weekly_Tracker!AV139:AZ139)</f>
        <v/>
      </c>
      <c r="U50" s="54">
        <f>SUM(Weekly_Tracker!BA139:BE139)</f>
        <v/>
      </c>
      <c r="V50" s="54">
        <f>SUM(Weekly_Tracker!BF139:BJ139)</f>
        <v/>
      </c>
      <c r="W50" s="54">
        <f>SUM(Weekly_Tracker!BK139:BO139)</f>
        <v/>
      </c>
      <c r="X50" s="53">
        <f>H50</f>
        <v/>
      </c>
      <c r="Y50" s="53">
        <f>X50+I50</f>
        <v/>
      </c>
      <c r="Z50" s="53">
        <f>Y50+J50</f>
        <v/>
      </c>
      <c r="AA50" s="53">
        <f>Z50+K50</f>
        <v/>
      </c>
    </row>
    <row r="51">
      <c r="A51" s="87">
        <f>IF($B51="","",$B51&amp;"|"&amp;$D51)</f>
        <v/>
      </c>
      <c r="B51" s="88">
        <f>IFERROR(INDEX(Team_Master!$C$6:$C$20,10),"")</f>
        <v/>
      </c>
      <c r="C51" s="89">
        <f>IFERROR(INDEX(Team_Master!$G$6:$G$20,10),"")</f>
        <v/>
      </c>
      <c r="D51" s="63" t="inlineStr">
        <is>
          <t>K1</t>
        </is>
      </c>
      <c r="E51" s="12" t="inlineStr">
        <is>
          <t>Invoiced Value</t>
        </is>
      </c>
      <c r="F51" s="64" t="inlineStr">
        <is>
          <t>MVND</t>
        </is>
      </c>
      <c r="G51" s="56">
        <f>SUM(H51:K51)</f>
        <v/>
      </c>
      <c r="H51" s="84">
        <f>SUM(L51:N51)</f>
        <v/>
      </c>
      <c r="I51" s="84">
        <f>SUM(O51:Q51)</f>
        <v/>
      </c>
      <c r="J51" s="84">
        <f>SUM(R51:T51)</f>
        <v/>
      </c>
      <c r="K51" s="84">
        <f>SUM(U51:W51)</f>
        <v/>
      </c>
      <c r="L51" s="90">
        <f>SUM(Weekly_Tracker!H142:L142)</f>
        <v/>
      </c>
      <c r="M51" s="90">
        <f>SUM(Weekly_Tracker!M142:Q142)</f>
        <v/>
      </c>
      <c r="N51" s="90">
        <f>SUM(Weekly_Tracker!R142:V142)</f>
        <v/>
      </c>
      <c r="O51" s="90">
        <f>SUM(Weekly_Tracker!W142:AA142)</f>
        <v/>
      </c>
      <c r="P51" s="90">
        <f>SUM(Weekly_Tracker!AB142:AF142)</f>
        <v/>
      </c>
      <c r="Q51" s="90">
        <f>SUM(Weekly_Tracker!AG142:AK142)</f>
        <v/>
      </c>
      <c r="R51" s="90">
        <f>SUM(Weekly_Tracker!AL142:AP142)</f>
        <v/>
      </c>
      <c r="S51" s="90">
        <f>SUM(Weekly_Tracker!AQ142:AU142)</f>
        <v/>
      </c>
      <c r="T51" s="90">
        <f>SUM(Weekly_Tracker!AV142:AZ142)</f>
        <v/>
      </c>
      <c r="U51" s="90">
        <f>SUM(Weekly_Tracker!BA142:BE142)</f>
        <v/>
      </c>
      <c r="V51" s="90">
        <f>SUM(Weekly_Tracker!BF142:BJ142)</f>
        <v/>
      </c>
      <c r="W51" s="90">
        <f>SUM(Weekly_Tracker!BK142:BO142)</f>
        <v/>
      </c>
      <c r="X51" s="91">
        <f>H51</f>
        <v/>
      </c>
      <c r="Y51" s="91">
        <f>X51+I51</f>
        <v/>
      </c>
      <c r="Z51" s="91">
        <f>Y51+J51</f>
        <v/>
      </c>
      <c r="AA51" s="91">
        <f>Z51+K51</f>
        <v/>
      </c>
    </row>
    <row r="52">
      <c r="A52" s="87">
        <f>IF($B52="","",$B52&amp;"|"&amp;$D52)</f>
        <v/>
      </c>
      <c r="B52" s="88">
        <f>IFERROR(INDEX(Team_Master!$C$6:$C$20,10),"")</f>
        <v/>
      </c>
      <c r="C52" s="89">
        <f>IFERROR(INDEX(Team_Master!$G$6:$G$20,10),"")</f>
        <v/>
      </c>
      <c r="D52" s="63" t="inlineStr">
        <is>
          <t>K2</t>
        </is>
      </c>
      <c r="E52" s="12" t="inlineStr">
        <is>
          <t>Key account approach / Site check</t>
        </is>
      </c>
      <c r="F52" s="64" t="inlineStr">
        <is>
          <t>Roadshow</t>
        </is>
      </c>
      <c r="G52" s="56">
        <f>SUM(H52:K52)</f>
        <v/>
      </c>
      <c r="H52" s="84">
        <f>SUM(L52:N52)</f>
        <v/>
      </c>
      <c r="I52" s="84">
        <f>SUM(O52:Q52)</f>
        <v/>
      </c>
      <c r="J52" s="84">
        <f>SUM(R52:T52)</f>
        <v/>
      </c>
      <c r="K52" s="84">
        <f>SUM(U52:W52)</f>
        <v/>
      </c>
      <c r="L52" s="90">
        <f>SUM(Weekly_Tracker!H145:L145)</f>
        <v/>
      </c>
      <c r="M52" s="90">
        <f>SUM(Weekly_Tracker!M145:Q145)</f>
        <v/>
      </c>
      <c r="N52" s="90">
        <f>SUM(Weekly_Tracker!R145:V145)</f>
        <v/>
      </c>
      <c r="O52" s="90">
        <f>SUM(Weekly_Tracker!W145:AA145)</f>
        <v/>
      </c>
      <c r="P52" s="90">
        <f>SUM(Weekly_Tracker!AB145:AF145)</f>
        <v/>
      </c>
      <c r="Q52" s="90">
        <f>SUM(Weekly_Tracker!AG145:AK145)</f>
        <v/>
      </c>
      <c r="R52" s="90">
        <f>SUM(Weekly_Tracker!AL145:AP145)</f>
        <v/>
      </c>
      <c r="S52" s="90">
        <f>SUM(Weekly_Tracker!AQ145:AU145)</f>
        <v/>
      </c>
      <c r="T52" s="90">
        <f>SUM(Weekly_Tracker!AV145:AZ145)</f>
        <v/>
      </c>
      <c r="U52" s="90">
        <f>SUM(Weekly_Tracker!BA145:BE145)</f>
        <v/>
      </c>
      <c r="V52" s="90">
        <f>SUM(Weekly_Tracker!BF145:BJ145)</f>
        <v/>
      </c>
      <c r="W52" s="90">
        <f>SUM(Weekly_Tracker!BK145:BO145)</f>
        <v/>
      </c>
      <c r="X52" s="91">
        <f>H52</f>
        <v/>
      </c>
      <c r="Y52" s="91">
        <f>X52+I52</f>
        <v/>
      </c>
      <c r="Z52" s="91">
        <f>Y52+J52</f>
        <v/>
      </c>
      <c r="AA52" s="91">
        <f>Z52+K52</f>
        <v/>
      </c>
    </row>
    <row r="53">
      <c r="A53" s="87">
        <f>IF($B53="","",$B53&amp;"|"&amp;$D53)</f>
        <v/>
      </c>
      <c r="B53" s="88">
        <f>IFERROR(INDEX(Team_Master!$C$6:$C$20,10),"")</f>
        <v/>
      </c>
      <c r="C53" s="89">
        <f>IFERROR(INDEX(Team_Master!$G$6:$G$20,10),"")</f>
        <v/>
      </c>
      <c r="D53" s="71" t="inlineStr">
        <is>
          <t>K3</t>
        </is>
      </c>
      <c r="E53" s="38" t="inlineStr">
        <is>
          <t>Spec-in Value</t>
        </is>
      </c>
      <c r="F53" s="72" t="inlineStr">
        <is>
          <t>MVND</t>
        </is>
      </c>
      <c r="G53" s="56">
        <f>SUM(H53:K53)</f>
        <v/>
      </c>
      <c r="H53" s="84">
        <f>SUM(L53:N53)</f>
        <v/>
      </c>
      <c r="I53" s="84">
        <f>SUM(O53:Q53)</f>
        <v/>
      </c>
      <c r="J53" s="84">
        <f>SUM(R53:T53)</f>
        <v/>
      </c>
      <c r="K53" s="84">
        <f>SUM(U53:W53)</f>
        <v/>
      </c>
      <c r="L53" s="90">
        <f>SUM(Weekly_Tracker!H148:L148)</f>
        <v/>
      </c>
      <c r="M53" s="90">
        <f>SUM(Weekly_Tracker!M148:Q148)</f>
        <v/>
      </c>
      <c r="N53" s="90">
        <f>SUM(Weekly_Tracker!R148:V148)</f>
        <v/>
      </c>
      <c r="O53" s="90">
        <f>SUM(Weekly_Tracker!W148:AA148)</f>
        <v/>
      </c>
      <c r="P53" s="90">
        <f>SUM(Weekly_Tracker!AB148:AF148)</f>
        <v/>
      </c>
      <c r="Q53" s="90">
        <f>SUM(Weekly_Tracker!AG148:AK148)</f>
        <v/>
      </c>
      <c r="R53" s="90">
        <f>SUM(Weekly_Tracker!AL148:AP148)</f>
        <v/>
      </c>
      <c r="S53" s="90">
        <f>SUM(Weekly_Tracker!AQ148:AU148)</f>
        <v/>
      </c>
      <c r="T53" s="90">
        <f>SUM(Weekly_Tracker!AV148:AZ148)</f>
        <v/>
      </c>
      <c r="U53" s="90">
        <f>SUM(Weekly_Tracker!BA148:BE148)</f>
        <v/>
      </c>
      <c r="V53" s="90">
        <f>SUM(Weekly_Tracker!BF148:BJ148)</f>
        <v/>
      </c>
      <c r="W53" s="90">
        <f>SUM(Weekly_Tracker!BK148:BO148)</f>
        <v/>
      </c>
      <c r="X53" s="91">
        <f>H53</f>
        <v/>
      </c>
      <c r="Y53" s="91">
        <f>X53+I53</f>
        <v/>
      </c>
      <c r="Z53" s="91">
        <f>Y53+J53</f>
        <v/>
      </c>
      <c r="AA53" s="91">
        <f>Z53+K53</f>
        <v/>
      </c>
    </row>
    <row r="54">
      <c r="A54" s="87">
        <f>IF($B54="","",$B54&amp;"|"&amp;$D54)</f>
        <v/>
      </c>
      <c r="B54" s="88">
        <f>IFERROR(INDEX(Team_Master!$C$6:$C$20,10),"")</f>
        <v/>
      </c>
      <c r="C54" s="89">
        <f>IFERROR(INDEX(Team_Master!$G$6:$G$20,10),"")</f>
        <v/>
      </c>
      <c r="D54" s="71" t="inlineStr">
        <is>
          <t>K4</t>
        </is>
      </c>
      <c r="E54" s="38" t="inlineStr">
        <is>
          <t>Engaged Architect (Submit Design)</t>
        </is>
      </c>
      <c r="F54" s="72" t="inlineStr">
        <is>
          <t>D&amp;B</t>
        </is>
      </c>
      <c r="G54" s="56">
        <f>SUM(H54:K54)</f>
        <v/>
      </c>
      <c r="H54" s="84">
        <f>SUM(L54:N54)</f>
        <v/>
      </c>
      <c r="I54" s="84">
        <f>SUM(O54:Q54)</f>
        <v/>
      </c>
      <c r="J54" s="84">
        <f>SUM(R54:T54)</f>
        <v/>
      </c>
      <c r="K54" s="84">
        <f>SUM(U54:W54)</f>
        <v/>
      </c>
      <c r="L54" s="90">
        <f>SUM(Weekly_Tracker!H151:L151)</f>
        <v/>
      </c>
      <c r="M54" s="90">
        <f>SUM(Weekly_Tracker!M151:Q151)</f>
        <v/>
      </c>
      <c r="N54" s="90">
        <f>SUM(Weekly_Tracker!R151:V151)</f>
        <v/>
      </c>
      <c r="O54" s="90">
        <f>SUM(Weekly_Tracker!W151:AA151)</f>
        <v/>
      </c>
      <c r="P54" s="90">
        <f>SUM(Weekly_Tracker!AB151:AF151)</f>
        <v/>
      </c>
      <c r="Q54" s="90">
        <f>SUM(Weekly_Tracker!AG151:AK151)</f>
        <v/>
      </c>
      <c r="R54" s="90">
        <f>SUM(Weekly_Tracker!AL151:AP151)</f>
        <v/>
      </c>
      <c r="S54" s="90">
        <f>SUM(Weekly_Tracker!AQ151:AU151)</f>
        <v/>
      </c>
      <c r="T54" s="90">
        <f>SUM(Weekly_Tracker!AV151:AZ151)</f>
        <v/>
      </c>
      <c r="U54" s="90">
        <f>SUM(Weekly_Tracker!BA151:BE151)</f>
        <v/>
      </c>
      <c r="V54" s="90">
        <f>SUM(Weekly_Tracker!BF151:BJ151)</f>
        <v/>
      </c>
      <c r="W54" s="90">
        <f>SUM(Weekly_Tracker!BK151:BO151)</f>
        <v/>
      </c>
      <c r="X54" s="91">
        <f>H54</f>
        <v/>
      </c>
      <c r="Y54" s="91">
        <f>X54+I54</f>
        <v/>
      </c>
      <c r="Z54" s="91">
        <f>Y54+J54</f>
        <v/>
      </c>
      <c r="AA54" s="91">
        <f>Z54+K54</f>
        <v/>
      </c>
    </row>
    <row r="55">
      <c r="A55" s="87">
        <f>IF($B55="","",$B55&amp;"|"&amp;$D55)</f>
        <v/>
      </c>
      <c r="B55" s="88">
        <f>IFERROR(INDEX(Team_Master!$C$6:$C$20,10),"")</f>
        <v/>
      </c>
      <c r="C55" s="89">
        <f>IFERROR(INDEX(Team_Master!$G$6:$G$20,10),"")</f>
        <v/>
      </c>
      <c r="D55" s="73" t="inlineStr">
        <is>
          <t>K5</t>
        </is>
      </c>
      <c r="E55" s="42" t="inlineStr">
        <is>
          <t>Spec-in Design (submitted design)</t>
        </is>
      </c>
      <c r="F55" s="74" t="inlineStr">
        <is>
          <t>Designs</t>
        </is>
      </c>
      <c r="G55" s="56">
        <f>SUM(H55:K55)</f>
        <v/>
      </c>
      <c r="H55" s="84">
        <f>SUM(L55:N55)</f>
        <v/>
      </c>
      <c r="I55" s="84">
        <f>SUM(O55:Q55)</f>
        <v/>
      </c>
      <c r="J55" s="84">
        <f>SUM(R55:T55)</f>
        <v/>
      </c>
      <c r="K55" s="84">
        <f>SUM(U55:W55)</f>
        <v/>
      </c>
      <c r="L55" s="90">
        <f>SUM(Weekly_Tracker!H154:L154)</f>
        <v/>
      </c>
      <c r="M55" s="90">
        <f>SUM(Weekly_Tracker!M154:Q154)</f>
        <v/>
      </c>
      <c r="N55" s="90">
        <f>SUM(Weekly_Tracker!R154:V154)</f>
        <v/>
      </c>
      <c r="O55" s="90">
        <f>SUM(Weekly_Tracker!W154:AA154)</f>
        <v/>
      </c>
      <c r="P55" s="90">
        <f>SUM(Weekly_Tracker!AB154:AF154)</f>
        <v/>
      </c>
      <c r="Q55" s="90">
        <f>SUM(Weekly_Tracker!AG154:AK154)</f>
        <v/>
      </c>
      <c r="R55" s="90">
        <f>SUM(Weekly_Tracker!AL154:AP154)</f>
        <v/>
      </c>
      <c r="S55" s="90">
        <f>SUM(Weekly_Tracker!AQ154:AU154)</f>
        <v/>
      </c>
      <c r="T55" s="90">
        <f>SUM(Weekly_Tracker!AV154:AZ154)</f>
        <v/>
      </c>
      <c r="U55" s="90">
        <f>SUM(Weekly_Tracker!BA154:BE154)</f>
        <v/>
      </c>
      <c r="V55" s="90">
        <f>SUM(Weekly_Tracker!BF154:BJ154)</f>
        <v/>
      </c>
      <c r="W55" s="90">
        <f>SUM(Weekly_Tracker!BK154:BO154)</f>
        <v/>
      </c>
      <c r="X55" s="91">
        <f>H55</f>
        <v/>
      </c>
      <c r="Y55" s="91">
        <f>X55+I55</f>
        <v/>
      </c>
      <c r="Z55" s="91">
        <f>Y55+J55</f>
        <v/>
      </c>
      <c r="AA55" s="91">
        <f>Z55+K55</f>
        <v/>
      </c>
    </row>
    <row r="56">
      <c r="A56" s="81">
        <f>IF($B56="","",$B56&amp;"|"&amp;$D56)</f>
        <v/>
      </c>
      <c r="B56" s="82">
        <f>IFERROR(INDEX(Team_Master!$C$6:$C$20,11),"")</f>
        <v/>
      </c>
      <c r="C56" s="83">
        <f>IFERROR(INDEX(Team_Master!$G$6:$G$20,11),"")</f>
        <v/>
      </c>
      <c r="D56" s="63" t="inlineStr">
        <is>
          <t>K1</t>
        </is>
      </c>
      <c r="E56" s="12" t="inlineStr">
        <is>
          <t>Invoiced Value</t>
        </is>
      </c>
      <c r="F56" s="64" t="inlineStr">
        <is>
          <t>MVND</t>
        </is>
      </c>
      <c r="G56" s="56">
        <f>SUM(H56:K56)</f>
        <v/>
      </c>
      <c r="H56" s="84">
        <f>SUM(L56:N56)</f>
        <v/>
      </c>
      <c r="I56" s="84">
        <f>SUM(O56:Q56)</f>
        <v/>
      </c>
      <c r="J56" s="84">
        <f>SUM(R56:T56)</f>
        <v/>
      </c>
      <c r="K56" s="84">
        <f>SUM(U56:W56)</f>
        <v/>
      </c>
      <c r="L56" s="54">
        <f>SUM(Weekly_Tracker!H157:L157)</f>
        <v/>
      </c>
      <c r="M56" s="54">
        <f>SUM(Weekly_Tracker!M157:Q157)</f>
        <v/>
      </c>
      <c r="N56" s="54">
        <f>SUM(Weekly_Tracker!R157:V157)</f>
        <v/>
      </c>
      <c r="O56" s="54">
        <f>SUM(Weekly_Tracker!W157:AA157)</f>
        <v/>
      </c>
      <c r="P56" s="54">
        <f>SUM(Weekly_Tracker!AB157:AF157)</f>
        <v/>
      </c>
      <c r="Q56" s="54">
        <f>SUM(Weekly_Tracker!AG157:AK157)</f>
        <v/>
      </c>
      <c r="R56" s="54">
        <f>SUM(Weekly_Tracker!AL157:AP157)</f>
        <v/>
      </c>
      <c r="S56" s="54">
        <f>SUM(Weekly_Tracker!AQ157:AU157)</f>
        <v/>
      </c>
      <c r="T56" s="54">
        <f>SUM(Weekly_Tracker!AV157:AZ157)</f>
        <v/>
      </c>
      <c r="U56" s="54">
        <f>SUM(Weekly_Tracker!BA157:BE157)</f>
        <v/>
      </c>
      <c r="V56" s="54">
        <f>SUM(Weekly_Tracker!BF157:BJ157)</f>
        <v/>
      </c>
      <c r="W56" s="54">
        <f>SUM(Weekly_Tracker!BK157:BO157)</f>
        <v/>
      </c>
      <c r="X56" s="53">
        <f>H56</f>
        <v/>
      </c>
      <c r="Y56" s="53">
        <f>X56+I56</f>
        <v/>
      </c>
      <c r="Z56" s="53">
        <f>Y56+J56</f>
        <v/>
      </c>
      <c r="AA56" s="53">
        <f>Z56+K56</f>
        <v/>
      </c>
    </row>
    <row r="57">
      <c r="A57" s="81">
        <f>IF($B57="","",$B57&amp;"|"&amp;$D57)</f>
        <v/>
      </c>
      <c r="B57" s="82">
        <f>IFERROR(INDEX(Team_Master!$C$6:$C$20,11),"")</f>
        <v/>
      </c>
      <c r="C57" s="83">
        <f>IFERROR(INDEX(Team_Master!$G$6:$G$20,11),"")</f>
        <v/>
      </c>
      <c r="D57" s="63" t="inlineStr">
        <is>
          <t>K2</t>
        </is>
      </c>
      <c r="E57" s="12" t="inlineStr">
        <is>
          <t>Key account approach / Site check</t>
        </is>
      </c>
      <c r="F57" s="64" t="inlineStr">
        <is>
          <t>Roadshow</t>
        </is>
      </c>
      <c r="G57" s="56">
        <f>SUM(H57:K57)</f>
        <v/>
      </c>
      <c r="H57" s="84">
        <f>SUM(L57:N57)</f>
        <v/>
      </c>
      <c r="I57" s="84">
        <f>SUM(O57:Q57)</f>
        <v/>
      </c>
      <c r="J57" s="84">
        <f>SUM(R57:T57)</f>
        <v/>
      </c>
      <c r="K57" s="84">
        <f>SUM(U57:W57)</f>
        <v/>
      </c>
      <c r="L57" s="54">
        <f>SUM(Weekly_Tracker!H160:L160)</f>
        <v/>
      </c>
      <c r="M57" s="54">
        <f>SUM(Weekly_Tracker!M160:Q160)</f>
        <v/>
      </c>
      <c r="N57" s="54">
        <f>SUM(Weekly_Tracker!R160:V160)</f>
        <v/>
      </c>
      <c r="O57" s="54">
        <f>SUM(Weekly_Tracker!W160:AA160)</f>
        <v/>
      </c>
      <c r="P57" s="54">
        <f>SUM(Weekly_Tracker!AB160:AF160)</f>
        <v/>
      </c>
      <c r="Q57" s="54">
        <f>SUM(Weekly_Tracker!AG160:AK160)</f>
        <v/>
      </c>
      <c r="R57" s="54">
        <f>SUM(Weekly_Tracker!AL160:AP160)</f>
        <v/>
      </c>
      <c r="S57" s="54">
        <f>SUM(Weekly_Tracker!AQ160:AU160)</f>
        <v/>
      </c>
      <c r="T57" s="54">
        <f>SUM(Weekly_Tracker!AV160:AZ160)</f>
        <v/>
      </c>
      <c r="U57" s="54">
        <f>SUM(Weekly_Tracker!BA160:BE160)</f>
        <v/>
      </c>
      <c r="V57" s="54">
        <f>SUM(Weekly_Tracker!BF160:BJ160)</f>
        <v/>
      </c>
      <c r="W57" s="54">
        <f>SUM(Weekly_Tracker!BK160:BO160)</f>
        <v/>
      </c>
      <c r="X57" s="53">
        <f>H57</f>
        <v/>
      </c>
      <c r="Y57" s="53">
        <f>X57+I57</f>
        <v/>
      </c>
      <c r="Z57" s="53">
        <f>Y57+J57</f>
        <v/>
      </c>
      <c r="AA57" s="53">
        <f>Z57+K57</f>
        <v/>
      </c>
    </row>
    <row r="58">
      <c r="A58" s="81">
        <f>IF($B58="","",$B58&amp;"|"&amp;$D58)</f>
        <v/>
      </c>
      <c r="B58" s="82">
        <f>IFERROR(INDEX(Team_Master!$C$6:$C$20,11),"")</f>
        <v/>
      </c>
      <c r="C58" s="83">
        <f>IFERROR(INDEX(Team_Master!$G$6:$G$20,11),"")</f>
        <v/>
      </c>
      <c r="D58" s="71" t="inlineStr">
        <is>
          <t>K3</t>
        </is>
      </c>
      <c r="E58" s="38" t="inlineStr">
        <is>
          <t>Spec-in Value</t>
        </is>
      </c>
      <c r="F58" s="72" t="inlineStr">
        <is>
          <t>MVND</t>
        </is>
      </c>
      <c r="G58" s="56">
        <f>SUM(H58:K58)</f>
        <v/>
      </c>
      <c r="H58" s="84">
        <f>SUM(L58:N58)</f>
        <v/>
      </c>
      <c r="I58" s="84">
        <f>SUM(O58:Q58)</f>
        <v/>
      </c>
      <c r="J58" s="84">
        <f>SUM(R58:T58)</f>
        <v/>
      </c>
      <c r="K58" s="84">
        <f>SUM(U58:W58)</f>
        <v/>
      </c>
      <c r="L58" s="54">
        <f>SUM(Weekly_Tracker!H163:L163)</f>
        <v/>
      </c>
      <c r="M58" s="54">
        <f>SUM(Weekly_Tracker!M163:Q163)</f>
        <v/>
      </c>
      <c r="N58" s="54">
        <f>SUM(Weekly_Tracker!R163:V163)</f>
        <v/>
      </c>
      <c r="O58" s="54">
        <f>SUM(Weekly_Tracker!W163:AA163)</f>
        <v/>
      </c>
      <c r="P58" s="54">
        <f>SUM(Weekly_Tracker!AB163:AF163)</f>
        <v/>
      </c>
      <c r="Q58" s="54">
        <f>SUM(Weekly_Tracker!AG163:AK163)</f>
        <v/>
      </c>
      <c r="R58" s="54">
        <f>SUM(Weekly_Tracker!AL163:AP163)</f>
        <v/>
      </c>
      <c r="S58" s="54">
        <f>SUM(Weekly_Tracker!AQ163:AU163)</f>
        <v/>
      </c>
      <c r="T58" s="54">
        <f>SUM(Weekly_Tracker!AV163:AZ163)</f>
        <v/>
      </c>
      <c r="U58" s="54">
        <f>SUM(Weekly_Tracker!BA163:BE163)</f>
        <v/>
      </c>
      <c r="V58" s="54">
        <f>SUM(Weekly_Tracker!BF163:BJ163)</f>
        <v/>
      </c>
      <c r="W58" s="54">
        <f>SUM(Weekly_Tracker!BK163:BO163)</f>
        <v/>
      </c>
      <c r="X58" s="53">
        <f>H58</f>
        <v/>
      </c>
      <c r="Y58" s="53">
        <f>X58+I58</f>
        <v/>
      </c>
      <c r="Z58" s="53">
        <f>Y58+J58</f>
        <v/>
      </c>
      <c r="AA58" s="53">
        <f>Z58+K58</f>
        <v/>
      </c>
    </row>
    <row r="59">
      <c r="A59" s="81">
        <f>IF($B59="","",$B59&amp;"|"&amp;$D59)</f>
        <v/>
      </c>
      <c r="B59" s="82">
        <f>IFERROR(INDEX(Team_Master!$C$6:$C$20,11),"")</f>
        <v/>
      </c>
      <c r="C59" s="83">
        <f>IFERROR(INDEX(Team_Master!$G$6:$G$20,11),"")</f>
        <v/>
      </c>
      <c r="D59" s="71" t="inlineStr">
        <is>
          <t>K4</t>
        </is>
      </c>
      <c r="E59" s="38" t="inlineStr">
        <is>
          <t>Engaged Architect (Submit Design)</t>
        </is>
      </c>
      <c r="F59" s="72" t="inlineStr">
        <is>
          <t>D&amp;B</t>
        </is>
      </c>
      <c r="G59" s="56">
        <f>SUM(H59:K59)</f>
        <v/>
      </c>
      <c r="H59" s="84">
        <f>SUM(L59:N59)</f>
        <v/>
      </c>
      <c r="I59" s="84">
        <f>SUM(O59:Q59)</f>
        <v/>
      </c>
      <c r="J59" s="84">
        <f>SUM(R59:T59)</f>
        <v/>
      </c>
      <c r="K59" s="84">
        <f>SUM(U59:W59)</f>
        <v/>
      </c>
      <c r="L59" s="54">
        <f>SUM(Weekly_Tracker!H166:L166)</f>
        <v/>
      </c>
      <c r="M59" s="54">
        <f>SUM(Weekly_Tracker!M166:Q166)</f>
        <v/>
      </c>
      <c r="N59" s="54">
        <f>SUM(Weekly_Tracker!R166:V166)</f>
        <v/>
      </c>
      <c r="O59" s="54">
        <f>SUM(Weekly_Tracker!W166:AA166)</f>
        <v/>
      </c>
      <c r="P59" s="54">
        <f>SUM(Weekly_Tracker!AB166:AF166)</f>
        <v/>
      </c>
      <c r="Q59" s="54">
        <f>SUM(Weekly_Tracker!AG166:AK166)</f>
        <v/>
      </c>
      <c r="R59" s="54">
        <f>SUM(Weekly_Tracker!AL166:AP166)</f>
        <v/>
      </c>
      <c r="S59" s="54">
        <f>SUM(Weekly_Tracker!AQ166:AU166)</f>
        <v/>
      </c>
      <c r="T59" s="54">
        <f>SUM(Weekly_Tracker!AV166:AZ166)</f>
        <v/>
      </c>
      <c r="U59" s="54">
        <f>SUM(Weekly_Tracker!BA166:BE166)</f>
        <v/>
      </c>
      <c r="V59" s="54">
        <f>SUM(Weekly_Tracker!BF166:BJ166)</f>
        <v/>
      </c>
      <c r="W59" s="54">
        <f>SUM(Weekly_Tracker!BK166:BO166)</f>
        <v/>
      </c>
      <c r="X59" s="53">
        <f>H59</f>
        <v/>
      </c>
      <c r="Y59" s="53">
        <f>X59+I59</f>
        <v/>
      </c>
      <c r="Z59" s="53">
        <f>Y59+J59</f>
        <v/>
      </c>
      <c r="AA59" s="53">
        <f>Z59+K59</f>
        <v/>
      </c>
    </row>
    <row r="60">
      <c r="A60" s="81">
        <f>IF($B60="","",$B60&amp;"|"&amp;$D60)</f>
        <v/>
      </c>
      <c r="B60" s="82">
        <f>IFERROR(INDEX(Team_Master!$C$6:$C$20,11),"")</f>
        <v/>
      </c>
      <c r="C60" s="83">
        <f>IFERROR(INDEX(Team_Master!$G$6:$G$20,11),"")</f>
        <v/>
      </c>
      <c r="D60" s="73" t="inlineStr">
        <is>
          <t>K5</t>
        </is>
      </c>
      <c r="E60" s="42" t="inlineStr">
        <is>
          <t>Spec-in Design (submitted design)</t>
        </is>
      </c>
      <c r="F60" s="74" t="inlineStr">
        <is>
          <t>Designs</t>
        </is>
      </c>
      <c r="G60" s="56">
        <f>SUM(H60:K60)</f>
        <v/>
      </c>
      <c r="H60" s="84">
        <f>SUM(L60:N60)</f>
        <v/>
      </c>
      <c r="I60" s="84">
        <f>SUM(O60:Q60)</f>
        <v/>
      </c>
      <c r="J60" s="84">
        <f>SUM(R60:T60)</f>
        <v/>
      </c>
      <c r="K60" s="84">
        <f>SUM(U60:W60)</f>
        <v/>
      </c>
      <c r="L60" s="54">
        <f>SUM(Weekly_Tracker!H169:L169)</f>
        <v/>
      </c>
      <c r="M60" s="54">
        <f>SUM(Weekly_Tracker!M169:Q169)</f>
        <v/>
      </c>
      <c r="N60" s="54">
        <f>SUM(Weekly_Tracker!R169:V169)</f>
        <v/>
      </c>
      <c r="O60" s="54">
        <f>SUM(Weekly_Tracker!W169:AA169)</f>
        <v/>
      </c>
      <c r="P60" s="54">
        <f>SUM(Weekly_Tracker!AB169:AF169)</f>
        <v/>
      </c>
      <c r="Q60" s="54">
        <f>SUM(Weekly_Tracker!AG169:AK169)</f>
        <v/>
      </c>
      <c r="R60" s="54">
        <f>SUM(Weekly_Tracker!AL169:AP169)</f>
        <v/>
      </c>
      <c r="S60" s="54">
        <f>SUM(Weekly_Tracker!AQ169:AU169)</f>
        <v/>
      </c>
      <c r="T60" s="54">
        <f>SUM(Weekly_Tracker!AV169:AZ169)</f>
        <v/>
      </c>
      <c r="U60" s="54">
        <f>SUM(Weekly_Tracker!BA169:BE169)</f>
        <v/>
      </c>
      <c r="V60" s="54">
        <f>SUM(Weekly_Tracker!BF169:BJ169)</f>
        <v/>
      </c>
      <c r="W60" s="54">
        <f>SUM(Weekly_Tracker!BK169:BO169)</f>
        <v/>
      </c>
      <c r="X60" s="53">
        <f>H60</f>
        <v/>
      </c>
      <c r="Y60" s="53">
        <f>X60+I60</f>
        <v/>
      </c>
      <c r="Z60" s="53">
        <f>Y60+J60</f>
        <v/>
      </c>
      <c r="AA60" s="53">
        <f>Z60+K60</f>
        <v/>
      </c>
    </row>
    <row r="61">
      <c r="A61" s="87">
        <f>IF($B61="","",$B61&amp;"|"&amp;$D61)</f>
        <v/>
      </c>
      <c r="B61" s="88">
        <f>IFERROR(INDEX(Team_Master!$C$6:$C$20,12),"")</f>
        <v/>
      </c>
      <c r="C61" s="89">
        <f>IFERROR(INDEX(Team_Master!$G$6:$G$20,12),"")</f>
        <v/>
      </c>
      <c r="D61" s="63" t="inlineStr">
        <is>
          <t>K1</t>
        </is>
      </c>
      <c r="E61" s="12" t="inlineStr">
        <is>
          <t>Invoiced Value</t>
        </is>
      </c>
      <c r="F61" s="64" t="inlineStr">
        <is>
          <t>MVND</t>
        </is>
      </c>
      <c r="G61" s="56">
        <f>SUM(H61:K61)</f>
        <v/>
      </c>
      <c r="H61" s="84">
        <f>SUM(L61:N61)</f>
        <v/>
      </c>
      <c r="I61" s="84">
        <f>SUM(O61:Q61)</f>
        <v/>
      </c>
      <c r="J61" s="84">
        <f>SUM(R61:T61)</f>
        <v/>
      </c>
      <c r="K61" s="84">
        <f>SUM(U61:W61)</f>
        <v/>
      </c>
      <c r="L61" s="90">
        <f>SUM(Weekly_Tracker!H172:L172)</f>
        <v/>
      </c>
      <c r="M61" s="90">
        <f>SUM(Weekly_Tracker!M172:Q172)</f>
        <v/>
      </c>
      <c r="N61" s="90">
        <f>SUM(Weekly_Tracker!R172:V172)</f>
        <v/>
      </c>
      <c r="O61" s="90">
        <f>SUM(Weekly_Tracker!W172:AA172)</f>
        <v/>
      </c>
      <c r="P61" s="90">
        <f>SUM(Weekly_Tracker!AB172:AF172)</f>
        <v/>
      </c>
      <c r="Q61" s="90">
        <f>SUM(Weekly_Tracker!AG172:AK172)</f>
        <v/>
      </c>
      <c r="R61" s="90">
        <f>SUM(Weekly_Tracker!AL172:AP172)</f>
        <v/>
      </c>
      <c r="S61" s="90">
        <f>SUM(Weekly_Tracker!AQ172:AU172)</f>
        <v/>
      </c>
      <c r="T61" s="90">
        <f>SUM(Weekly_Tracker!AV172:AZ172)</f>
        <v/>
      </c>
      <c r="U61" s="90">
        <f>SUM(Weekly_Tracker!BA172:BE172)</f>
        <v/>
      </c>
      <c r="V61" s="90">
        <f>SUM(Weekly_Tracker!BF172:BJ172)</f>
        <v/>
      </c>
      <c r="W61" s="90">
        <f>SUM(Weekly_Tracker!BK172:BO172)</f>
        <v/>
      </c>
      <c r="X61" s="91">
        <f>H61</f>
        <v/>
      </c>
      <c r="Y61" s="91">
        <f>X61+I61</f>
        <v/>
      </c>
      <c r="Z61" s="91">
        <f>Y61+J61</f>
        <v/>
      </c>
      <c r="AA61" s="91">
        <f>Z61+K61</f>
        <v/>
      </c>
    </row>
    <row r="62">
      <c r="A62" s="87">
        <f>IF($B62="","",$B62&amp;"|"&amp;$D62)</f>
        <v/>
      </c>
      <c r="B62" s="88">
        <f>IFERROR(INDEX(Team_Master!$C$6:$C$20,12),"")</f>
        <v/>
      </c>
      <c r="C62" s="89">
        <f>IFERROR(INDEX(Team_Master!$G$6:$G$20,12),"")</f>
        <v/>
      </c>
      <c r="D62" s="63" t="inlineStr">
        <is>
          <t>K2</t>
        </is>
      </c>
      <c r="E62" s="12" t="inlineStr">
        <is>
          <t>Key account approach / Site check</t>
        </is>
      </c>
      <c r="F62" s="64" t="inlineStr">
        <is>
          <t>Roadshow</t>
        </is>
      </c>
      <c r="G62" s="56">
        <f>SUM(H62:K62)</f>
        <v/>
      </c>
      <c r="H62" s="84">
        <f>SUM(L62:N62)</f>
        <v/>
      </c>
      <c r="I62" s="84">
        <f>SUM(O62:Q62)</f>
        <v/>
      </c>
      <c r="J62" s="84">
        <f>SUM(R62:T62)</f>
        <v/>
      </c>
      <c r="K62" s="84">
        <f>SUM(U62:W62)</f>
        <v/>
      </c>
      <c r="L62" s="90">
        <f>SUM(Weekly_Tracker!H175:L175)</f>
        <v/>
      </c>
      <c r="M62" s="90">
        <f>SUM(Weekly_Tracker!M175:Q175)</f>
        <v/>
      </c>
      <c r="N62" s="90">
        <f>SUM(Weekly_Tracker!R175:V175)</f>
        <v/>
      </c>
      <c r="O62" s="90">
        <f>SUM(Weekly_Tracker!W175:AA175)</f>
        <v/>
      </c>
      <c r="P62" s="90">
        <f>SUM(Weekly_Tracker!AB175:AF175)</f>
        <v/>
      </c>
      <c r="Q62" s="90">
        <f>SUM(Weekly_Tracker!AG175:AK175)</f>
        <v/>
      </c>
      <c r="R62" s="90">
        <f>SUM(Weekly_Tracker!AL175:AP175)</f>
        <v/>
      </c>
      <c r="S62" s="90">
        <f>SUM(Weekly_Tracker!AQ175:AU175)</f>
        <v/>
      </c>
      <c r="T62" s="90">
        <f>SUM(Weekly_Tracker!AV175:AZ175)</f>
        <v/>
      </c>
      <c r="U62" s="90">
        <f>SUM(Weekly_Tracker!BA175:BE175)</f>
        <v/>
      </c>
      <c r="V62" s="90">
        <f>SUM(Weekly_Tracker!BF175:BJ175)</f>
        <v/>
      </c>
      <c r="W62" s="90">
        <f>SUM(Weekly_Tracker!BK175:BO175)</f>
        <v/>
      </c>
      <c r="X62" s="91">
        <f>H62</f>
        <v/>
      </c>
      <c r="Y62" s="91">
        <f>X62+I62</f>
        <v/>
      </c>
      <c r="Z62" s="91">
        <f>Y62+J62</f>
        <v/>
      </c>
      <c r="AA62" s="91">
        <f>Z62+K62</f>
        <v/>
      </c>
    </row>
    <row r="63">
      <c r="A63" s="87">
        <f>IF($B63="","",$B63&amp;"|"&amp;$D63)</f>
        <v/>
      </c>
      <c r="B63" s="88">
        <f>IFERROR(INDEX(Team_Master!$C$6:$C$20,12),"")</f>
        <v/>
      </c>
      <c r="C63" s="89">
        <f>IFERROR(INDEX(Team_Master!$G$6:$G$20,12),"")</f>
        <v/>
      </c>
      <c r="D63" s="71" t="inlineStr">
        <is>
          <t>K3</t>
        </is>
      </c>
      <c r="E63" s="38" t="inlineStr">
        <is>
          <t>Spec-in Value</t>
        </is>
      </c>
      <c r="F63" s="72" t="inlineStr">
        <is>
          <t>MVND</t>
        </is>
      </c>
      <c r="G63" s="56">
        <f>SUM(H63:K63)</f>
        <v/>
      </c>
      <c r="H63" s="84">
        <f>SUM(L63:N63)</f>
        <v/>
      </c>
      <c r="I63" s="84">
        <f>SUM(O63:Q63)</f>
        <v/>
      </c>
      <c r="J63" s="84">
        <f>SUM(R63:T63)</f>
        <v/>
      </c>
      <c r="K63" s="84">
        <f>SUM(U63:W63)</f>
        <v/>
      </c>
      <c r="L63" s="90">
        <f>SUM(Weekly_Tracker!H178:L178)</f>
        <v/>
      </c>
      <c r="M63" s="90">
        <f>SUM(Weekly_Tracker!M178:Q178)</f>
        <v/>
      </c>
      <c r="N63" s="90">
        <f>SUM(Weekly_Tracker!R178:V178)</f>
        <v/>
      </c>
      <c r="O63" s="90">
        <f>SUM(Weekly_Tracker!W178:AA178)</f>
        <v/>
      </c>
      <c r="P63" s="90">
        <f>SUM(Weekly_Tracker!AB178:AF178)</f>
        <v/>
      </c>
      <c r="Q63" s="90">
        <f>SUM(Weekly_Tracker!AG178:AK178)</f>
        <v/>
      </c>
      <c r="R63" s="90">
        <f>SUM(Weekly_Tracker!AL178:AP178)</f>
        <v/>
      </c>
      <c r="S63" s="90">
        <f>SUM(Weekly_Tracker!AQ178:AU178)</f>
        <v/>
      </c>
      <c r="T63" s="90">
        <f>SUM(Weekly_Tracker!AV178:AZ178)</f>
        <v/>
      </c>
      <c r="U63" s="90">
        <f>SUM(Weekly_Tracker!BA178:BE178)</f>
        <v/>
      </c>
      <c r="V63" s="90">
        <f>SUM(Weekly_Tracker!BF178:BJ178)</f>
        <v/>
      </c>
      <c r="W63" s="90">
        <f>SUM(Weekly_Tracker!BK178:BO178)</f>
        <v/>
      </c>
      <c r="X63" s="91">
        <f>H63</f>
        <v/>
      </c>
      <c r="Y63" s="91">
        <f>X63+I63</f>
        <v/>
      </c>
      <c r="Z63" s="91">
        <f>Y63+J63</f>
        <v/>
      </c>
      <c r="AA63" s="91">
        <f>Z63+K63</f>
        <v/>
      </c>
    </row>
    <row r="64">
      <c r="A64" s="87">
        <f>IF($B64="","",$B64&amp;"|"&amp;$D64)</f>
        <v/>
      </c>
      <c r="B64" s="88">
        <f>IFERROR(INDEX(Team_Master!$C$6:$C$20,12),"")</f>
        <v/>
      </c>
      <c r="C64" s="89">
        <f>IFERROR(INDEX(Team_Master!$G$6:$G$20,12),"")</f>
        <v/>
      </c>
      <c r="D64" s="71" t="inlineStr">
        <is>
          <t>K4</t>
        </is>
      </c>
      <c r="E64" s="38" t="inlineStr">
        <is>
          <t>Engaged Architect (Submit Design)</t>
        </is>
      </c>
      <c r="F64" s="72" t="inlineStr">
        <is>
          <t>D&amp;B</t>
        </is>
      </c>
      <c r="G64" s="56">
        <f>SUM(H64:K64)</f>
        <v/>
      </c>
      <c r="H64" s="84">
        <f>SUM(L64:N64)</f>
        <v/>
      </c>
      <c r="I64" s="84">
        <f>SUM(O64:Q64)</f>
        <v/>
      </c>
      <c r="J64" s="84">
        <f>SUM(R64:T64)</f>
        <v/>
      </c>
      <c r="K64" s="84">
        <f>SUM(U64:W64)</f>
        <v/>
      </c>
      <c r="L64" s="90">
        <f>SUM(Weekly_Tracker!H181:L181)</f>
        <v/>
      </c>
      <c r="M64" s="90">
        <f>SUM(Weekly_Tracker!M181:Q181)</f>
        <v/>
      </c>
      <c r="N64" s="90">
        <f>SUM(Weekly_Tracker!R181:V181)</f>
        <v/>
      </c>
      <c r="O64" s="90">
        <f>SUM(Weekly_Tracker!W181:AA181)</f>
        <v/>
      </c>
      <c r="P64" s="90">
        <f>SUM(Weekly_Tracker!AB181:AF181)</f>
        <v/>
      </c>
      <c r="Q64" s="90">
        <f>SUM(Weekly_Tracker!AG181:AK181)</f>
        <v/>
      </c>
      <c r="R64" s="90">
        <f>SUM(Weekly_Tracker!AL181:AP181)</f>
        <v/>
      </c>
      <c r="S64" s="90">
        <f>SUM(Weekly_Tracker!AQ181:AU181)</f>
        <v/>
      </c>
      <c r="T64" s="90">
        <f>SUM(Weekly_Tracker!AV181:AZ181)</f>
        <v/>
      </c>
      <c r="U64" s="90">
        <f>SUM(Weekly_Tracker!BA181:BE181)</f>
        <v/>
      </c>
      <c r="V64" s="90">
        <f>SUM(Weekly_Tracker!BF181:BJ181)</f>
        <v/>
      </c>
      <c r="W64" s="90">
        <f>SUM(Weekly_Tracker!BK181:BO181)</f>
        <v/>
      </c>
      <c r="X64" s="91">
        <f>H64</f>
        <v/>
      </c>
      <c r="Y64" s="91">
        <f>X64+I64</f>
        <v/>
      </c>
      <c r="Z64" s="91">
        <f>Y64+J64</f>
        <v/>
      </c>
      <c r="AA64" s="91">
        <f>Z64+K64</f>
        <v/>
      </c>
    </row>
    <row r="65">
      <c r="A65" s="87">
        <f>IF($B65="","",$B65&amp;"|"&amp;$D65)</f>
        <v/>
      </c>
      <c r="B65" s="88">
        <f>IFERROR(INDEX(Team_Master!$C$6:$C$20,12),"")</f>
        <v/>
      </c>
      <c r="C65" s="89">
        <f>IFERROR(INDEX(Team_Master!$G$6:$G$20,12),"")</f>
        <v/>
      </c>
      <c r="D65" s="73" t="inlineStr">
        <is>
          <t>K5</t>
        </is>
      </c>
      <c r="E65" s="42" t="inlineStr">
        <is>
          <t>Spec-in Design (submitted design)</t>
        </is>
      </c>
      <c r="F65" s="74" t="inlineStr">
        <is>
          <t>Designs</t>
        </is>
      </c>
      <c r="G65" s="56">
        <f>SUM(H65:K65)</f>
        <v/>
      </c>
      <c r="H65" s="84">
        <f>SUM(L65:N65)</f>
        <v/>
      </c>
      <c r="I65" s="84">
        <f>SUM(O65:Q65)</f>
        <v/>
      </c>
      <c r="J65" s="84">
        <f>SUM(R65:T65)</f>
        <v/>
      </c>
      <c r="K65" s="84">
        <f>SUM(U65:W65)</f>
        <v/>
      </c>
      <c r="L65" s="90">
        <f>SUM(Weekly_Tracker!H184:L184)</f>
        <v/>
      </c>
      <c r="M65" s="90">
        <f>SUM(Weekly_Tracker!M184:Q184)</f>
        <v/>
      </c>
      <c r="N65" s="90">
        <f>SUM(Weekly_Tracker!R184:V184)</f>
        <v/>
      </c>
      <c r="O65" s="90">
        <f>SUM(Weekly_Tracker!W184:AA184)</f>
        <v/>
      </c>
      <c r="P65" s="90">
        <f>SUM(Weekly_Tracker!AB184:AF184)</f>
        <v/>
      </c>
      <c r="Q65" s="90">
        <f>SUM(Weekly_Tracker!AG184:AK184)</f>
        <v/>
      </c>
      <c r="R65" s="90">
        <f>SUM(Weekly_Tracker!AL184:AP184)</f>
        <v/>
      </c>
      <c r="S65" s="90">
        <f>SUM(Weekly_Tracker!AQ184:AU184)</f>
        <v/>
      </c>
      <c r="T65" s="90">
        <f>SUM(Weekly_Tracker!AV184:AZ184)</f>
        <v/>
      </c>
      <c r="U65" s="90">
        <f>SUM(Weekly_Tracker!BA184:BE184)</f>
        <v/>
      </c>
      <c r="V65" s="90">
        <f>SUM(Weekly_Tracker!BF184:BJ184)</f>
        <v/>
      </c>
      <c r="W65" s="90">
        <f>SUM(Weekly_Tracker!BK184:BO184)</f>
        <v/>
      </c>
      <c r="X65" s="91">
        <f>H65</f>
        <v/>
      </c>
      <c r="Y65" s="91">
        <f>X65+I65</f>
        <v/>
      </c>
      <c r="Z65" s="91">
        <f>Y65+J65</f>
        <v/>
      </c>
      <c r="AA65" s="91">
        <f>Z65+K65</f>
        <v/>
      </c>
    </row>
    <row r="66">
      <c r="A66" s="81">
        <f>IF($B66="","",$B66&amp;"|"&amp;$D66)</f>
        <v/>
      </c>
      <c r="B66" s="82">
        <f>IFERROR(INDEX(Team_Master!$C$6:$C$20,13),"")</f>
        <v/>
      </c>
      <c r="C66" s="83">
        <f>IFERROR(INDEX(Team_Master!$G$6:$G$20,13),"")</f>
        <v/>
      </c>
      <c r="D66" s="63" t="inlineStr">
        <is>
          <t>K1</t>
        </is>
      </c>
      <c r="E66" s="12" t="inlineStr">
        <is>
          <t>Invoiced Value</t>
        </is>
      </c>
      <c r="F66" s="64" t="inlineStr">
        <is>
          <t>MVND</t>
        </is>
      </c>
      <c r="G66" s="56">
        <f>SUM(H66:K66)</f>
        <v/>
      </c>
      <c r="H66" s="84">
        <f>SUM(L66:N66)</f>
        <v/>
      </c>
      <c r="I66" s="84">
        <f>SUM(O66:Q66)</f>
        <v/>
      </c>
      <c r="J66" s="84">
        <f>SUM(R66:T66)</f>
        <v/>
      </c>
      <c r="K66" s="84">
        <f>SUM(U66:W66)</f>
        <v/>
      </c>
      <c r="L66" s="54">
        <f>SUM(Weekly_Tracker!H187:L187)</f>
        <v/>
      </c>
      <c r="M66" s="54">
        <f>SUM(Weekly_Tracker!M187:Q187)</f>
        <v/>
      </c>
      <c r="N66" s="54">
        <f>SUM(Weekly_Tracker!R187:V187)</f>
        <v/>
      </c>
      <c r="O66" s="54">
        <f>SUM(Weekly_Tracker!W187:AA187)</f>
        <v/>
      </c>
      <c r="P66" s="54">
        <f>SUM(Weekly_Tracker!AB187:AF187)</f>
        <v/>
      </c>
      <c r="Q66" s="54">
        <f>SUM(Weekly_Tracker!AG187:AK187)</f>
        <v/>
      </c>
      <c r="R66" s="54">
        <f>SUM(Weekly_Tracker!AL187:AP187)</f>
        <v/>
      </c>
      <c r="S66" s="54">
        <f>SUM(Weekly_Tracker!AQ187:AU187)</f>
        <v/>
      </c>
      <c r="T66" s="54">
        <f>SUM(Weekly_Tracker!AV187:AZ187)</f>
        <v/>
      </c>
      <c r="U66" s="54">
        <f>SUM(Weekly_Tracker!BA187:BE187)</f>
        <v/>
      </c>
      <c r="V66" s="54">
        <f>SUM(Weekly_Tracker!BF187:BJ187)</f>
        <v/>
      </c>
      <c r="W66" s="54">
        <f>SUM(Weekly_Tracker!BK187:BO187)</f>
        <v/>
      </c>
      <c r="X66" s="53">
        <f>H66</f>
        <v/>
      </c>
      <c r="Y66" s="53">
        <f>X66+I66</f>
        <v/>
      </c>
      <c r="Z66" s="53">
        <f>Y66+J66</f>
        <v/>
      </c>
      <c r="AA66" s="53">
        <f>Z66+K66</f>
        <v/>
      </c>
    </row>
    <row r="67">
      <c r="A67" s="81">
        <f>IF($B67="","",$B67&amp;"|"&amp;$D67)</f>
        <v/>
      </c>
      <c r="B67" s="82">
        <f>IFERROR(INDEX(Team_Master!$C$6:$C$20,13),"")</f>
        <v/>
      </c>
      <c r="C67" s="83">
        <f>IFERROR(INDEX(Team_Master!$G$6:$G$20,13),"")</f>
        <v/>
      </c>
      <c r="D67" s="63" t="inlineStr">
        <is>
          <t>K2</t>
        </is>
      </c>
      <c r="E67" s="12" t="inlineStr">
        <is>
          <t>Key account approach / Site check</t>
        </is>
      </c>
      <c r="F67" s="64" t="inlineStr">
        <is>
          <t>Roadshow</t>
        </is>
      </c>
      <c r="G67" s="56">
        <f>SUM(H67:K67)</f>
        <v/>
      </c>
      <c r="H67" s="84">
        <f>SUM(L67:N67)</f>
        <v/>
      </c>
      <c r="I67" s="84">
        <f>SUM(O67:Q67)</f>
        <v/>
      </c>
      <c r="J67" s="84">
        <f>SUM(R67:T67)</f>
        <v/>
      </c>
      <c r="K67" s="84">
        <f>SUM(U67:W67)</f>
        <v/>
      </c>
      <c r="L67" s="54">
        <f>SUM(Weekly_Tracker!H190:L190)</f>
        <v/>
      </c>
      <c r="M67" s="54">
        <f>SUM(Weekly_Tracker!M190:Q190)</f>
        <v/>
      </c>
      <c r="N67" s="54">
        <f>SUM(Weekly_Tracker!R190:V190)</f>
        <v/>
      </c>
      <c r="O67" s="54">
        <f>SUM(Weekly_Tracker!W190:AA190)</f>
        <v/>
      </c>
      <c r="P67" s="54">
        <f>SUM(Weekly_Tracker!AB190:AF190)</f>
        <v/>
      </c>
      <c r="Q67" s="54">
        <f>SUM(Weekly_Tracker!AG190:AK190)</f>
        <v/>
      </c>
      <c r="R67" s="54">
        <f>SUM(Weekly_Tracker!AL190:AP190)</f>
        <v/>
      </c>
      <c r="S67" s="54">
        <f>SUM(Weekly_Tracker!AQ190:AU190)</f>
        <v/>
      </c>
      <c r="T67" s="54">
        <f>SUM(Weekly_Tracker!AV190:AZ190)</f>
        <v/>
      </c>
      <c r="U67" s="54">
        <f>SUM(Weekly_Tracker!BA190:BE190)</f>
        <v/>
      </c>
      <c r="V67" s="54">
        <f>SUM(Weekly_Tracker!BF190:BJ190)</f>
        <v/>
      </c>
      <c r="W67" s="54">
        <f>SUM(Weekly_Tracker!BK190:BO190)</f>
        <v/>
      </c>
      <c r="X67" s="53">
        <f>H67</f>
        <v/>
      </c>
      <c r="Y67" s="53">
        <f>X67+I67</f>
        <v/>
      </c>
      <c r="Z67" s="53">
        <f>Y67+J67</f>
        <v/>
      </c>
      <c r="AA67" s="53">
        <f>Z67+K67</f>
        <v/>
      </c>
    </row>
    <row r="68">
      <c r="A68" s="81">
        <f>IF($B68="","",$B68&amp;"|"&amp;$D68)</f>
        <v/>
      </c>
      <c r="B68" s="82">
        <f>IFERROR(INDEX(Team_Master!$C$6:$C$20,13),"")</f>
        <v/>
      </c>
      <c r="C68" s="83">
        <f>IFERROR(INDEX(Team_Master!$G$6:$G$20,13),"")</f>
        <v/>
      </c>
      <c r="D68" s="71" t="inlineStr">
        <is>
          <t>K3</t>
        </is>
      </c>
      <c r="E68" s="38" t="inlineStr">
        <is>
          <t>Spec-in Value</t>
        </is>
      </c>
      <c r="F68" s="72" t="inlineStr">
        <is>
          <t>MVND</t>
        </is>
      </c>
      <c r="G68" s="56">
        <f>SUM(H68:K68)</f>
        <v/>
      </c>
      <c r="H68" s="84">
        <f>SUM(L68:N68)</f>
        <v/>
      </c>
      <c r="I68" s="84">
        <f>SUM(O68:Q68)</f>
        <v/>
      </c>
      <c r="J68" s="84">
        <f>SUM(R68:T68)</f>
        <v/>
      </c>
      <c r="K68" s="84">
        <f>SUM(U68:W68)</f>
        <v/>
      </c>
      <c r="L68" s="54">
        <f>SUM(Weekly_Tracker!H193:L193)</f>
        <v/>
      </c>
      <c r="M68" s="54">
        <f>SUM(Weekly_Tracker!M193:Q193)</f>
        <v/>
      </c>
      <c r="N68" s="54">
        <f>SUM(Weekly_Tracker!R193:V193)</f>
        <v/>
      </c>
      <c r="O68" s="54">
        <f>SUM(Weekly_Tracker!W193:AA193)</f>
        <v/>
      </c>
      <c r="P68" s="54">
        <f>SUM(Weekly_Tracker!AB193:AF193)</f>
        <v/>
      </c>
      <c r="Q68" s="54">
        <f>SUM(Weekly_Tracker!AG193:AK193)</f>
        <v/>
      </c>
      <c r="R68" s="54">
        <f>SUM(Weekly_Tracker!AL193:AP193)</f>
        <v/>
      </c>
      <c r="S68" s="54">
        <f>SUM(Weekly_Tracker!AQ193:AU193)</f>
        <v/>
      </c>
      <c r="T68" s="54">
        <f>SUM(Weekly_Tracker!AV193:AZ193)</f>
        <v/>
      </c>
      <c r="U68" s="54">
        <f>SUM(Weekly_Tracker!BA193:BE193)</f>
        <v/>
      </c>
      <c r="V68" s="54">
        <f>SUM(Weekly_Tracker!BF193:BJ193)</f>
        <v/>
      </c>
      <c r="W68" s="54">
        <f>SUM(Weekly_Tracker!BK193:BO193)</f>
        <v/>
      </c>
      <c r="X68" s="53">
        <f>H68</f>
        <v/>
      </c>
      <c r="Y68" s="53">
        <f>X68+I68</f>
        <v/>
      </c>
      <c r="Z68" s="53">
        <f>Y68+J68</f>
        <v/>
      </c>
      <c r="AA68" s="53">
        <f>Z68+K68</f>
        <v/>
      </c>
    </row>
    <row r="69">
      <c r="A69" s="81">
        <f>IF($B69="","",$B69&amp;"|"&amp;$D69)</f>
        <v/>
      </c>
      <c r="B69" s="82">
        <f>IFERROR(INDEX(Team_Master!$C$6:$C$20,13),"")</f>
        <v/>
      </c>
      <c r="C69" s="83">
        <f>IFERROR(INDEX(Team_Master!$G$6:$G$20,13),"")</f>
        <v/>
      </c>
      <c r="D69" s="71" t="inlineStr">
        <is>
          <t>K4</t>
        </is>
      </c>
      <c r="E69" s="38" t="inlineStr">
        <is>
          <t>Engaged Architect (Submit Design)</t>
        </is>
      </c>
      <c r="F69" s="72" t="inlineStr">
        <is>
          <t>D&amp;B</t>
        </is>
      </c>
      <c r="G69" s="56">
        <f>SUM(H69:K69)</f>
        <v/>
      </c>
      <c r="H69" s="84">
        <f>SUM(L69:N69)</f>
        <v/>
      </c>
      <c r="I69" s="84">
        <f>SUM(O69:Q69)</f>
        <v/>
      </c>
      <c r="J69" s="84">
        <f>SUM(R69:T69)</f>
        <v/>
      </c>
      <c r="K69" s="84">
        <f>SUM(U69:W69)</f>
        <v/>
      </c>
      <c r="L69" s="54">
        <f>SUM(Weekly_Tracker!H196:L196)</f>
        <v/>
      </c>
      <c r="M69" s="54">
        <f>SUM(Weekly_Tracker!M196:Q196)</f>
        <v/>
      </c>
      <c r="N69" s="54">
        <f>SUM(Weekly_Tracker!R196:V196)</f>
        <v/>
      </c>
      <c r="O69" s="54">
        <f>SUM(Weekly_Tracker!W196:AA196)</f>
        <v/>
      </c>
      <c r="P69" s="54">
        <f>SUM(Weekly_Tracker!AB196:AF196)</f>
        <v/>
      </c>
      <c r="Q69" s="54">
        <f>SUM(Weekly_Tracker!AG196:AK196)</f>
        <v/>
      </c>
      <c r="R69" s="54">
        <f>SUM(Weekly_Tracker!AL196:AP196)</f>
        <v/>
      </c>
      <c r="S69" s="54">
        <f>SUM(Weekly_Tracker!AQ196:AU196)</f>
        <v/>
      </c>
      <c r="T69" s="54">
        <f>SUM(Weekly_Tracker!AV196:AZ196)</f>
        <v/>
      </c>
      <c r="U69" s="54">
        <f>SUM(Weekly_Tracker!BA196:BE196)</f>
        <v/>
      </c>
      <c r="V69" s="54">
        <f>SUM(Weekly_Tracker!BF196:BJ196)</f>
        <v/>
      </c>
      <c r="W69" s="54">
        <f>SUM(Weekly_Tracker!BK196:BO196)</f>
        <v/>
      </c>
      <c r="X69" s="53">
        <f>H69</f>
        <v/>
      </c>
      <c r="Y69" s="53">
        <f>X69+I69</f>
        <v/>
      </c>
      <c r="Z69" s="53">
        <f>Y69+J69</f>
        <v/>
      </c>
      <c r="AA69" s="53">
        <f>Z69+K69</f>
        <v/>
      </c>
    </row>
    <row r="70">
      <c r="A70" s="81">
        <f>IF($B70="","",$B70&amp;"|"&amp;$D70)</f>
        <v/>
      </c>
      <c r="B70" s="82">
        <f>IFERROR(INDEX(Team_Master!$C$6:$C$20,13),"")</f>
        <v/>
      </c>
      <c r="C70" s="83">
        <f>IFERROR(INDEX(Team_Master!$G$6:$G$20,13),"")</f>
        <v/>
      </c>
      <c r="D70" s="73" t="inlineStr">
        <is>
          <t>K5</t>
        </is>
      </c>
      <c r="E70" s="42" t="inlineStr">
        <is>
          <t>Spec-in Design (submitted design)</t>
        </is>
      </c>
      <c r="F70" s="74" t="inlineStr">
        <is>
          <t>Designs</t>
        </is>
      </c>
      <c r="G70" s="56">
        <f>SUM(H70:K70)</f>
        <v/>
      </c>
      <c r="H70" s="84">
        <f>SUM(L70:N70)</f>
        <v/>
      </c>
      <c r="I70" s="84">
        <f>SUM(O70:Q70)</f>
        <v/>
      </c>
      <c r="J70" s="84">
        <f>SUM(R70:T70)</f>
        <v/>
      </c>
      <c r="K70" s="84">
        <f>SUM(U70:W70)</f>
        <v/>
      </c>
      <c r="L70" s="54">
        <f>SUM(Weekly_Tracker!H199:L199)</f>
        <v/>
      </c>
      <c r="M70" s="54">
        <f>SUM(Weekly_Tracker!M199:Q199)</f>
        <v/>
      </c>
      <c r="N70" s="54">
        <f>SUM(Weekly_Tracker!R199:V199)</f>
        <v/>
      </c>
      <c r="O70" s="54">
        <f>SUM(Weekly_Tracker!W199:AA199)</f>
        <v/>
      </c>
      <c r="P70" s="54">
        <f>SUM(Weekly_Tracker!AB199:AF199)</f>
        <v/>
      </c>
      <c r="Q70" s="54">
        <f>SUM(Weekly_Tracker!AG199:AK199)</f>
        <v/>
      </c>
      <c r="R70" s="54">
        <f>SUM(Weekly_Tracker!AL199:AP199)</f>
        <v/>
      </c>
      <c r="S70" s="54">
        <f>SUM(Weekly_Tracker!AQ199:AU199)</f>
        <v/>
      </c>
      <c r="T70" s="54">
        <f>SUM(Weekly_Tracker!AV199:AZ199)</f>
        <v/>
      </c>
      <c r="U70" s="54">
        <f>SUM(Weekly_Tracker!BA199:BE199)</f>
        <v/>
      </c>
      <c r="V70" s="54">
        <f>SUM(Weekly_Tracker!BF199:BJ199)</f>
        <v/>
      </c>
      <c r="W70" s="54">
        <f>SUM(Weekly_Tracker!BK199:BO199)</f>
        <v/>
      </c>
      <c r="X70" s="53">
        <f>H70</f>
        <v/>
      </c>
      <c r="Y70" s="53">
        <f>X70+I70</f>
        <v/>
      </c>
      <c r="Z70" s="53">
        <f>Y70+J70</f>
        <v/>
      </c>
      <c r="AA70" s="53">
        <f>Z70+K70</f>
        <v/>
      </c>
    </row>
    <row r="71">
      <c r="A71" s="87">
        <f>IF($B71="","",$B71&amp;"|"&amp;$D71)</f>
        <v/>
      </c>
      <c r="B71" s="88">
        <f>IFERROR(INDEX(Team_Master!$C$6:$C$20,14),"")</f>
        <v/>
      </c>
      <c r="C71" s="89">
        <f>IFERROR(INDEX(Team_Master!$G$6:$G$20,14),"")</f>
        <v/>
      </c>
      <c r="D71" s="63" t="inlineStr">
        <is>
          <t>K1</t>
        </is>
      </c>
      <c r="E71" s="12" t="inlineStr">
        <is>
          <t>Invoiced Value</t>
        </is>
      </c>
      <c r="F71" s="64" t="inlineStr">
        <is>
          <t>MVND</t>
        </is>
      </c>
      <c r="G71" s="56">
        <f>SUM(H71:K71)</f>
        <v/>
      </c>
      <c r="H71" s="84">
        <f>SUM(L71:N71)</f>
        <v/>
      </c>
      <c r="I71" s="84">
        <f>SUM(O71:Q71)</f>
        <v/>
      </c>
      <c r="J71" s="84">
        <f>SUM(R71:T71)</f>
        <v/>
      </c>
      <c r="K71" s="84">
        <f>SUM(U71:W71)</f>
        <v/>
      </c>
      <c r="L71" s="90">
        <f>SUM(Weekly_Tracker!H202:L202)</f>
        <v/>
      </c>
      <c r="M71" s="90">
        <f>SUM(Weekly_Tracker!M202:Q202)</f>
        <v/>
      </c>
      <c r="N71" s="90">
        <f>SUM(Weekly_Tracker!R202:V202)</f>
        <v/>
      </c>
      <c r="O71" s="90">
        <f>SUM(Weekly_Tracker!W202:AA202)</f>
        <v/>
      </c>
      <c r="P71" s="90">
        <f>SUM(Weekly_Tracker!AB202:AF202)</f>
        <v/>
      </c>
      <c r="Q71" s="90">
        <f>SUM(Weekly_Tracker!AG202:AK202)</f>
        <v/>
      </c>
      <c r="R71" s="90">
        <f>SUM(Weekly_Tracker!AL202:AP202)</f>
        <v/>
      </c>
      <c r="S71" s="90">
        <f>SUM(Weekly_Tracker!AQ202:AU202)</f>
        <v/>
      </c>
      <c r="T71" s="90">
        <f>SUM(Weekly_Tracker!AV202:AZ202)</f>
        <v/>
      </c>
      <c r="U71" s="90">
        <f>SUM(Weekly_Tracker!BA202:BE202)</f>
        <v/>
      </c>
      <c r="V71" s="90">
        <f>SUM(Weekly_Tracker!BF202:BJ202)</f>
        <v/>
      </c>
      <c r="W71" s="90">
        <f>SUM(Weekly_Tracker!BK202:BO202)</f>
        <v/>
      </c>
      <c r="X71" s="91">
        <f>H71</f>
        <v/>
      </c>
      <c r="Y71" s="91">
        <f>X71+I71</f>
        <v/>
      </c>
      <c r="Z71" s="91">
        <f>Y71+J71</f>
        <v/>
      </c>
      <c r="AA71" s="91">
        <f>Z71+K71</f>
        <v/>
      </c>
    </row>
    <row r="72">
      <c r="A72" s="87">
        <f>IF($B72="","",$B72&amp;"|"&amp;$D72)</f>
        <v/>
      </c>
      <c r="B72" s="88">
        <f>IFERROR(INDEX(Team_Master!$C$6:$C$20,14),"")</f>
        <v/>
      </c>
      <c r="C72" s="89">
        <f>IFERROR(INDEX(Team_Master!$G$6:$G$20,14),"")</f>
        <v/>
      </c>
      <c r="D72" s="63" t="inlineStr">
        <is>
          <t>K2</t>
        </is>
      </c>
      <c r="E72" s="12" t="inlineStr">
        <is>
          <t>Key account approach / Site check</t>
        </is>
      </c>
      <c r="F72" s="64" t="inlineStr">
        <is>
          <t>Roadshow</t>
        </is>
      </c>
      <c r="G72" s="56">
        <f>SUM(H72:K72)</f>
        <v/>
      </c>
      <c r="H72" s="84">
        <f>SUM(L72:N72)</f>
        <v/>
      </c>
      <c r="I72" s="84">
        <f>SUM(O72:Q72)</f>
        <v/>
      </c>
      <c r="J72" s="84">
        <f>SUM(R72:T72)</f>
        <v/>
      </c>
      <c r="K72" s="84">
        <f>SUM(U72:W72)</f>
        <v/>
      </c>
      <c r="L72" s="90">
        <f>SUM(Weekly_Tracker!H205:L205)</f>
        <v/>
      </c>
      <c r="M72" s="90">
        <f>SUM(Weekly_Tracker!M205:Q205)</f>
        <v/>
      </c>
      <c r="N72" s="90">
        <f>SUM(Weekly_Tracker!R205:V205)</f>
        <v/>
      </c>
      <c r="O72" s="90">
        <f>SUM(Weekly_Tracker!W205:AA205)</f>
        <v/>
      </c>
      <c r="P72" s="90">
        <f>SUM(Weekly_Tracker!AB205:AF205)</f>
        <v/>
      </c>
      <c r="Q72" s="90">
        <f>SUM(Weekly_Tracker!AG205:AK205)</f>
        <v/>
      </c>
      <c r="R72" s="90">
        <f>SUM(Weekly_Tracker!AL205:AP205)</f>
        <v/>
      </c>
      <c r="S72" s="90">
        <f>SUM(Weekly_Tracker!AQ205:AU205)</f>
        <v/>
      </c>
      <c r="T72" s="90">
        <f>SUM(Weekly_Tracker!AV205:AZ205)</f>
        <v/>
      </c>
      <c r="U72" s="90">
        <f>SUM(Weekly_Tracker!BA205:BE205)</f>
        <v/>
      </c>
      <c r="V72" s="90">
        <f>SUM(Weekly_Tracker!BF205:BJ205)</f>
        <v/>
      </c>
      <c r="W72" s="90">
        <f>SUM(Weekly_Tracker!BK205:BO205)</f>
        <v/>
      </c>
      <c r="X72" s="91">
        <f>H72</f>
        <v/>
      </c>
      <c r="Y72" s="91">
        <f>X72+I72</f>
        <v/>
      </c>
      <c r="Z72" s="91">
        <f>Y72+J72</f>
        <v/>
      </c>
      <c r="AA72" s="91">
        <f>Z72+K72</f>
        <v/>
      </c>
    </row>
    <row r="73">
      <c r="A73" s="87">
        <f>IF($B73="","",$B73&amp;"|"&amp;$D73)</f>
        <v/>
      </c>
      <c r="B73" s="88">
        <f>IFERROR(INDEX(Team_Master!$C$6:$C$20,14),"")</f>
        <v/>
      </c>
      <c r="C73" s="89">
        <f>IFERROR(INDEX(Team_Master!$G$6:$G$20,14),"")</f>
        <v/>
      </c>
      <c r="D73" s="71" t="inlineStr">
        <is>
          <t>K3</t>
        </is>
      </c>
      <c r="E73" s="38" t="inlineStr">
        <is>
          <t>Spec-in Value</t>
        </is>
      </c>
      <c r="F73" s="72" t="inlineStr">
        <is>
          <t>MVND</t>
        </is>
      </c>
      <c r="G73" s="56">
        <f>SUM(H73:K73)</f>
        <v/>
      </c>
      <c r="H73" s="84">
        <f>SUM(L73:N73)</f>
        <v/>
      </c>
      <c r="I73" s="84">
        <f>SUM(O73:Q73)</f>
        <v/>
      </c>
      <c r="J73" s="84">
        <f>SUM(R73:T73)</f>
        <v/>
      </c>
      <c r="K73" s="84">
        <f>SUM(U73:W73)</f>
        <v/>
      </c>
      <c r="L73" s="90">
        <f>SUM(Weekly_Tracker!H208:L208)</f>
        <v/>
      </c>
      <c r="M73" s="90">
        <f>SUM(Weekly_Tracker!M208:Q208)</f>
        <v/>
      </c>
      <c r="N73" s="90">
        <f>SUM(Weekly_Tracker!R208:V208)</f>
        <v/>
      </c>
      <c r="O73" s="90">
        <f>SUM(Weekly_Tracker!W208:AA208)</f>
        <v/>
      </c>
      <c r="P73" s="90">
        <f>SUM(Weekly_Tracker!AB208:AF208)</f>
        <v/>
      </c>
      <c r="Q73" s="90">
        <f>SUM(Weekly_Tracker!AG208:AK208)</f>
        <v/>
      </c>
      <c r="R73" s="90">
        <f>SUM(Weekly_Tracker!AL208:AP208)</f>
        <v/>
      </c>
      <c r="S73" s="90">
        <f>SUM(Weekly_Tracker!AQ208:AU208)</f>
        <v/>
      </c>
      <c r="T73" s="90">
        <f>SUM(Weekly_Tracker!AV208:AZ208)</f>
        <v/>
      </c>
      <c r="U73" s="90">
        <f>SUM(Weekly_Tracker!BA208:BE208)</f>
        <v/>
      </c>
      <c r="V73" s="90">
        <f>SUM(Weekly_Tracker!BF208:BJ208)</f>
        <v/>
      </c>
      <c r="W73" s="90">
        <f>SUM(Weekly_Tracker!BK208:BO208)</f>
        <v/>
      </c>
      <c r="X73" s="91">
        <f>H73</f>
        <v/>
      </c>
      <c r="Y73" s="91">
        <f>X73+I73</f>
        <v/>
      </c>
      <c r="Z73" s="91">
        <f>Y73+J73</f>
        <v/>
      </c>
      <c r="AA73" s="91">
        <f>Z73+K73</f>
        <v/>
      </c>
    </row>
    <row r="74">
      <c r="A74" s="87">
        <f>IF($B74="","",$B74&amp;"|"&amp;$D74)</f>
        <v/>
      </c>
      <c r="B74" s="88">
        <f>IFERROR(INDEX(Team_Master!$C$6:$C$20,14),"")</f>
        <v/>
      </c>
      <c r="C74" s="89">
        <f>IFERROR(INDEX(Team_Master!$G$6:$G$20,14),"")</f>
        <v/>
      </c>
      <c r="D74" s="71" t="inlineStr">
        <is>
          <t>K4</t>
        </is>
      </c>
      <c r="E74" s="38" t="inlineStr">
        <is>
          <t>Engaged Architect (Submit Design)</t>
        </is>
      </c>
      <c r="F74" s="72" t="inlineStr">
        <is>
          <t>D&amp;B</t>
        </is>
      </c>
      <c r="G74" s="56">
        <f>SUM(H74:K74)</f>
        <v/>
      </c>
      <c r="H74" s="84">
        <f>SUM(L74:N74)</f>
        <v/>
      </c>
      <c r="I74" s="84">
        <f>SUM(O74:Q74)</f>
        <v/>
      </c>
      <c r="J74" s="84">
        <f>SUM(R74:T74)</f>
        <v/>
      </c>
      <c r="K74" s="84">
        <f>SUM(U74:W74)</f>
        <v/>
      </c>
      <c r="L74" s="90">
        <f>SUM(Weekly_Tracker!H211:L211)</f>
        <v/>
      </c>
      <c r="M74" s="90">
        <f>SUM(Weekly_Tracker!M211:Q211)</f>
        <v/>
      </c>
      <c r="N74" s="90">
        <f>SUM(Weekly_Tracker!R211:V211)</f>
        <v/>
      </c>
      <c r="O74" s="90">
        <f>SUM(Weekly_Tracker!W211:AA211)</f>
        <v/>
      </c>
      <c r="P74" s="90">
        <f>SUM(Weekly_Tracker!AB211:AF211)</f>
        <v/>
      </c>
      <c r="Q74" s="90">
        <f>SUM(Weekly_Tracker!AG211:AK211)</f>
        <v/>
      </c>
      <c r="R74" s="90">
        <f>SUM(Weekly_Tracker!AL211:AP211)</f>
        <v/>
      </c>
      <c r="S74" s="90">
        <f>SUM(Weekly_Tracker!AQ211:AU211)</f>
        <v/>
      </c>
      <c r="T74" s="90">
        <f>SUM(Weekly_Tracker!AV211:AZ211)</f>
        <v/>
      </c>
      <c r="U74" s="90">
        <f>SUM(Weekly_Tracker!BA211:BE211)</f>
        <v/>
      </c>
      <c r="V74" s="90">
        <f>SUM(Weekly_Tracker!BF211:BJ211)</f>
        <v/>
      </c>
      <c r="W74" s="90">
        <f>SUM(Weekly_Tracker!BK211:BO211)</f>
        <v/>
      </c>
      <c r="X74" s="91">
        <f>H74</f>
        <v/>
      </c>
      <c r="Y74" s="91">
        <f>X74+I74</f>
        <v/>
      </c>
      <c r="Z74" s="91">
        <f>Y74+J74</f>
        <v/>
      </c>
      <c r="AA74" s="91">
        <f>Z74+K74</f>
        <v/>
      </c>
    </row>
    <row r="75">
      <c r="A75" s="87">
        <f>IF($B75="","",$B75&amp;"|"&amp;$D75)</f>
        <v/>
      </c>
      <c r="B75" s="88">
        <f>IFERROR(INDEX(Team_Master!$C$6:$C$20,14),"")</f>
        <v/>
      </c>
      <c r="C75" s="89">
        <f>IFERROR(INDEX(Team_Master!$G$6:$G$20,14),"")</f>
        <v/>
      </c>
      <c r="D75" s="73" t="inlineStr">
        <is>
          <t>K5</t>
        </is>
      </c>
      <c r="E75" s="42" t="inlineStr">
        <is>
          <t>Spec-in Design (submitted design)</t>
        </is>
      </c>
      <c r="F75" s="74" t="inlineStr">
        <is>
          <t>Designs</t>
        </is>
      </c>
      <c r="G75" s="56">
        <f>SUM(H75:K75)</f>
        <v/>
      </c>
      <c r="H75" s="84">
        <f>SUM(L75:N75)</f>
        <v/>
      </c>
      <c r="I75" s="84">
        <f>SUM(O75:Q75)</f>
        <v/>
      </c>
      <c r="J75" s="84">
        <f>SUM(R75:T75)</f>
        <v/>
      </c>
      <c r="K75" s="84">
        <f>SUM(U75:W75)</f>
        <v/>
      </c>
      <c r="L75" s="90">
        <f>SUM(Weekly_Tracker!H214:L214)</f>
        <v/>
      </c>
      <c r="M75" s="90">
        <f>SUM(Weekly_Tracker!M214:Q214)</f>
        <v/>
      </c>
      <c r="N75" s="90">
        <f>SUM(Weekly_Tracker!R214:V214)</f>
        <v/>
      </c>
      <c r="O75" s="90">
        <f>SUM(Weekly_Tracker!W214:AA214)</f>
        <v/>
      </c>
      <c r="P75" s="90">
        <f>SUM(Weekly_Tracker!AB214:AF214)</f>
        <v/>
      </c>
      <c r="Q75" s="90">
        <f>SUM(Weekly_Tracker!AG214:AK214)</f>
        <v/>
      </c>
      <c r="R75" s="90">
        <f>SUM(Weekly_Tracker!AL214:AP214)</f>
        <v/>
      </c>
      <c r="S75" s="90">
        <f>SUM(Weekly_Tracker!AQ214:AU214)</f>
        <v/>
      </c>
      <c r="T75" s="90">
        <f>SUM(Weekly_Tracker!AV214:AZ214)</f>
        <v/>
      </c>
      <c r="U75" s="90">
        <f>SUM(Weekly_Tracker!BA214:BE214)</f>
        <v/>
      </c>
      <c r="V75" s="90">
        <f>SUM(Weekly_Tracker!BF214:BJ214)</f>
        <v/>
      </c>
      <c r="W75" s="90">
        <f>SUM(Weekly_Tracker!BK214:BO214)</f>
        <v/>
      </c>
      <c r="X75" s="91">
        <f>H75</f>
        <v/>
      </c>
      <c r="Y75" s="91">
        <f>X75+I75</f>
        <v/>
      </c>
      <c r="Z75" s="91">
        <f>Y75+J75</f>
        <v/>
      </c>
      <c r="AA75" s="91">
        <f>Z75+K75</f>
        <v/>
      </c>
    </row>
    <row r="76">
      <c r="A76" s="81">
        <f>IF($B76="","",$B76&amp;"|"&amp;$D76)</f>
        <v/>
      </c>
      <c r="B76" s="82">
        <f>IFERROR(INDEX(Team_Master!$C$6:$C$20,15),"")</f>
        <v/>
      </c>
      <c r="C76" s="83">
        <f>IFERROR(INDEX(Team_Master!$G$6:$G$20,15),"")</f>
        <v/>
      </c>
      <c r="D76" s="63" t="inlineStr">
        <is>
          <t>K1</t>
        </is>
      </c>
      <c r="E76" s="12" t="inlineStr">
        <is>
          <t>Invoiced Value</t>
        </is>
      </c>
      <c r="F76" s="64" t="inlineStr">
        <is>
          <t>MVND</t>
        </is>
      </c>
      <c r="G76" s="56">
        <f>SUM(H76:K76)</f>
        <v/>
      </c>
      <c r="H76" s="84">
        <f>SUM(L76:N76)</f>
        <v/>
      </c>
      <c r="I76" s="84">
        <f>SUM(O76:Q76)</f>
        <v/>
      </c>
      <c r="J76" s="84">
        <f>SUM(R76:T76)</f>
        <v/>
      </c>
      <c r="K76" s="84">
        <f>SUM(U76:W76)</f>
        <v/>
      </c>
      <c r="L76" s="54">
        <f>SUM(Weekly_Tracker!H217:L217)</f>
        <v/>
      </c>
      <c r="M76" s="54">
        <f>SUM(Weekly_Tracker!M217:Q217)</f>
        <v/>
      </c>
      <c r="N76" s="54">
        <f>SUM(Weekly_Tracker!R217:V217)</f>
        <v/>
      </c>
      <c r="O76" s="54">
        <f>SUM(Weekly_Tracker!W217:AA217)</f>
        <v/>
      </c>
      <c r="P76" s="54">
        <f>SUM(Weekly_Tracker!AB217:AF217)</f>
        <v/>
      </c>
      <c r="Q76" s="54">
        <f>SUM(Weekly_Tracker!AG217:AK217)</f>
        <v/>
      </c>
      <c r="R76" s="54">
        <f>SUM(Weekly_Tracker!AL217:AP217)</f>
        <v/>
      </c>
      <c r="S76" s="54">
        <f>SUM(Weekly_Tracker!AQ217:AU217)</f>
        <v/>
      </c>
      <c r="T76" s="54">
        <f>SUM(Weekly_Tracker!AV217:AZ217)</f>
        <v/>
      </c>
      <c r="U76" s="54">
        <f>SUM(Weekly_Tracker!BA217:BE217)</f>
        <v/>
      </c>
      <c r="V76" s="54">
        <f>SUM(Weekly_Tracker!BF217:BJ217)</f>
        <v/>
      </c>
      <c r="W76" s="54">
        <f>SUM(Weekly_Tracker!BK217:BO217)</f>
        <v/>
      </c>
      <c r="X76" s="53">
        <f>H76</f>
        <v/>
      </c>
      <c r="Y76" s="53">
        <f>X76+I76</f>
        <v/>
      </c>
      <c r="Z76" s="53">
        <f>Y76+J76</f>
        <v/>
      </c>
      <c r="AA76" s="53">
        <f>Z76+K76</f>
        <v/>
      </c>
    </row>
    <row r="77">
      <c r="A77" s="81">
        <f>IF($B77="","",$B77&amp;"|"&amp;$D77)</f>
        <v/>
      </c>
      <c r="B77" s="82">
        <f>IFERROR(INDEX(Team_Master!$C$6:$C$20,15),"")</f>
        <v/>
      </c>
      <c r="C77" s="83">
        <f>IFERROR(INDEX(Team_Master!$G$6:$G$20,15),"")</f>
        <v/>
      </c>
      <c r="D77" s="63" t="inlineStr">
        <is>
          <t>K2</t>
        </is>
      </c>
      <c r="E77" s="12" t="inlineStr">
        <is>
          <t>Key account approach / Site check</t>
        </is>
      </c>
      <c r="F77" s="64" t="inlineStr">
        <is>
          <t>Roadshow</t>
        </is>
      </c>
      <c r="G77" s="56">
        <f>SUM(H77:K77)</f>
        <v/>
      </c>
      <c r="H77" s="84">
        <f>SUM(L77:N77)</f>
        <v/>
      </c>
      <c r="I77" s="84">
        <f>SUM(O77:Q77)</f>
        <v/>
      </c>
      <c r="J77" s="84">
        <f>SUM(R77:T77)</f>
        <v/>
      </c>
      <c r="K77" s="84">
        <f>SUM(U77:W77)</f>
        <v/>
      </c>
      <c r="L77" s="54">
        <f>SUM(Weekly_Tracker!H220:L220)</f>
        <v/>
      </c>
      <c r="M77" s="54">
        <f>SUM(Weekly_Tracker!M220:Q220)</f>
        <v/>
      </c>
      <c r="N77" s="54">
        <f>SUM(Weekly_Tracker!R220:V220)</f>
        <v/>
      </c>
      <c r="O77" s="54">
        <f>SUM(Weekly_Tracker!W220:AA220)</f>
        <v/>
      </c>
      <c r="P77" s="54">
        <f>SUM(Weekly_Tracker!AB220:AF220)</f>
        <v/>
      </c>
      <c r="Q77" s="54">
        <f>SUM(Weekly_Tracker!AG220:AK220)</f>
        <v/>
      </c>
      <c r="R77" s="54">
        <f>SUM(Weekly_Tracker!AL220:AP220)</f>
        <v/>
      </c>
      <c r="S77" s="54">
        <f>SUM(Weekly_Tracker!AQ220:AU220)</f>
        <v/>
      </c>
      <c r="T77" s="54">
        <f>SUM(Weekly_Tracker!AV220:AZ220)</f>
        <v/>
      </c>
      <c r="U77" s="54">
        <f>SUM(Weekly_Tracker!BA220:BE220)</f>
        <v/>
      </c>
      <c r="V77" s="54">
        <f>SUM(Weekly_Tracker!BF220:BJ220)</f>
        <v/>
      </c>
      <c r="W77" s="54">
        <f>SUM(Weekly_Tracker!BK220:BO220)</f>
        <v/>
      </c>
      <c r="X77" s="53">
        <f>H77</f>
        <v/>
      </c>
      <c r="Y77" s="53">
        <f>X77+I77</f>
        <v/>
      </c>
      <c r="Z77" s="53">
        <f>Y77+J77</f>
        <v/>
      </c>
      <c r="AA77" s="53">
        <f>Z77+K77</f>
        <v/>
      </c>
    </row>
    <row r="78">
      <c r="A78" s="81">
        <f>IF($B78="","",$B78&amp;"|"&amp;$D78)</f>
        <v/>
      </c>
      <c r="B78" s="82">
        <f>IFERROR(INDEX(Team_Master!$C$6:$C$20,15),"")</f>
        <v/>
      </c>
      <c r="C78" s="83">
        <f>IFERROR(INDEX(Team_Master!$G$6:$G$20,15),"")</f>
        <v/>
      </c>
      <c r="D78" s="71" t="inlineStr">
        <is>
          <t>K3</t>
        </is>
      </c>
      <c r="E78" s="38" t="inlineStr">
        <is>
          <t>Spec-in Value</t>
        </is>
      </c>
      <c r="F78" s="72" t="inlineStr">
        <is>
          <t>MVND</t>
        </is>
      </c>
      <c r="G78" s="56">
        <f>SUM(H78:K78)</f>
        <v/>
      </c>
      <c r="H78" s="84">
        <f>SUM(L78:N78)</f>
        <v/>
      </c>
      <c r="I78" s="84">
        <f>SUM(O78:Q78)</f>
        <v/>
      </c>
      <c r="J78" s="84">
        <f>SUM(R78:T78)</f>
        <v/>
      </c>
      <c r="K78" s="84">
        <f>SUM(U78:W78)</f>
        <v/>
      </c>
      <c r="L78" s="54">
        <f>SUM(Weekly_Tracker!H223:L223)</f>
        <v/>
      </c>
      <c r="M78" s="54">
        <f>SUM(Weekly_Tracker!M223:Q223)</f>
        <v/>
      </c>
      <c r="N78" s="54">
        <f>SUM(Weekly_Tracker!R223:V223)</f>
        <v/>
      </c>
      <c r="O78" s="54">
        <f>SUM(Weekly_Tracker!W223:AA223)</f>
        <v/>
      </c>
      <c r="P78" s="54">
        <f>SUM(Weekly_Tracker!AB223:AF223)</f>
        <v/>
      </c>
      <c r="Q78" s="54">
        <f>SUM(Weekly_Tracker!AG223:AK223)</f>
        <v/>
      </c>
      <c r="R78" s="54">
        <f>SUM(Weekly_Tracker!AL223:AP223)</f>
        <v/>
      </c>
      <c r="S78" s="54">
        <f>SUM(Weekly_Tracker!AQ223:AU223)</f>
        <v/>
      </c>
      <c r="T78" s="54">
        <f>SUM(Weekly_Tracker!AV223:AZ223)</f>
        <v/>
      </c>
      <c r="U78" s="54">
        <f>SUM(Weekly_Tracker!BA223:BE223)</f>
        <v/>
      </c>
      <c r="V78" s="54">
        <f>SUM(Weekly_Tracker!BF223:BJ223)</f>
        <v/>
      </c>
      <c r="W78" s="54">
        <f>SUM(Weekly_Tracker!BK223:BO223)</f>
        <v/>
      </c>
      <c r="X78" s="53">
        <f>H78</f>
        <v/>
      </c>
      <c r="Y78" s="53">
        <f>X78+I78</f>
        <v/>
      </c>
      <c r="Z78" s="53">
        <f>Y78+J78</f>
        <v/>
      </c>
      <c r="AA78" s="53">
        <f>Z78+K78</f>
        <v/>
      </c>
    </row>
    <row r="79">
      <c r="A79" s="81">
        <f>IF($B79="","",$B79&amp;"|"&amp;$D79)</f>
        <v/>
      </c>
      <c r="B79" s="82">
        <f>IFERROR(INDEX(Team_Master!$C$6:$C$20,15),"")</f>
        <v/>
      </c>
      <c r="C79" s="83">
        <f>IFERROR(INDEX(Team_Master!$G$6:$G$20,15),"")</f>
        <v/>
      </c>
      <c r="D79" s="71" t="inlineStr">
        <is>
          <t>K4</t>
        </is>
      </c>
      <c r="E79" s="38" t="inlineStr">
        <is>
          <t>Engaged Architect (Submit Design)</t>
        </is>
      </c>
      <c r="F79" s="72" t="inlineStr">
        <is>
          <t>D&amp;B</t>
        </is>
      </c>
      <c r="G79" s="56">
        <f>SUM(H79:K79)</f>
        <v/>
      </c>
      <c r="H79" s="84">
        <f>SUM(L79:N79)</f>
        <v/>
      </c>
      <c r="I79" s="84">
        <f>SUM(O79:Q79)</f>
        <v/>
      </c>
      <c r="J79" s="84">
        <f>SUM(R79:T79)</f>
        <v/>
      </c>
      <c r="K79" s="84">
        <f>SUM(U79:W79)</f>
        <v/>
      </c>
      <c r="L79" s="54">
        <f>SUM(Weekly_Tracker!H226:L226)</f>
        <v/>
      </c>
      <c r="M79" s="54">
        <f>SUM(Weekly_Tracker!M226:Q226)</f>
        <v/>
      </c>
      <c r="N79" s="54">
        <f>SUM(Weekly_Tracker!R226:V226)</f>
        <v/>
      </c>
      <c r="O79" s="54">
        <f>SUM(Weekly_Tracker!W226:AA226)</f>
        <v/>
      </c>
      <c r="P79" s="54">
        <f>SUM(Weekly_Tracker!AB226:AF226)</f>
        <v/>
      </c>
      <c r="Q79" s="54">
        <f>SUM(Weekly_Tracker!AG226:AK226)</f>
        <v/>
      </c>
      <c r="R79" s="54">
        <f>SUM(Weekly_Tracker!AL226:AP226)</f>
        <v/>
      </c>
      <c r="S79" s="54">
        <f>SUM(Weekly_Tracker!AQ226:AU226)</f>
        <v/>
      </c>
      <c r="T79" s="54">
        <f>SUM(Weekly_Tracker!AV226:AZ226)</f>
        <v/>
      </c>
      <c r="U79" s="54">
        <f>SUM(Weekly_Tracker!BA226:BE226)</f>
        <v/>
      </c>
      <c r="V79" s="54">
        <f>SUM(Weekly_Tracker!BF226:BJ226)</f>
        <v/>
      </c>
      <c r="W79" s="54">
        <f>SUM(Weekly_Tracker!BK226:BO226)</f>
        <v/>
      </c>
      <c r="X79" s="53">
        <f>H79</f>
        <v/>
      </c>
      <c r="Y79" s="53">
        <f>X79+I79</f>
        <v/>
      </c>
      <c r="Z79" s="53">
        <f>Y79+J79</f>
        <v/>
      </c>
      <c r="AA79" s="53">
        <f>Z79+K79</f>
        <v/>
      </c>
    </row>
    <row r="80">
      <c r="A80" s="81">
        <f>IF($B80="","",$B80&amp;"|"&amp;$D80)</f>
        <v/>
      </c>
      <c r="B80" s="82">
        <f>IFERROR(INDEX(Team_Master!$C$6:$C$20,15),"")</f>
        <v/>
      </c>
      <c r="C80" s="83">
        <f>IFERROR(INDEX(Team_Master!$G$6:$G$20,15),"")</f>
        <v/>
      </c>
      <c r="D80" s="73" t="inlineStr">
        <is>
          <t>K5</t>
        </is>
      </c>
      <c r="E80" s="42" t="inlineStr">
        <is>
          <t>Spec-in Design (submitted design)</t>
        </is>
      </c>
      <c r="F80" s="74" t="inlineStr">
        <is>
          <t>Designs</t>
        </is>
      </c>
      <c r="G80" s="56">
        <f>SUM(H80:K80)</f>
        <v/>
      </c>
      <c r="H80" s="84">
        <f>SUM(L80:N80)</f>
        <v/>
      </c>
      <c r="I80" s="84">
        <f>SUM(O80:Q80)</f>
        <v/>
      </c>
      <c r="J80" s="84">
        <f>SUM(R80:T80)</f>
        <v/>
      </c>
      <c r="K80" s="84">
        <f>SUM(U80:W80)</f>
        <v/>
      </c>
      <c r="L80" s="54">
        <f>SUM(Weekly_Tracker!H229:L229)</f>
        <v/>
      </c>
      <c r="M80" s="54">
        <f>SUM(Weekly_Tracker!M229:Q229)</f>
        <v/>
      </c>
      <c r="N80" s="54">
        <f>SUM(Weekly_Tracker!R229:V229)</f>
        <v/>
      </c>
      <c r="O80" s="54">
        <f>SUM(Weekly_Tracker!W229:AA229)</f>
        <v/>
      </c>
      <c r="P80" s="54">
        <f>SUM(Weekly_Tracker!AB229:AF229)</f>
        <v/>
      </c>
      <c r="Q80" s="54">
        <f>SUM(Weekly_Tracker!AG229:AK229)</f>
        <v/>
      </c>
      <c r="R80" s="54">
        <f>SUM(Weekly_Tracker!AL229:AP229)</f>
        <v/>
      </c>
      <c r="S80" s="54">
        <f>SUM(Weekly_Tracker!AQ229:AU229)</f>
        <v/>
      </c>
      <c r="T80" s="54">
        <f>SUM(Weekly_Tracker!AV229:AZ229)</f>
        <v/>
      </c>
      <c r="U80" s="54">
        <f>SUM(Weekly_Tracker!BA229:BE229)</f>
        <v/>
      </c>
      <c r="V80" s="54">
        <f>SUM(Weekly_Tracker!BF229:BJ229)</f>
        <v/>
      </c>
      <c r="W80" s="54">
        <f>SUM(Weekly_Tracker!BK229:BO229)</f>
        <v/>
      </c>
      <c r="X80" s="53">
        <f>H80</f>
        <v/>
      </c>
      <c r="Y80" s="53">
        <f>X80+I80</f>
        <v/>
      </c>
      <c r="Z80" s="53">
        <f>Y80+J80</f>
        <v/>
      </c>
      <c r="AA80" s="53">
        <f>Z80+K80</f>
        <v/>
      </c>
    </row>
    <row r="82">
      <c r="B82" s="92" t="inlineStr">
        <is>
          <t>TỔNG TOÀN KÊNH THEO KPI / CHANNEL TOTAL BY KPI</t>
        </is>
      </c>
    </row>
    <row r="83">
      <c r="D83" s="28" t="inlineStr">
        <is>
          <t>KPI</t>
        </is>
      </c>
      <c r="E83" s="28" t="inlineStr">
        <is>
          <t>KPI name</t>
        </is>
      </c>
      <c r="F83" s="28" t="inlineStr">
        <is>
          <t>Unit</t>
        </is>
      </c>
      <c r="G83" s="28" t="inlineStr">
        <is>
          <t>FY total</t>
        </is>
      </c>
      <c r="H83" s="28" t="inlineStr">
        <is>
          <t>Q1</t>
        </is>
      </c>
      <c r="I83" s="28" t="inlineStr">
        <is>
          <t>Q2</t>
        </is>
      </c>
      <c r="J83" s="28" t="inlineStr">
        <is>
          <t>Q3</t>
        </is>
      </c>
      <c r="K83" s="28" t="inlineStr">
        <is>
          <t>Q4</t>
        </is>
      </c>
    </row>
    <row r="84">
      <c r="D84" s="93" t="inlineStr">
        <is>
          <t>K1</t>
        </is>
      </c>
      <c r="E84" s="25" t="inlineStr">
        <is>
          <t>Invoiced Value</t>
        </is>
      </c>
      <c r="F84" s="94" t="inlineStr">
        <is>
          <t>MVND</t>
        </is>
      </c>
      <c r="G84" s="56">
        <f>SUMIF($D$6:$D$80,$D84,G$6:G$80)</f>
        <v/>
      </c>
      <c r="H84" s="56">
        <f>SUMIF($D$6:$D$80,$D84,H$6:H$80)</f>
        <v/>
      </c>
      <c r="I84" s="56">
        <f>SUMIF($D$6:$D$80,$D84,I$6:I$80)</f>
        <v/>
      </c>
      <c r="J84" s="56">
        <f>SUMIF($D$6:$D$80,$D84,J$6:J$80)</f>
        <v/>
      </c>
      <c r="K84" s="56">
        <f>SUMIF($D$6:$D$80,$D84,K$6:K$80)</f>
        <v/>
      </c>
    </row>
    <row r="85">
      <c r="D85" s="93" t="inlineStr">
        <is>
          <t>K2</t>
        </is>
      </c>
      <c r="E85" s="25" t="inlineStr">
        <is>
          <t>Key account approach / Site check</t>
        </is>
      </c>
      <c r="F85" s="94" t="inlineStr">
        <is>
          <t>Roadshow</t>
        </is>
      </c>
      <c r="G85" s="56">
        <f>SUMIF($D$6:$D$80,$D85,G$6:G$80)</f>
        <v/>
      </c>
      <c r="H85" s="56">
        <f>SUMIF($D$6:$D$80,$D85,H$6:H$80)</f>
        <v/>
      </c>
      <c r="I85" s="56">
        <f>SUMIF($D$6:$D$80,$D85,I$6:I$80)</f>
        <v/>
      </c>
      <c r="J85" s="56">
        <f>SUMIF($D$6:$D$80,$D85,J$6:J$80)</f>
        <v/>
      </c>
      <c r="K85" s="56">
        <f>SUMIF($D$6:$D$80,$D85,K$6:K$80)</f>
        <v/>
      </c>
    </row>
    <row r="86">
      <c r="D86" s="93" t="inlineStr">
        <is>
          <t>K3</t>
        </is>
      </c>
      <c r="E86" s="25" t="inlineStr">
        <is>
          <t>Spec-in Value</t>
        </is>
      </c>
      <c r="F86" s="94" t="inlineStr">
        <is>
          <t>MVND</t>
        </is>
      </c>
      <c r="G86" s="56">
        <f>SUMIF($D$6:$D$80,$D86,G$6:G$80)</f>
        <v/>
      </c>
      <c r="H86" s="56">
        <f>SUMIF($D$6:$D$80,$D86,H$6:H$80)</f>
        <v/>
      </c>
      <c r="I86" s="56">
        <f>SUMIF($D$6:$D$80,$D86,I$6:I$80)</f>
        <v/>
      </c>
      <c r="J86" s="56">
        <f>SUMIF($D$6:$D$80,$D86,J$6:J$80)</f>
        <v/>
      </c>
      <c r="K86" s="56">
        <f>SUMIF($D$6:$D$80,$D86,K$6:K$80)</f>
        <v/>
      </c>
    </row>
    <row r="87">
      <c r="D87" s="93" t="inlineStr">
        <is>
          <t>K4</t>
        </is>
      </c>
      <c r="E87" s="25" t="inlineStr">
        <is>
          <t>Engaged Architect (Submit Design)</t>
        </is>
      </c>
      <c r="F87" s="94" t="inlineStr">
        <is>
          <t>D&amp;B</t>
        </is>
      </c>
      <c r="G87" s="56">
        <f>SUMIF($D$6:$D$80,$D87,G$6:G$80)</f>
        <v/>
      </c>
      <c r="H87" s="56">
        <f>SUMIF($D$6:$D$80,$D87,H$6:H$80)</f>
        <v/>
      </c>
      <c r="I87" s="56">
        <f>SUMIF($D$6:$D$80,$D87,I$6:I$80)</f>
        <v/>
      </c>
      <c r="J87" s="56">
        <f>SUMIF($D$6:$D$80,$D87,J$6:J$80)</f>
        <v/>
      </c>
      <c r="K87" s="56">
        <f>SUMIF($D$6:$D$80,$D87,K$6:K$80)</f>
        <v/>
      </c>
    </row>
    <row r="88">
      <c r="D88" s="93" t="inlineStr">
        <is>
          <t>K5</t>
        </is>
      </c>
      <c r="E88" s="25" t="inlineStr">
        <is>
          <t>Spec-in Design (submitted design)</t>
        </is>
      </c>
      <c r="F88" s="94" t="inlineStr">
        <is>
          <t>Designs</t>
        </is>
      </c>
      <c r="G88" s="56">
        <f>SUMIF($D$6:$D$80,$D88,G$6:G$80)</f>
        <v/>
      </c>
      <c r="H88" s="56">
        <f>SUMIF($D$6:$D$80,$D88,H$6:H$80)</f>
        <v/>
      </c>
      <c r="I88" s="56">
        <f>SUMIF($D$6:$D$80,$D88,I$6:I$80)</f>
        <v/>
      </c>
      <c r="J88" s="56">
        <f>SUMIF($D$6:$D$80,$D88,J$6:J$80)</f>
        <v/>
      </c>
      <c r="K88" s="56">
        <f>SUMIF($D$6:$D$80,$D88,K$6:K$80)</f>
        <v/>
      </c>
    </row>
  </sheetData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AB65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8" customWidth="1" min="4" max="4"/>
    <col width="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2" customWidth="1" min="28" max="28"/>
  </cols>
  <sheetData>
    <row r="2">
      <c r="B2" s="16" t="inlineStr">
        <is>
          <t>PERFORMANCE TRACKING – LUỸ KẾ THEO QUÝ / QUARTERLY CUMULATIVE</t>
        </is>
      </c>
    </row>
    <row r="3">
      <c r="B3" s="17" t="inlineStr">
        <is>
          <t>Sheet tự động 100%. Mỗi người 4 dòng Q1–Q4; số liệu LUỸ KẾ từ đầu năm đến hết quý đó (Q3 = Jan–Sep). Target luỹ kế = phasing luỹ kế trên Weekly_Tracker.</t>
        </is>
      </c>
    </row>
    <row r="4">
      <c r="A4" s="57" t="inlineStr">
        <is>
          <t>THÔNG TIN / ID</t>
        </is>
      </c>
      <c r="F4" s="95" t="inlineStr">
        <is>
          <t>LEAD KPI – 70% – trả theo quý</t>
        </is>
      </c>
      <c r="O4" s="96" t="inlineStr">
        <is>
          <t>FOCUS KPI – 30% – trả cuối năm</t>
        </is>
      </c>
      <c r="W4" s="58" t="inlineStr">
        <is>
          <t>KẾT QUẢ / RESULT</t>
        </is>
      </c>
      <c r="Z4" s="97" t="inlineStr">
        <is>
          <t>THEO DÕI – KHÔNG TÍNH ĐIỂM</t>
        </is>
      </c>
    </row>
    <row r="5" ht="46" customHeight="1">
      <c r="A5" s="28" t="inlineStr">
        <is>
          <t>Emp Code</t>
        </is>
      </c>
      <c r="B5" s="28" t="inlineStr">
        <is>
          <t>Name</t>
        </is>
      </c>
      <c r="C5" s="28" t="inlineStr">
        <is>
          <t>Region</t>
        </is>
      </c>
      <c r="D5" s="28" t="inlineStr">
        <is>
          <t>Quarter</t>
        </is>
      </c>
      <c r="E5" s="28" t="inlineStr">
        <is>
          <t>Q#</t>
        </is>
      </c>
      <c r="F5" s="77" t="inlineStr">
        <is>
          <t>Invoiced Target YTD</t>
        </is>
      </c>
      <c r="G5" s="77" t="inlineStr">
        <is>
          <t>Invoiced Actual YTD</t>
        </is>
      </c>
      <c r="H5" s="77" t="inlineStr">
        <is>
          <t>Invoiced Ach %</t>
        </is>
      </c>
      <c r="I5" s="77" t="inlineStr">
        <is>
          <t>Invoiced factor</t>
        </is>
      </c>
      <c r="J5" s="77" t="inlineStr">
        <is>
          <t>Site check Target YTD</t>
        </is>
      </c>
      <c r="K5" s="77" t="inlineStr">
        <is>
          <t>Site check Actual YTD</t>
        </is>
      </c>
      <c r="L5" s="77" t="inlineStr">
        <is>
          <t>Site check Ach %</t>
        </is>
      </c>
      <c r="M5" s="77" t="inlineStr">
        <is>
          <t>Site check factor</t>
        </is>
      </c>
      <c r="N5" s="77" t="inlineStr">
        <is>
          <t>LEAD payout factor</t>
        </is>
      </c>
      <c r="O5" s="80" t="inlineStr">
        <is>
          <t>Spec-in Target YTD</t>
        </is>
      </c>
      <c r="P5" s="80" t="inlineStr">
        <is>
          <t>Spec-in Actual YTD</t>
        </is>
      </c>
      <c r="Q5" s="80" t="inlineStr">
        <is>
          <t>Spec-in Ach %</t>
        </is>
      </c>
      <c r="R5" s="80" t="inlineStr">
        <is>
          <t>Engaged Target YTD</t>
        </is>
      </c>
      <c r="S5" s="80" t="inlineStr">
        <is>
          <t>Engaged Actual YTD</t>
        </is>
      </c>
      <c r="T5" s="80" t="inlineStr">
        <is>
          <t>Engaged Ach %</t>
        </is>
      </c>
      <c r="U5" s="80" t="inlineStr">
        <is>
          <t>FOCUS Ach (weighted)</t>
        </is>
      </c>
      <c r="V5" s="80" t="inlineStr">
        <is>
          <t>FOCUS payout factor</t>
        </is>
      </c>
      <c r="W5" s="78" t="inlineStr">
        <is>
          <t>Pass gate %</t>
        </is>
      </c>
      <c r="X5" s="78" t="inlineStr">
        <is>
          <t>NET LEAD factor</t>
        </is>
      </c>
      <c r="Y5" s="78" t="inlineStr">
        <is>
          <t>Status</t>
        </is>
      </c>
      <c r="Z5" s="98" t="inlineStr">
        <is>
          <t>Design Target YTD</t>
        </is>
      </c>
      <c r="AA5" s="98" t="inlineStr">
        <is>
          <t>Design Actual YTD</t>
        </is>
      </c>
      <c r="AB5" s="98" t="inlineStr">
        <is>
          <t>Design Ach %</t>
        </is>
      </c>
    </row>
    <row r="6">
      <c r="A6" s="82">
        <f>IFERROR(INDEX(Team_Master!$C$6:$C$20,INT((ROW()-6)/4)+1),"")</f>
        <v/>
      </c>
      <c r="B6" s="83">
        <f>IFERROR(INDEX(Team_Master!$G$6:$G$20,INT((ROW()-6)/4)+1),"")</f>
        <v/>
      </c>
      <c r="C6" s="82">
        <f>IFERROR(INDEX(Team_Master!$E$6:$E$20,INT((ROW()-6)/4)+1),"")</f>
        <v/>
      </c>
      <c r="D6" s="93">
        <f>"Q"&amp;E6</f>
        <v/>
      </c>
      <c r="E6" s="99">
        <f>MOD(ROW()-6,4)+1</f>
        <v/>
      </c>
      <c r="F6" s="100">
        <f>IFERROR(INDEX(Target_FY!$X$6:$AA$80,MATCH($A6&amp;"|K1",Target_FY!$A$6:$A$80,0),$E6),0)</f>
        <v/>
      </c>
      <c r="G6" s="100">
        <f>IFERROR(INDEX(Actual_Monthly!$X$6:$AA$80,MATCH($A6&amp;"|K1",Actual_Monthly!$A$6:$A$80,0),$E6),0)</f>
        <v/>
      </c>
      <c r="H6" s="101">
        <f>IF(F6&lt;=0,0,G6/F6)</f>
        <v/>
      </c>
      <c r="I6" s="102">
        <f>IF(F6&lt;=0,0,IF(H6&lt;Parameters!$C$15,0,IF(H6&lt;=Parameters!$C$17,Parameters!$C$16+(H6-Parameters!$C$15)/(Parameters!$C$17-Parameters!$C$15)*(Parameters!$C$18-Parameters!$C$16),MIN(Parameters!$C$20,Parameters!$C$18+(H6-Parameters!$C$17)/(Parameters!$C$19-Parameters!$C$17)*(Parameters!$C$20-Parameters!$C$18)))))</f>
        <v/>
      </c>
      <c r="J6" s="100">
        <f>IFERROR(INDEX(Target_FY!$X$6:$AA$80,MATCH($A6&amp;"|K2",Target_FY!$A$6:$A$80,0),$E6),0)</f>
        <v/>
      </c>
      <c r="K6" s="100">
        <f>IFERROR(INDEX(Actual_Monthly!$X$6:$AA$80,MATCH($A6&amp;"|K2",Actual_Monthly!$A$6:$A$80,0),$E6),0)</f>
        <v/>
      </c>
      <c r="L6" s="101">
        <f>IF(J6&lt;=0,0,K6/J6)</f>
        <v/>
      </c>
      <c r="M6" s="102">
        <f>IF(J6&lt;=0,0,IF(L6&lt;Parameters!$C$15,0,IF(L6&lt;=Parameters!$C$17,Parameters!$C$16+(L6-Parameters!$C$15)/(Parameters!$C$17-Parameters!$C$15)*(Parameters!$C$18-Parameters!$C$16),MIN(Parameters!$C$20,Parameters!$C$18+(L6-Parameters!$C$17)/(Parameters!$C$19-Parameters!$C$17)*(Parameters!$C$20-Parameters!$C$18)))))</f>
        <v/>
      </c>
      <c r="N6" s="69">
        <f>IF((KPI_Framework!$F$6+KPI_Framework!$F$7)=0,0,(KPI_Framework!$F$6*I6+KPI_Framework!$F$7*M6)/(KPI_Framework!$F$6+KPI_Framework!$F$7))</f>
        <v/>
      </c>
      <c r="O6" s="103">
        <f>IFERROR(INDEX(Target_FY!$X$6:$AA$80,MATCH($A6&amp;"|K3",Target_FY!$A$6:$A$80,0),$E6),0)</f>
        <v/>
      </c>
      <c r="P6" s="103">
        <f>IFERROR(INDEX(Actual_Monthly!$X$6:$AA$80,MATCH($A6&amp;"|K3",Actual_Monthly!$A$6:$A$80,0),$E6),0)</f>
        <v/>
      </c>
      <c r="Q6" s="104">
        <f>IF(O6&lt;=0,0,P6/O6)</f>
        <v/>
      </c>
      <c r="R6" s="103">
        <f>IFERROR(INDEX(Target_FY!$X$6:$AA$80,MATCH($A6&amp;"|K4",Target_FY!$A$6:$A$80,0),$E6),0)</f>
        <v/>
      </c>
      <c r="S6" s="103">
        <f>IFERROR(INDEX(Actual_Monthly!$X$6:$AA$80,MATCH($A6&amp;"|K4",Actual_Monthly!$A$6:$A$80,0),$E6),0)</f>
        <v/>
      </c>
      <c r="T6" s="104">
        <f>IF(R6&lt;=0,0,S6/R6)</f>
        <v/>
      </c>
      <c r="U6" s="104">
        <f>IF((KPI_Framework!$F$8+KPI_Framework!$F$9)=0,0,(KPI_Framework!$F$8*Q6+KPI_Framework!$F$9*T6)/(KPI_Framework!$F$8+KPI_Framework!$F$9))</f>
        <v/>
      </c>
      <c r="V6" s="104">
        <f>IF((KPI_Framework!$F$8+KPI_Framework!$F$9)=0,0,(KPI_Framework!$F$8*IF(O6&lt;=0,0,IF(Q6&lt;Parameters!$C$15,0,IF(Q6&lt;=Parameters!$C$17,Parameters!$C$16+(Q6-Parameters!$C$15)/(Parameters!$C$17-Parameters!$C$15)*(Parameters!$C$18-Parameters!$C$16),MIN(Parameters!$C$20,Parameters!$C$18+(Q6-Parameters!$C$17)/(Parameters!$C$19-Parameters!$C$17)*(Parameters!$C$20-Parameters!$C$18)))))+KPI_Framework!$F$9*IF(R6&lt;=0,0,IF(T6&lt;Parameters!$C$15,0,IF(T6&lt;=Parameters!$C$17,Parameters!$C$16+(T6-Parameters!$C$15)/(Parameters!$C$17-Parameters!$C$15)*(Parameters!$C$18-Parameters!$C$16),MIN(Parameters!$C$20,Parameters!$C$18+(T6-Parameters!$C$17)/(Parameters!$C$19-Parameters!$C$17)*(Parameters!$C$20-Parameters!$C$18))))))/(KPI_Framework!$F$8+KPI_Framework!$F$9))</f>
        <v/>
      </c>
      <c r="W6" s="105">
        <f>IF(Parameters!$C$23="OFF",1,IF(U6&gt;=Parameters!$B$25,Parameters!$C$25,IF(U6&gt;=Parameters!$B$26,Parameters!$C$26,IF(U6&gt;=Parameters!$B$27,Parameters!$C$27,Parameters!$C$28))))</f>
        <v/>
      </c>
      <c r="X6" s="69">
        <f>N6*W6</f>
        <v/>
      </c>
      <c r="Y6" s="106">
        <f>IF($A6="","",IF(F6&lt;=0,"No target",IF(X6&gt;=1,"On track",IF(X6&gt;=0.8,"Watch","Behind"))))</f>
        <v/>
      </c>
      <c r="Z6" s="107">
        <f>IFERROR(INDEX(Target_FY!$X$6:$AA$80,MATCH($A6&amp;"|K5",Target_FY!$A$6:$A$80,0),$E6),0)</f>
        <v/>
      </c>
      <c r="AA6" s="107">
        <f>IFERROR(INDEX(Actual_Monthly!$X$6:$AA$80,MATCH($A6&amp;"|K5",Actual_Monthly!$A$6:$A$80,0),$E6),0)</f>
        <v/>
      </c>
      <c r="AB6" s="108">
        <f>IF(Z6&lt;=0,0,AA6/Z6)</f>
        <v/>
      </c>
    </row>
    <row r="7">
      <c r="A7" s="82">
        <f>IFERROR(INDEX(Team_Master!$C$6:$C$20,INT((ROW()-6)/4)+1),"")</f>
        <v/>
      </c>
      <c r="B7" s="83">
        <f>IFERROR(INDEX(Team_Master!$G$6:$G$20,INT((ROW()-6)/4)+1),"")</f>
        <v/>
      </c>
      <c r="C7" s="82">
        <f>IFERROR(INDEX(Team_Master!$E$6:$E$20,INT((ROW()-6)/4)+1),"")</f>
        <v/>
      </c>
      <c r="D7" s="93">
        <f>"Q"&amp;E7</f>
        <v/>
      </c>
      <c r="E7" s="99">
        <f>MOD(ROW()-6,4)+1</f>
        <v/>
      </c>
      <c r="F7" s="100">
        <f>IFERROR(INDEX(Target_FY!$X$6:$AA$80,MATCH($A7&amp;"|K1",Target_FY!$A$6:$A$80,0),$E7),0)</f>
        <v/>
      </c>
      <c r="G7" s="100">
        <f>IFERROR(INDEX(Actual_Monthly!$X$6:$AA$80,MATCH($A7&amp;"|K1",Actual_Monthly!$A$6:$A$80,0),$E7),0)</f>
        <v/>
      </c>
      <c r="H7" s="101">
        <f>IF(F7&lt;=0,0,G7/F7)</f>
        <v/>
      </c>
      <c r="I7" s="102">
        <f>IF(F7&lt;=0,0,IF(H7&lt;Parameters!$C$15,0,IF(H7&lt;=Parameters!$C$17,Parameters!$C$16+(H7-Parameters!$C$15)/(Parameters!$C$17-Parameters!$C$15)*(Parameters!$C$18-Parameters!$C$16),MIN(Parameters!$C$20,Parameters!$C$18+(H7-Parameters!$C$17)/(Parameters!$C$19-Parameters!$C$17)*(Parameters!$C$20-Parameters!$C$18)))))</f>
        <v/>
      </c>
      <c r="J7" s="100">
        <f>IFERROR(INDEX(Target_FY!$X$6:$AA$80,MATCH($A7&amp;"|K2",Target_FY!$A$6:$A$80,0),$E7),0)</f>
        <v/>
      </c>
      <c r="K7" s="100">
        <f>IFERROR(INDEX(Actual_Monthly!$X$6:$AA$80,MATCH($A7&amp;"|K2",Actual_Monthly!$A$6:$A$80,0),$E7),0)</f>
        <v/>
      </c>
      <c r="L7" s="101">
        <f>IF(J7&lt;=0,0,K7/J7)</f>
        <v/>
      </c>
      <c r="M7" s="102">
        <f>IF(J7&lt;=0,0,IF(L7&lt;Parameters!$C$15,0,IF(L7&lt;=Parameters!$C$17,Parameters!$C$16+(L7-Parameters!$C$15)/(Parameters!$C$17-Parameters!$C$15)*(Parameters!$C$18-Parameters!$C$16),MIN(Parameters!$C$20,Parameters!$C$18+(L7-Parameters!$C$17)/(Parameters!$C$19-Parameters!$C$17)*(Parameters!$C$20-Parameters!$C$18)))))</f>
        <v/>
      </c>
      <c r="N7" s="69">
        <f>IF((KPI_Framework!$F$6+KPI_Framework!$F$7)=0,0,(KPI_Framework!$F$6*I7+KPI_Framework!$F$7*M7)/(KPI_Framework!$F$6+KPI_Framework!$F$7))</f>
        <v/>
      </c>
      <c r="O7" s="103">
        <f>IFERROR(INDEX(Target_FY!$X$6:$AA$80,MATCH($A7&amp;"|K3",Target_FY!$A$6:$A$80,0),$E7),0)</f>
        <v/>
      </c>
      <c r="P7" s="103">
        <f>IFERROR(INDEX(Actual_Monthly!$X$6:$AA$80,MATCH($A7&amp;"|K3",Actual_Monthly!$A$6:$A$80,0),$E7),0)</f>
        <v/>
      </c>
      <c r="Q7" s="104">
        <f>IF(O7&lt;=0,0,P7/O7)</f>
        <v/>
      </c>
      <c r="R7" s="103">
        <f>IFERROR(INDEX(Target_FY!$X$6:$AA$80,MATCH($A7&amp;"|K4",Target_FY!$A$6:$A$80,0),$E7),0)</f>
        <v/>
      </c>
      <c r="S7" s="103">
        <f>IFERROR(INDEX(Actual_Monthly!$X$6:$AA$80,MATCH($A7&amp;"|K4",Actual_Monthly!$A$6:$A$80,0),$E7),0)</f>
        <v/>
      </c>
      <c r="T7" s="104">
        <f>IF(R7&lt;=0,0,S7/R7)</f>
        <v/>
      </c>
      <c r="U7" s="104">
        <f>IF((KPI_Framework!$F$8+KPI_Framework!$F$9)=0,0,(KPI_Framework!$F$8*Q7+KPI_Framework!$F$9*T7)/(KPI_Framework!$F$8+KPI_Framework!$F$9))</f>
        <v/>
      </c>
      <c r="V7" s="104">
        <f>IF((KPI_Framework!$F$8+KPI_Framework!$F$9)=0,0,(KPI_Framework!$F$8*IF(O7&lt;=0,0,IF(Q7&lt;Parameters!$C$15,0,IF(Q7&lt;=Parameters!$C$17,Parameters!$C$16+(Q7-Parameters!$C$15)/(Parameters!$C$17-Parameters!$C$15)*(Parameters!$C$18-Parameters!$C$16),MIN(Parameters!$C$20,Parameters!$C$18+(Q7-Parameters!$C$17)/(Parameters!$C$19-Parameters!$C$17)*(Parameters!$C$20-Parameters!$C$18)))))+KPI_Framework!$F$9*IF(R7&lt;=0,0,IF(T7&lt;Parameters!$C$15,0,IF(T7&lt;=Parameters!$C$17,Parameters!$C$16+(T7-Parameters!$C$15)/(Parameters!$C$17-Parameters!$C$15)*(Parameters!$C$18-Parameters!$C$16),MIN(Parameters!$C$20,Parameters!$C$18+(T7-Parameters!$C$17)/(Parameters!$C$19-Parameters!$C$17)*(Parameters!$C$20-Parameters!$C$18))))))/(KPI_Framework!$F$8+KPI_Framework!$F$9))</f>
        <v/>
      </c>
      <c r="W7" s="105">
        <f>IF(Parameters!$C$23="OFF",1,IF(U7&gt;=Parameters!$B$25,Parameters!$C$25,IF(U7&gt;=Parameters!$B$26,Parameters!$C$26,IF(U7&gt;=Parameters!$B$27,Parameters!$C$27,Parameters!$C$28))))</f>
        <v/>
      </c>
      <c r="X7" s="69">
        <f>N7*W7</f>
        <v/>
      </c>
      <c r="Y7" s="106">
        <f>IF($A7="","",IF(F7&lt;=0,"No target",IF(X7&gt;=1,"On track",IF(X7&gt;=0.8,"Watch","Behind"))))</f>
        <v/>
      </c>
      <c r="Z7" s="107">
        <f>IFERROR(INDEX(Target_FY!$X$6:$AA$80,MATCH($A7&amp;"|K5",Target_FY!$A$6:$A$80,0),$E7),0)</f>
        <v/>
      </c>
      <c r="AA7" s="107">
        <f>IFERROR(INDEX(Actual_Monthly!$X$6:$AA$80,MATCH($A7&amp;"|K5",Actual_Monthly!$A$6:$A$80,0),$E7),0)</f>
        <v/>
      </c>
      <c r="AB7" s="108">
        <f>IF(Z7&lt;=0,0,AA7/Z7)</f>
        <v/>
      </c>
    </row>
    <row r="8">
      <c r="A8" s="82">
        <f>IFERROR(INDEX(Team_Master!$C$6:$C$20,INT((ROW()-6)/4)+1),"")</f>
        <v/>
      </c>
      <c r="B8" s="83">
        <f>IFERROR(INDEX(Team_Master!$G$6:$G$20,INT((ROW()-6)/4)+1),"")</f>
        <v/>
      </c>
      <c r="C8" s="82">
        <f>IFERROR(INDEX(Team_Master!$E$6:$E$20,INT((ROW()-6)/4)+1),"")</f>
        <v/>
      </c>
      <c r="D8" s="93">
        <f>"Q"&amp;E8</f>
        <v/>
      </c>
      <c r="E8" s="99">
        <f>MOD(ROW()-6,4)+1</f>
        <v/>
      </c>
      <c r="F8" s="100">
        <f>IFERROR(INDEX(Target_FY!$X$6:$AA$80,MATCH($A8&amp;"|K1",Target_FY!$A$6:$A$80,0),$E8),0)</f>
        <v/>
      </c>
      <c r="G8" s="100">
        <f>IFERROR(INDEX(Actual_Monthly!$X$6:$AA$80,MATCH($A8&amp;"|K1",Actual_Monthly!$A$6:$A$80,0),$E8),0)</f>
        <v/>
      </c>
      <c r="H8" s="101">
        <f>IF(F8&lt;=0,0,G8/F8)</f>
        <v/>
      </c>
      <c r="I8" s="102">
        <f>IF(F8&lt;=0,0,IF(H8&lt;Parameters!$C$15,0,IF(H8&lt;=Parameters!$C$17,Parameters!$C$16+(H8-Parameters!$C$15)/(Parameters!$C$17-Parameters!$C$15)*(Parameters!$C$18-Parameters!$C$16),MIN(Parameters!$C$20,Parameters!$C$18+(H8-Parameters!$C$17)/(Parameters!$C$19-Parameters!$C$17)*(Parameters!$C$20-Parameters!$C$18)))))</f>
        <v/>
      </c>
      <c r="J8" s="100">
        <f>IFERROR(INDEX(Target_FY!$X$6:$AA$80,MATCH($A8&amp;"|K2",Target_FY!$A$6:$A$80,0),$E8),0)</f>
        <v/>
      </c>
      <c r="K8" s="100">
        <f>IFERROR(INDEX(Actual_Monthly!$X$6:$AA$80,MATCH($A8&amp;"|K2",Actual_Monthly!$A$6:$A$80,0),$E8),0)</f>
        <v/>
      </c>
      <c r="L8" s="101">
        <f>IF(J8&lt;=0,0,K8/J8)</f>
        <v/>
      </c>
      <c r="M8" s="102">
        <f>IF(J8&lt;=0,0,IF(L8&lt;Parameters!$C$15,0,IF(L8&lt;=Parameters!$C$17,Parameters!$C$16+(L8-Parameters!$C$15)/(Parameters!$C$17-Parameters!$C$15)*(Parameters!$C$18-Parameters!$C$16),MIN(Parameters!$C$20,Parameters!$C$18+(L8-Parameters!$C$17)/(Parameters!$C$19-Parameters!$C$17)*(Parameters!$C$20-Parameters!$C$18)))))</f>
        <v/>
      </c>
      <c r="N8" s="69">
        <f>IF((KPI_Framework!$F$6+KPI_Framework!$F$7)=0,0,(KPI_Framework!$F$6*I8+KPI_Framework!$F$7*M8)/(KPI_Framework!$F$6+KPI_Framework!$F$7))</f>
        <v/>
      </c>
      <c r="O8" s="103">
        <f>IFERROR(INDEX(Target_FY!$X$6:$AA$80,MATCH($A8&amp;"|K3",Target_FY!$A$6:$A$80,0),$E8),0)</f>
        <v/>
      </c>
      <c r="P8" s="103">
        <f>IFERROR(INDEX(Actual_Monthly!$X$6:$AA$80,MATCH($A8&amp;"|K3",Actual_Monthly!$A$6:$A$80,0),$E8),0)</f>
        <v/>
      </c>
      <c r="Q8" s="104">
        <f>IF(O8&lt;=0,0,P8/O8)</f>
        <v/>
      </c>
      <c r="R8" s="103">
        <f>IFERROR(INDEX(Target_FY!$X$6:$AA$80,MATCH($A8&amp;"|K4",Target_FY!$A$6:$A$80,0),$E8),0)</f>
        <v/>
      </c>
      <c r="S8" s="103">
        <f>IFERROR(INDEX(Actual_Monthly!$X$6:$AA$80,MATCH($A8&amp;"|K4",Actual_Monthly!$A$6:$A$80,0),$E8),0)</f>
        <v/>
      </c>
      <c r="T8" s="104">
        <f>IF(R8&lt;=0,0,S8/R8)</f>
        <v/>
      </c>
      <c r="U8" s="104">
        <f>IF((KPI_Framework!$F$8+KPI_Framework!$F$9)=0,0,(KPI_Framework!$F$8*Q8+KPI_Framework!$F$9*T8)/(KPI_Framework!$F$8+KPI_Framework!$F$9))</f>
        <v/>
      </c>
      <c r="V8" s="104">
        <f>IF((KPI_Framework!$F$8+KPI_Framework!$F$9)=0,0,(KPI_Framework!$F$8*IF(O8&lt;=0,0,IF(Q8&lt;Parameters!$C$15,0,IF(Q8&lt;=Parameters!$C$17,Parameters!$C$16+(Q8-Parameters!$C$15)/(Parameters!$C$17-Parameters!$C$15)*(Parameters!$C$18-Parameters!$C$16),MIN(Parameters!$C$20,Parameters!$C$18+(Q8-Parameters!$C$17)/(Parameters!$C$19-Parameters!$C$17)*(Parameters!$C$20-Parameters!$C$18)))))+KPI_Framework!$F$9*IF(R8&lt;=0,0,IF(T8&lt;Parameters!$C$15,0,IF(T8&lt;=Parameters!$C$17,Parameters!$C$16+(T8-Parameters!$C$15)/(Parameters!$C$17-Parameters!$C$15)*(Parameters!$C$18-Parameters!$C$16),MIN(Parameters!$C$20,Parameters!$C$18+(T8-Parameters!$C$17)/(Parameters!$C$19-Parameters!$C$17)*(Parameters!$C$20-Parameters!$C$18))))))/(KPI_Framework!$F$8+KPI_Framework!$F$9))</f>
        <v/>
      </c>
      <c r="W8" s="105">
        <f>IF(Parameters!$C$23="OFF",1,IF(U8&gt;=Parameters!$B$25,Parameters!$C$25,IF(U8&gt;=Parameters!$B$26,Parameters!$C$26,IF(U8&gt;=Parameters!$B$27,Parameters!$C$27,Parameters!$C$28))))</f>
        <v/>
      </c>
      <c r="X8" s="69">
        <f>N8*W8</f>
        <v/>
      </c>
      <c r="Y8" s="106">
        <f>IF($A8="","",IF(F8&lt;=0,"No target",IF(X8&gt;=1,"On track",IF(X8&gt;=0.8,"Watch","Behind"))))</f>
        <v/>
      </c>
      <c r="Z8" s="107">
        <f>IFERROR(INDEX(Target_FY!$X$6:$AA$80,MATCH($A8&amp;"|K5",Target_FY!$A$6:$A$80,0),$E8),0)</f>
        <v/>
      </c>
      <c r="AA8" s="107">
        <f>IFERROR(INDEX(Actual_Monthly!$X$6:$AA$80,MATCH($A8&amp;"|K5",Actual_Monthly!$A$6:$A$80,0),$E8),0)</f>
        <v/>
      </c>
      <c r="AB8" s="108">
        <f>IF(Z8&lt;=0,0,AA8/Z8)</f>
        <v/>
      </c>
    </row>
    <row r="9">
      <c r="A9" s="82">
        <f>IFERROR(INDEX(Team_Master!$C$6:$C$20,INT((ROW()-6)/4)+1),"")</f>
        <v/>
      </c>
      <c r="B9" s="83">
        <f>IFERROR(INDEX(Team_Master!$G$6:$G$20,INT((ROW()-6)/4)+1),"")</f>
        <v/>
      </c>
      <c r="C9" s="82">
        <f>IFERROR(INDEX(Team_Master!$E$6:$E$20,INT((ROW()-6)/4)+1),"")</f>
        <v/>
      </c>
      <c r="D9" s="93">
        <f>"Q"&amp;E9</f>
        <v/>
      </c>
      <c r="E9" s="99">
        <f>MOD(ROW()-6,4)+1</f>
        <v/>
      </c>
      <c r="F9" s="100">
        <f>IFERROR(INDEX(Target_FY!$X$6:$AA$80,MATCH($A9&amp;"|K1",Target_FY!$A$6:$A$80,0),$E9),0)</f>
        <v/>
      </c>
      <c r="G9" s="100">
        <f>IFERROR(INDEX(Actual_Monthly!$X$6:$AA$80,MATCH($A9&amp;"|K1",Actual_Monthly!$A$6:$A$80,0),$E9),0)</f>
        <v/>
      </c>
      <c r="H9" s="101">
        <f>IF(F9&lt;=0,0,G9/F9)</f>
        <v/>
      </c>
      <c r="I9" s="102">
        <f>IF(F9&lt;=0,0,IF(H9&lt;Parameters!$C$15,0,IF(H9&lt;=Parameters!$C$17,Parameters!$C$16+(H9-Parameters!$C$15)/(Parameters!$C$17-Parameters!$C$15)*(Parameters!$C$18-Parameters!$C$16),MIN(Parameters!$C$20,Parameters!$C$18+(H9-Parameters!$C$17)/(Parameters!$C$19-Parameters!$C$17)*(Parameters!$C$20-Parameters!$C$18)))))</f>
        <v/>
      </c>
      <c r="J9" s="100">
        <f>IFERROR(INDEX(Target_FY!$X$6:$AA$80,MATCH($A9&amp;"|K2",Target_FY!$A$6:$A$80,0),$E9),0)</f>
        <v/>
      </c>
      <c r="K9" s="100">
        <f>IFERROR(INDEX(Actual_Monthly!$X$6:$AA$80,MATCH($A9&amp;"|K2",Actual_Monthly!$A$6:$A$80,0),$E9),0)</f>
        <v/>
      </c>
      <c r="L9" s="101">
        <f>IF(J9&lt;=0,0,K9/J9)</f>
        <v/>
      </c>
      <c r="M9" s="102">
        <f>IF(J9&lt;=0,0,IF(L9&lt;Parameters!$C$15,0,IF(L9&lt;=Parameters!$C$17,Parameters!$C$16+(L9-Parameters!$C$15)/(Parameters!$C$17-Parameters!$C$15)*(Parameters!$C$18-Parameters!$C$16),MIN(Parameters!$C$20,Parameters!$C$18+(L9-Parameters!$C$17)/(Parameters!$C$19-Parameters!$C$17)*(Parameters!$C$20-Parameters!$C$18)))))</f>
        <v/>
      </c>
      <c r="N9" s="69">
        <f>IF((KPI_Framework!$F$6+KPI_Framework!$F$7)=0,0,(KPI_Framework!$F$6*I9+KPI_Framework!$F$7*M9)/(KPI_Framework!$F$6+KPI_Framework!$F$7))</f>
        <v/>
      </c>
      <c r="O9" s="103">
        <f>IFERROR(INDEX(Target_FY!$X$6:$AA$80,MATCH($A9&amp;"|K3",Target_FY!$A$6:$A$80,0),$E9),0)</f>
        <v/>
      </c>
      <c r="P9" s="103">
        <f>IFERROR(INDEX(Actual_Monthly!$X$6:$AA$80,MATCH($A9&amp;"|K3",Actual_Monthly!$A$6:$A$80,0),$E9),0)</f>
        <v/>
      </c>
      <c r="Q9" s="104">
        <f>IF(O9&lt;=0,0,P9/O9)</f>
        <v/>
      </c>
      <c r="R9" s="103">
        <f>IFERROR(INDEX(Target_FY!$X$6:$AA$80,MATCH($A9&amp;"|K4",Target_FY!$A$6:$A$80,0),$E9),0)</f>
        <v/>
      </c>
      <c r="S9" s="103">
        <f>IFERROR(INDEX(Actual_Monthly!$X$6:$AA$80,MATCH($A9&amp;"|K4",Actual_Monthly!$A$6:$A$80,0),$E9),0)</f>
        <v/>
      </c>
      <c r="T9" s="104">
        <f>IF(R9&lt;=0,0,S9/R9)</f>
        <v/>
      </c>
      <c r="U9" s="104">
        <f>IF((KPI_Framework!$F$8+KPI_Framework!$F$9)=0,0,(KPI_Framework!$F$8*Q9+KPI_Framework!$F$9*T9)/(KPI_Framework!$F$8+KPI_Framework!$F$9))</f>
        <v/>
      </c>
      <c r="V9" s="104">
        <f>IF((KPI_Framework!$F$8+KPI_Framework!$F$9)=0,0,(KPI_Framework!$F$8*IF(O9&lt;=0,0,IF(Q9&lt;Parameters!$C$15,0,IF(Q9&lt;=Parameters!$C$17,Parameters!$C$16+(Q9-Parameters!$C$15)/(Parameters!$C$17-Parameters!$C$15)*(Parameters!$C$18-Parameters!$C$16),MIN(Parameters!$C$20,Parameters!$C$18+(Q9-Parameters!$C$17)/(Parameters!$C$19-Parameters!$C$17)*(Parameters!$C$20-Parameters!$C$18)))))+KPI_Framework!$F$9*IF(R9&lt;=0,0,IF(T9&lt;Parameters!$C$15,0,IF(T9&lt;=Parameters!$C$17,Parameters!$C$16+(T9-Parameters!$C$15)/(Parameters!$C$17-Parameters!$C$15)*(Parameters!$C$18-Parameters!$C$16),MIN(Parameters!$C$20,Parameters!$C$18+(T9-Parameters!$C$17)/(Parameters!$C$19-Parameters!$C$17)*(Parameters!$C$20-Parameters!$C$18))))))/(KPI_Framework!$F$8+KPI_Framework!$F$9))</f>
        <v/>
      </c>
      <c r="W9" s="105">
        <f>IF(Parameters!$C$23="OFF",1,IF(U9&gt;=Parameters!$B$25,Parameters!$C$25,IF(U9&gt;=Parameters!$B$26,Parameters!$C$26,IF(U9&gt;=Parameters!$B$27,Parameters!$C$27,Parameters!$C$28))))</f>
        <v/>
      </c>
      <c r="X9" s="69">
        <f>N9*W9</f>
        <v/>
      </c>
      <c r="Y9" s="106">
        <f>IF($A9="","",IF(F9&lt;=0,"No target",IF(X9&gt;=1,"On track",IF(X9&gt;=0.8,"Watch","Behind"))))</f>
        <v/>
      </c>
      <c r="Z9" s="107">
        <f>IFERROR(INDEX(Target_FY!$X$6:$AA$80,MATCH($A9&amp;"|K5",Target_FY!$A$6:$A$80,0),$E9),0)</f>
        <v/>
      </c>
      <c r="AA9" s="107">
        <f>IFERROR(INDEX(Actual_Monthly!$X$6:$AA$80,MATCH($A9&amp;"|K5",Actual_Monthly!$A$6:$A$80,0),$E9),0)</f>
        <v/>
      </c>
      <c r="AB9" s="108">
        <f>IF(Z9&lt;=0,0,AA9/Z9)</f>
        <v/>
      </c>
    </row>
    <row r="10">
      <c r="A10" s="88">
        <f>IFERROR(INDEX(Team_Master!$C$6:$C$20,INT((ROW()-6)/4)+1),"")</f>
        <v/>
      </c>
      <c r="B10" s="89">
        <f>IFERROR(INDEX(Team_Master!$G$6:$G$20,INT((ROW()-6)/4)+1),"")</f>
        <v/>
      </c>
      <c r="C10" s="88">
        <f>IFERROR(INDEX(Team_Master!$E$6:$E$20,INT((ROW()-6)/4)+1),"")</f>
        <v/>
      </c>
      <c r="D10" s="109">
        <f>"Q"&amp;E10</f>
        <v/>
      </c>
      <c r="E10" s="110">
        <f>MOD(ROW()-6,4)+1</f>
        <v/>
      </c>
      <c r="F10" s="100">
        <f>IFERROR(INDEX(Target_FY!$X$6:$AA$80,MATCH($A10&amp;"|K1",Target_FY!$A$6:$A$80,0),$E10),0)</f>
        <v/>
      </c>
      <c r="G10" s="100">
        <f>IFERROR(INDEX(Actual_Monthly!$X$6:$AA$80,MATCH($A10&amp;"|K1",Actual_Monthly!$A$6:$A$80,0),$E10),0)</f>
        <v/>
      </c>
      <c r="H10" s="101">
        <f>IF(F10&lt;=0,0,G10/F10)</f>
        <v/>
      </c>
      <c r="I10" s="102">
        <f>IF(F10&lt;=0,0,IF(H10&lt;Parameters!$C$15,0,IF(H10&lt;=Parameters!$C$17,Parameters!$C$16+(H10-Parameters!$C$15)/(Parameters!$C$17-Parameters!$C$15)*(Parameters!$C$18-Parameters!$C$16),MIN(Parameters!$C$20,Parameters!$C$18+(H10-Parameters!$C$17)/(Parameters!$C$19-Parameters!$C$17)*(Parameters!$C$20-Parameters!$C$18)))))</f>
        <v/>
      </c>
      <c r="J10" s="100">
        <f>IFERROR(INDEX(Target_FY!$X$6:$AA$80,MATCH($A10&amp;"|K2",Target_FY!$A$6:$A$80,0),$E10),0)</f>
        <v/>
      </c>
      <c r="K10" s="100">
        <f>IFERROR(INDEX(Actual_Monthly!$X$6:$AA$80,MATCH($A10&amp;"|K2",Actual_Monthly!$A$6:$A$80,0),$E10),0)</f>
        <v/>
      </c>
      <c r="L10" s="101">
        <f>IF(J10&lt;=0,0,K10/J10)</f>
        <v/>
      </c>
      <c r="M10" s="102">
        <f>IF(J10&lt;=0,0,IF(L10&lt;Parameters!$C$15,0,IF(L10&lt;=Parameters!$C$17,Parameters!$C$16+(L10-Parameters!$C$15)/(Parameters!$C$17-Parameters!$C$15)*(Parameters!$C$18-Parameters!$C$16),MIN(Parameters!$C$20,Parameters!$C$18+(L10-Parameters!$C$17)/(Parameters!$C$19-Parameters!$C$17)*(Parameters!$C$20-Parameters!$C$18)))))</f>
        <v/>
      </c>
      <c r="N10" s="69">
        <f>IF((KPI_Framework!$F$6+KPI_Framework!$F$7)=0,0,(KPI_Framework!$F$6*I10+KPI_Framework!$F$7*M10)/(KPI_Framework!$F$6+KPI_Framework!$F$7))</f>
        <v/>
      </c>
      <c r="O10" s="103">
        <f>IFERROR(INDEX(Target_FY!$X$6:$AA$80,MATCH($A10&amp;"|K3",Target_FY!$A$6:$A$80,0),$E10),0)</f>
        <v/>
      </c>
      <c r="P10" s="103">
        <f>IFERROR(INDEX(Actual_Monthly!$X$6:$AA$80,MATCH($A10&amp;"|K3",Actual_Monthly!$A$6:$A$80,0),$E10),0)</f>
        <v/>
      </c>
      <c r="Q10" s="104">
        <f>IF(O10&lt;=0,0,P10/O10)</f>
        <v/>
      </c>
      <c r="R10" s="103">
        <f>IFERROR(INDEX(Target_FY!$X$6:$AA$80,MATCH($A10&amp;"|K4",Target_FY!$A$6:$A$80,0),$E10),0)</f>
        <v/>
      </c>
      <c r="S10" s="103">
        <f>IFERROR(INDEX(Actual_Monthly!$X$6:$AA$80,MATCH($A10&amp;"|K4",Actual_Monthly!$A$6:$A$80,0),$E10),0)</f>
        <v/>
      </c>
      <c r="T10" s="104">
        <f>IF(R10&lt;=0,0,S10/R10)</f>
        <v/>
      </c>
      <c r="U10" s="104">
        <f>IF((KPI_Framework!$F$8+KPI_Framework!$F$9)=0,0,(KPI_Framework!$F$8*Q10+KPI_Framework!$F$9*T10)/(KPI_Framework!$F$8+KPI_Framework!$F$9))</f>
        <v/>
      </c>
      <c r="V10" s="104">
        <f>IF((KPI_Framework!$F$8+KPI_Framework!$F$9)=0,0,(KPI_Framework!$F$8*IF(O10&lt;=0,0,IF(Q10&lt;Parameters!$C$15,0,IF(Q10&lt;=Parameters!$C$17,Parameters!$C$16+(Q10-Parameters!$C$15)/(Parameters!$C$17-Parameters!$C$15)*(Parameters!$C$18-Parameters!$C$16),MIN(Parameters!$C$20,Parameters!$C$18+(Q10-Parameters!$C$17)/(Parameters!$C$19-Parameters!$C$17)*(Parameters!$C$20-Parameters!$C$18)))))+KPI_Framework!$F$9*IF(R10&lt;=0,0,IF(T10&lt;Parameters!$C$15,0,IF(T10&lt;=Parameters!$C$17,Parameters!$C$16+(T10-Parameters!$C$15)/(Parameters!$C$17-Parameters!$C$15)*(Parameters!$C$18-Parameters!$C$16),MIN(Parameters!$C$20,Parameters!$C$18+(T10-Parameters!$C$17)/(Parameters!$C$19-Parameters!$C$17)*(Parameters!$C$20-Parameters!$C$18))))))/(KPI_Framework!$F$8+KPI_Framework!$F$9))</f>
        <v/>
      </c>
      <c r="W10" s="105">
        <f>IF(Parameters!$C$23="OFF",1,IF(U10&gt;=Parameters!$B$25,Parameters!$C$25,IF(U10&gt;=Parameters!$B$26,Parameters!$C$26,IF(U10&gt;=Parameters!$B$27,Parameters!$C$27,Parameters!$C$28))))</f>
        <v/>
      </c>
      <c r="X10" s="69">
        <f>N10*W10</f>
        <v/>
      </c>
      <c r="Y10" s="106">
        <f>IF($A10="","",IF(F10&lt;=0,"No target",IF(X10&gt;=1,"On track",IF(X10&gt;=0.8,"Watch","Behind"))))</f>
        <v/>
      </c>
      <c r="Z10" s="107">
        <f>IFERROR(INDEX(Target_FY!$X$6:$AA$80,MATCH($A10&amp;"|K5",Target_FY!$A$6:$A$80,0),$E10),0)</f>
        <v/>
      </c>
      <c r="AA10" s="107">
        <f>IFERROR(INDEX(Actual_Monthly!$X$6:$AA$80,MATCH($A10&amp;"|K5",Actual_Monthly!$A$6:$A$80,0),$E10),0)</f>
        <v/>
      </c>
      <c r="AB10" s="108">
        <f>IF(Z10&lt;=0,0,AA10/Z10)</f>
        <v/>
      </c>
    </row>
    <row r="11">
      <c r="A11" s="88">
        <f>IFERROR(INDEX(Team_Master!$C$6:$C$20,INT((ROW()-6)/4)+1),"")</f>
        <v/>
      </c>
      <c r="B11" s="89">
        <f>IFERROR(INDEX(Team_Master!$G$6:$G$20,INT((ROW()-6)/4)+1),"")</f>
        <v/>
      </c>
      <c r="C11" s="88">
        <f>IFERROR(INDEX(Team_Master!$E$6:$E$20,INT((ROW()-6)/4)+1),"")</f>
        <v/>
      </c>
      <c r="D11" s="109">
        <f>"Q"&amp;E11</f>
        <v/>
      </c>
      <c r="E11" s="110">
        <f>MOD(ROW()-6,4)+1</f>
        <v/>
      </c>
      <c r="F11" s="100">
        <f>IFERROR(INDEX(Target_FY!$X$6:$AA$80,MATCH($A11&amp;"|K1",Target_FY!$A$6:$A$80,0),$E11),0)</f>
        <v/>
      </c>
      <c r="G11" s="100">
        <f>IFERROR(INDEX(Actual_Monthly!$X$6:$AA$80,MATCH($A11&amp;"|K1",Actual_Monthly!$A$6:$A$80,0),$E11),0)</f>
        <v/>
      </c>
      <c r="H11" s="101">
        <f>IF(F11&lt;=0,0,G11/F11)</f>
        <v/>
      </c>
      <c r="I11" s="102">
        <f>IF(F11&lt;=0,0,IF(H11&lt;Parameters!$C$15,0,IF(H11&lt;=Parameters!$C$17,Parameters!$C$16+(H11-Parameters!$C$15)/(Parameters!$C$17-Parameters!$C$15)*(Parameters!$C$18-Parameters!$C$16),MIN(Parameters!$C$20,Parameters!$C$18+(H11-Parameters!$C$17)/(Parameters!$C$19-Parameters!$C$17)*(Parameters!$C$20-Parameters!$C$18)))))</f>
        <v/>
      </c>
      <c r="J11" s="100">
        <f>IFERROR(INDEX(Target_FY!$X$6:$AA$80,MATCH($A11&amp;"|K2",Target_FY!$A$6:$A$80,0),$E11),0)</f>
        <v/>
      </c>
      <c r="K11" s="100">
        <f>IFERROR(INDEX(Actual_Monthly!$X$6:$AA$80,MATCH($A11&amp;"|K2",Actual_Monthly!$A$6:$A$80,0),$E11),0)</f>
        <v/>
      </c>
      <c r="L11" s="101">
        <f>IF(J11&lt;=0,0,K11/J11)</f>
        <v/>
      </c>
      <c r="M11" s="102">
        <f>IF(J11&lt;=0,0,IF(L11&lt;Parameters!$C$15,0,IF(L11&lt;=Parameters!$C$17,Parameters!$C$16+(L11-Parameters!$C$15)/(Parameters!$C$17-Parameters!$C$15)*(Parameters!$C$18-Parameters!$C$16),MIN(Parameters!$C$20,Parameters!$C$18+(L11-Parameters!$C$17)/(Parameters!$C$19-Parameters!$C$17)*(Parameters!$C$20-Parameters!$C$18)))))</f>
        <v/>
      </c>
      <c r="N11" s="69">
        <f>IF((KPI_Framework!$F$6+KPI_Framework!$F$7)=0,0,(KPI_Framework!$F$6*I11+KPI_Framework!$F$7*M11)/(KPI_Framework!$F$6+KPI_Framework!$F$7))</f>
        <v/>
      </c>
      <c r="O11" s="103">
        <f>IFERROR(INDEX(Target_FY!$X$6:$AA$80,MATCH($A11&amp;"|K3",Target_FY!$A$6:$A$80,0),$E11),0)</f>
        <v/>
      </c>
      <c r="P11" s="103">
        <f>IFERROR(INDEX(Actual_Monthly!$X$6:$AA$80,MATCH($A11&amp;"|K3",Actual_Monthly!$A$6:$A$80,0),$E11),0)</f>
        <v/>
      </c>
      <c r="Q11" s="104">
        <f>IF(O11&lt;=0,0,P11/O11)</f>
        <v/>
      </c>
      <c r="R11" s="103">
        <f>IFERROR(INDEX(Target_FY!$X$6:$AA$80,MATCH($A11&amp;"|K4",Target_FY!$A$6:$A$80,0),$E11),0)</f>
        <v/>
      </c>
      <c r="S11" s="103">
        <f>IFERROR(INDEX(Actual_Monthly!$X$6:$AA$80,MATCH($A11&amp;"|K4",Actual_Monthly!$A$6:$A$80,0),$E11),0)</f>
        <v/>
      </c>
      <c r="T11" s="104">
        <f>IF(R11&lt;=0,0,S11/R11)</f>
        <v/>
      </c>
      <c r="U11" s="104">
        <f>IF((KPI_Framework!$F$8+KPI_Framework!$F$9)=0,0,(KPI_Framework!$F$8*Q11+KPI_Framework!$F$9*T11)/(KPI_Framework!$F$8+KPI_Framework!$F$9))</f>
        <v/>
      </c>
      <c r="V11" s="104">
        <f>IF((KPI_Framework!$F$8+KPI_Framework!$F$9)=0,0,(KPI_Framework!$F$8*IF(O11&lt;=0,0,IF(Q11&lt;Parameters!$C$15,0,IF(Q11&lt;=Parameters!$C$17,Parameters!$C$16+(Q11-Parameters!$C$15)/(Parameters!$C$17-Parameters!$C$15)*(Parameters!$C$18-Parameters!$C$16),MIN(Parameters!$C$20,Parameters!$C$18+(Q11-Parameters!$C$17)/(Parameters!$C$19-Parameters!$C$17)*(Parameters!$C$20-Parameters!$C$18)))))+KPI_Framework!$F$9*IF(R11&lt;=0,0,IF(T11&lt;Parameters!$C$15,0,IF(T11&lt;=Parameters!$C$17,Parameters!$C$16+(T11-Parameters!$C$15)/(Parameters!$C$17-Parameters!$C$15)*(Parameters!$C$18-Parameters!$C$16),MIN(Parameters!$C$20,Parameters!$C$18+(T11-Parameters!$C$17)/(Parameters!$C$19-Parameters!$C$17)*(Parameters!$C$20-Parameters!$C$18))))))/(KPI_Framework!$F$8+KPI_Framework!$F$9))</f>
        <v/>
      </c>
      <c r="W11" s="105">
        <f>IF(Parameters!$C$23="OFF",1,IF(U11&gt;=Parameters!$B$25,Parameters!$C$25,IF(U11&gt;=Parameters!$B$26,Parameters!$C$26,IF(U11&gt;=Parameters!$B$27,Parameters!$C$27,Parameters!$C$28))))</f>
        <v/>
      </c>
      <c r="X11" s="69">
        <f>N11*W11</f>
        <v/>
      </c>
      <c r="Y11" s="106">
        <f>IF($A11="","",IF(F11&lt;=0,"No target",IF(X11&gt;=1,"On track",IF(X11&gt;=0.8,"Watch","Behind"))))</f>
        <v/>
      </c>
      <c r="Z11" s="107">
        <f>IFERROR(INDEX(Target_FY!$X$6:$AA$80,MATCH($A11&amp;"|K5",Target_FY!$A$6:$A$80,0),$E11),0)</f>
        <v/>
      </c>
      <c r="AA11" s="107">
        <f>IFERROR(INDEX(Actual_Monthly!$X$6:$AA$80,MATCH($A11&amp;"|K5",Actual_Monthly!$A$6:$A$80,0),$E11),0)</f>
        <v/>
      </c>
      <c r="AB11" s="108">
        <f>IF(Z11&lt;=0,0,AA11/Z11)</f>
        <v/>
      </c>
    </row>
    <row r="12">
      <c r="A12" s="88">
        <f>IFERROR(INDEX(Team_Master!$C$6:$C$20,INT((ROW()-6)/4)+1),"")</f>
        <v/>
      </c>
      <c r="B12" s="89">
        <f>IFERROR(INDEX(Team_Master!$G$6:$G$20,INT((ROW()-6)/4)+1),"")</f>
        <v/>
      </c>
      <c r="C12" s="88">
        <f>IFERROR(INDEX(Team_Master!$E$6:$E$20,INT((ROW()-6)/4)+1),"")</f>
        <v/>
      </c>
      <c r="D12" s="109">
        <f>"Q"&amp;E12</f>
        <v/>
      </c>
      <c r="E12" s="110">
        <f>MOD(ROW()-6,4)+1</f>
        <v/>
      </c>
      <c r="F12" s="100">
        <f>IFERROR(INDEX(Target_FY!$X$6:$AA$80,MATCH($A12&amp;"|K1",Target_FY!$A$6:$A$80,0),$E12),0)</f>
        <v/>
      </c>
      <c r="G12" s="100">
        <f>IFERROR(INDEX(Actual_Monthly!$X$6:$AA$80,MATCH($A12&amp;"|K1",Actual_Monthly!$A$6:$A$80,0),$E12),0)</f>
        <v/>
      </c>
      <c r="H12" s="101">
        <f>IF(F12&lt;=0,0,G12/F12)</f>
        <v/>
      </c>
      <c r="I12" s="102">
        <f>IF(F12&lt;=0,0,IF(H12&lt;Parameters!$C$15,0,IF(H12&lt;=Parameters!$C$17,Parameters!$C$16+(H12-Parameters!$C$15)/(Parameters!$C$17-Parameters!$C$15)*(Parameters!$C$18-Parameters!$C$16),MIN(Parameters!$C$20,Parameters!$C$18+(H12-Parameters!$C$17)/(Parameters!$C$19-Parameters!$C$17)*(Parameters!$C$20-Parameters!$C$18)))))</f>
        <v/>
      </c>
      <c r="J12" s="100">
        <f>IFERROR(INDEX(Target_FY!$X$6:$AA$80,MATCH($A12&amp;"|K2",Target_FY!$A$6:$A$80,0),$E12),0)</f>
        <v/>
      </c>
      <c r="K12" s="100">
        <f>IFERROR(INDEX(Actual_Monthly!$X$6:$AA$80,MATCH($A12&amp;"|K2",Actual_Monthly!$A$6:$A$80,0),$E12),0)</f>
        <v/>
      </c>
      <c r="L12" s="101">
        <f>IF(J12&lt;=0,0,K12/J12)</f>
        <v/>
      </c>
      <c r="M12" s="102">
        <f>IF(J12&lt;=0,0,IF(L12&lt;Parameters!$C$15,0,IF(L12&lt;=Parameters!$C$17,Parameters!$C$16+(L12-Parameters!$C$15)/(Parameters!$C$17-Parameters!$C$15)*(Parameters!$C$18-Parameters!$C$16),MIN(Parameters!$C$20,Parameters!$C$18+(L12-Parameters!$C$17)/(Parameters!$C$19-Parameters!$C$17)*(Parameters!$C$20-Parameters!$C$18)))))</f>
        <v/>
      </c>
      <c r="N12" s="69">
        <f>IF((KPI_Framework!$F$6+KPI_Framework!$F$7)=0,0,(KPI_Framework!$F$6*I12+KPI_Framework!$F$7*M12)/(KPI_Framework!$F$6+KPI_Framework!$F$7))</f>
        <v/>
      </c>
      <c r="O12" s="103">
        <f>IFERROR(INDEX(Target_FY!$X$6:$AA$80,MATCH($A12&amp;"|K3",Target_FY!$A$6:$A$80,0),$E12),0)</f>
        <v/>
      </c>
      <c r="P12" s="103">
        <f>IFERROR(INDEX(Actual_Monthly!$X$6:$AA$80,MATCH($A12&amp;"|K3",Actual_Monthly!$A$6:$A$80,0),$E12),0)</f>
        <v/>
      </c>
      <c r="Q12" s="104">
        <f>IF(O12&lt;=0,0,P12/O12)</f>
        <v/>
      </c>
      <c r="R12" s="103">
        <f>IFERROR(INDEX(Target_FY!$X$6:$AA$80,MATCH($A12&amp;"|K4",Target_FY!$A$6:$A$80,0),$E12),0)</f>
        <v/>
      </c>
      <c r="S12" s="103">
        <f>IFERROR(INDEX(Actual_Monthly!$X$6:$AA$80,MATCH($A12&amp;"|K4",Actual_Monthly!$A$6:$A$80,0),$E12),0)</f>
        <v/>
      </c>
      <c r="T12" s="104">
        <f>IF(R12&lt;=0,0,S12/R12)</f>
        <v/>
      </c>
      <c r="U12" s="104">
        <f>IF((KPI_Framework!$F$8+KPI_Framework!$F$9)=0,0,(KPI_Framework!$F$8*Q12+KPI_Framework!$F$9*T12)/(KPI_Framework!$F$8+KPI_Framework!$F$9))</f>
        <v/>
      </c>
      <c r="V12" s="104">
        <f>IF((KPI_Framework!$F$8+KPI_Framework!$F$9)=0,0,(KPI_Framework!$F$8*IF(O12&lt;=0,0,IF(Q12&lt;Parameters!$C$15,0,IF(Q12&lt;=Parameters!$C$17,Parameters!$C$16+(Q12-Parameters!$C$15)/(Parameters!$C$17-Parameters!$C$15)*(Parameters!$C$18-Parameters!$C$16),MIN(Parameters!$C$20,Parameters!$C$18+(Q12-Parameters!$C$17)/(Parameters!$C$19-Parameters!$C$17)*(Parameters!$C$20-Parameters!$C$18)))))+KPI_Framework!$F$9*IF(R12&lt;=0,0,IF(T12&lt;Parameters!$C$15,0,IF(T12&lt;=Parameters!$C$17,Parameters!$C$16+(T12-Parameters!$C$15)/(Parameters!$C$17-Parameters!$C$15)*(Parameters!$C$18-Parameters!$C$16),MIN(Parameters!$C$20,Parameters!$C$18+(T12-Parameters!$C$17)/(Parameters!$C$19-Parameters!$C$17)*(Parameters!$C$20-Parameters!$C$18))))))/(KPI_Framework!$F$8+KPI_Framework!$F$9))</f>
        <v/>
      </c>
      <c r="W12" s="105">
        <f>IF(Parameters!$C$23="OFF",1,IF(U12&gt;=Parameters!$B$25,Parameters!$C$25,IF(U12&gt;=Parameters!$B$26,Parameters!$C$26,IF(U12&gt;=Parameters!$B$27,Parameters!$C$27,Parameters!$C$28))))</f>
        <v/>
      </c>
      <c r="X12" s="69">
        <f>N12*W12</f>
        <v/>
      </c>
      <c r="Y12" s="106">
        <f>IF($A12="","",IF(F12&lt;=0,"No target",IF(X12&gt;=1,"On track",IF(X12&gt;=0.8,"Watch","Behind"))))</f>
        <v/>
      </c>
      <c r="Z12" s="107">
        <f>IFERROR(INDEX(Target_FY!$X$6:$AA$80,MATCH($A12&amp;"|K5",Target_FY!$A$6:$A$80,0),$E12),0)</f>
        <v/>
      </c>
      <c r="AA12" s="107">
        <f>IFERROR(INDEX(Actual_Monthly!$X$6:$AA$80,MATCH($A12&amp;"|K5",Actual_Monthly!$A$6:$A$80,0),$E12),0)</f>
        <v/>
      </c>
      <c r="AB12" s="108">
        <f>IF(Z12&lt;=0,0,AA12/Z12)</f>
        <v/>
      </c>
    </row>
    <row r="13">
      <c r="A13" s="88">
        <f>IFERROR(INDEX(Team_Master!$C$6:$C$20,INT((ROW()-6)/4)+1),"")</f>
        <v/>
      </c>
      <c r="B13" s="89">
        <f>IFERROR(INDEX(Team_Master!$G$6:$G$20,INT((ROW()-6)/4)+1),"")</f>
        <v/>
      </c>
      <c r="C13" s="88">
        <f>IFERROR(INDEX(Team_Master!$E$6:$E$20,INT((ROW()-6)/4)+1),"")</f>
        <v/>
      </c>
      <c r="D13" s="109">
        <f>"Q"&amp;E13</f>
        <v/>
      </c>
      <c r="E13" s="110">
        <f>MOD(ROW()-6,4)+1</f>
        <v/>
      </c>
      <c r="F13" s="100">
        <f>IFERROR(INDEX(Target_FY!$X$6:$AA$80,MATCH($A13&amp;"|K1",Target_FY!$A$6:$A$80,0),$E13),0)</f>
        <v/>
      </c>
      <c r="G13" s="100">
        <f>IFERROR(INDEX(Actual_Monthly!$X$6:$AA$80,MATCH($A13&amp;"|K1",Actual_Monthly!$A$6:$A$80,0),$E13),0)</f>
        <v/>
      </c>
      <c r="H13" s="101">
        <f>IF(F13&lt;=0,0,G13/F13)</f>
        <v/>
      </c>
      <c r="I13" s="102">
        <f>IF(F13&lt;=0,0,IF(H13&lt;Parameters!$C$15,0,IF(H13&lt;=Parameters!$C$17,Parameters!$C$16+(H13-Parameters!$C$15)/(Parameters!$C$17-Parameters!$C$15)*(Parameters!$C$18-Parameters!$C$16),MIN(Parameters!$C$20,Parameters!$C$18+(H13-Parameters!$C$17)/(Parameters!$C$19-Parameters!$C$17)*(Parameters!$C$20-Parameters!$C$18)))))</f>
        <v/>
      </c>
      <c r="J13" s="100">
        <f>IFERROR(INDEX(Target_FY!$X$6:$AA$80,MATCH($A13&amp;"|K2",Target_FY!$A$6:$A$80,0),$E13),0)</f>
        <v/>
      </c>
      <c r="K13" s="100">
        <f>IFERROR(INDEX(Actual_Monthly!$X$6:$AA$80,MATCH($A13&amp;"|K2",Actual_Monthly!$A$6:$A$80,0),$E13),0)</f>
        <v/>
      </c>
      <c r="L13" s="101">
        <f>IF(J13&lt;=0,0,K13/J13)</f>
        <v/>
      </c>
      <c r="M13" s="102">
        <f>IF(J13&lt;=0,0,IF(L13&lt;Parameters!$C$15,0,IF(L13&lt;=Parameters!$C$17,Parameters!$C$16+(L13-Parameters!$C$15)/(Parameters!$C$17-Parameters!$C$15)*(Parameters!$C$18-Parameters!$C$16),MIN(Parameters!$C$20,Parameters!$C$18+(L13-Parameters!$C$17)/(Parameters!$C$19-Parameters!$C$17)*(Parameters!$C$20-Parameters!$C$18)))))</f>
        <v/>
      </c>
      <c r="N13" s="69">
        <f>IF((KPI_Framework!$F$6+KPI_Framework!$F$7)=0,0,(KPI_Framework!$F$6*I13+KPI_Framework!$F$7*M13)/(KPI_Framework!$F$6+KPI_Framework!$F$7))</f>
        <v/>
      </c>
      <c r="O13" s="103">
        <f>IFERROR(INDEX(Target_FY!$X$6:$AA$80,MATCH($A13&amp;"|K3",Target_FY!$A$6:$A$80,0),$E13),0)</f>
        <v/>
      </c>
      <c r="P13" s="103">
        <f>IFERROR(INDEX(Actual_Monthly!$X$6:$AA$80,MATCH($A13&amp;"|K3",Actual_Monthly!$A$6:$A$80,0),$E13),0)</f>
        <v/>
      </c>
      <c r="Q13" s="104">
        <f>IF(O13&lt;=0,0,P13/O13)</f>
        <v/>
      </c>
      <c r="R13" s="103">
        <f>IFERROR(INDEX(Target_FY!$X$6:$AA$80,MATCH($A13&amp;"|K4",Target_FY!$A$6:$A$80,0),$E13),0)</f>
        <v/>
      </c>
      <c r="S13" s="103">
        <f>IFERROR(INDEX(Actual_Monthly!$X$6:$AA$80,MATCH($A13&amp;"|K4",Actual_Monthly!$A$6:$A$80,0),$E13),0)</f>
        <v/>
      </c>
      <c r="T13" s="104">
        <f>IF(R13&lt;=0,0,S13/R13)</f>
        <v/>
      </c>
      <c r="U13" s="104">
        <f>IF((KPI_Framework!$F$8+KPI_Framework!$F$9)=0,0,(KPI_Framework!$F$8*Q13+KPI_Framework!$F$9*T13)/(KPI_Framework!$F$8+KPI_Framework!$F$9))</f>
        <v/>
      </c>
      <c r="V13" s="104">
        <f>IF((KPI_Framework!$F$8+KPI_Framework!$F$9)=0,0,(KPI_Framework!$F$8*IF(O13&lt;=0,0,IF(Q13&lt;Parameters!$C$15,0,IF(Q13&lt;=Parameters!$C$17,Parameters!$C$16+(Q13-Parameters!$C$15)/(Parameters!$C$17-Parameters!$C$15)*(Parameters!$C$18-Parameters!$C$16),MIN(Parameters!$C$20,Parameters!$C$18+(Q13-Parameters!$C$17)/(Parameters!$C$19-Parameters!$C$17)*(Parameters!$C$20-Parameters!$C$18)))))+KPI_Framework!$F$9*IF(R13&lt;=0,0,IF(T13&lt;Parameters!$C$15,0,IF(T13&lt;=Parameters!$C$17,Parameters!$C$16+(T13-Parameters!$C$15)/(Parameters!$C$17-Parameters!$C$15)*(Parameters!$C$18-Parameters!$C$16),MIN(Parameters!$C$20,Parameters!$C$18+(T13-Parameters!$C$17)/(Parameters!$C$19-Parameters!$C$17)*(Parameters!$C$20-Parameters!$C$18))))))/(KPI_Framework!$F$8+KPI_Framework!$F$9))</f>
        <v/>
      </c>
      <c r="W13" s="105">
        <f>IF(Parameters!$C$23="OFF",1,IF(U13&gt;=Parameters!$B$25,Parameters!$C$25,IF(U13&gt;=Parameters!$B$26,Parameters!$C$26,IF(U13&gt;=Parameters!$B$27,Parameters!$C$27,Parameters!$C$28))))</f>
        <v/>
      </c>
      <c r="X13" s="69">
        <f>N13*W13</f>
        <v/>
      </c>
      <c r="Y13" s="106">
        <f>IF($A13="","",IF(F13&lt;=0,"No target",IF(X13&gt;=1,"On track",IF(X13&gt;=0.8,"Watch","Behind"))))</f>
        <v/>
      </c>
      <c r="Z13" s="107">
        <f>IFERROR(INDEX(Target_FY!$X$6:$AA$80,MATCH($A13&amp;"|K5",Target_FY!$A$6:$A$80,0),$E13),0)</f>
        <v/>
      </c>
      <c r="AA13" s="107">
        <f>IFERROR(INDEX(Actual_Monthly!$X$6:$AA$80,MATCH($A13&amp;"|K5",Actual_Monthly!$A$6:$A$80,0),$E13),0)</f>
        <v/>
      </c>
      <c r="AB13" s="108">
        <f>IF(Z13&lt;=0,0,AA13/Z13)</f>
        <v/>
      </c>
    </row>
    <row r="14">
      <c r="A14" s="82">
        <f>IFERROR(INDEX(Team_Master!$C$6:$C$20,INT((ROW()-6)/4)+1),"")</f>
        <v/>
      </c>
      <c r="B14" s="83">
        <f>IFERROR(INDEX(Team_Master!$G$6:$G$20,INT((ROW()-6)/4)+1),"")</f>
        <v/>
      </c>
      <c r="C14" s="82">
        <f>IFERROR(INDEX(Team_Master!$E$6:$E$20,INT((ROW()-6)/4)+1),"")</f>
        <v/>
      </c>
      <c r="D14" s="93">
        <f>"Q"&amp;E14</f>
        <v/>
      </c>
      <c r="E14" s="99">
        <f>MOD(ROW()-6,4)+1</f>
        <v/>
      </c>
      <c r="F14" s="100">
        <f>IFERROR(INDEX(Target_FY!$X$6:$AA$80,MATCH($A14&amp;"|K1",Target_FY!$A$6:$A$80,0),$E14),0)</f>
        <v/>
      </c>
      <c r="G14" s="100">
        <f>IFERROR(INDEX(Actual_Monthly!$X$6:$AA$80,MATCH($A14&amp;"|K1",Actual_Monthly!$A$6:$A$80,0),$E14),0)</f>
        <v/>
      </c>
      <c r="H14" s="101">
        <f>IF(F14&lt;=0,0,G14/F14)</f>
        <v/>
      </c>
      <c r="I14" s="102">
        <f>IF(F14&lt;=0,0,IF(H14&lt;Parameters!$C$15,0,IF(H14&lt;=Parameters!$C$17,Parameters!$C$16+(H14-Parameters!$C$15)/(Parameters!$C$17-Parameters!$C$15)*(Parameters!$C$18-Parameters!$C$16),MIN(Parameters!$C$20,Parameters!$C$18+(H14-Parameters!$C$17)/(Parameters!$C$19-Parameters!$C$17)*(Parameters!$C$20-Parameters!$C$18)))))</f>
        <v/>
      </c>
      <c r="J14" s="100">
        <f>IFERROR(INDEX(Target_FY!$X$6:$AA$80,MATCH($A14&amp;"|K2",Target_FY!$A$6:$A$80,0),$E14),0)</f>
        <v/>
      </c>
      <c r="K14" s="100">
        <f>IFERROR(INDEX(Actual_Monthly!$X$6:$AA$80,MATCH($A14&amp;"|K2",Actual_Monthly!$A$6:$A$80,0),$E14),0)</f>
        <v/>
      </c>
      <c r="L14" s="101">
        <f>IF(J14&lt;=0,0,K14/J14)</f>
        <v/>
      </c>
      <c r="M14" s="102">
        <f>IF(J14&lt;=0,0,IF(L14&lt;Parameters!$C$15,0,IF(L14&lt;=Parameters!$C$17,Parameters!$C$16+(L14-Parameters!$C$15)/(Parameters!$C$17-Parameters!$C$15)*(Parameters!$C$18-Parameters!$C$16),MIN(Parameters!$C$20,Parameters!$C$18+(L14-Parameters!$C$17)/(Parameters!$C$19-Parameters!$C$17)*(Parameters!$C$20-Parameters!$C$18)))))</f>
        <v/>
      </c>
      <c r="N14" s="69">
        <f>IF((KPI_Framework!$F$6+KPI_Framework!$F$7)=0,0,(KPI_Framework!$F$6*I14+KPI_Framework!$F$7*M14)/(KPI_Framework!$F$6+KPI_Framework!$F$7))</f>
        <v/>
      </c>
      <c r="O14" s="103">
        <f>IFERROR(INDEX(Target_FY!$X$6:$AA$80,MATCH($A14&amp;"|K3",Target_FY!$A$6:$A$80,0),$E14),0)</f>
        <v/>
      </c>
      <c r="P14" s="103">
        <f>IFERROR(INDEX(Actual_Monthly!$X$6:$AA$80,MATCH($A14&amp;"|K3",Actual_Monthly!$A$6:$A$80,0),$E14),0)</f>
        <v/>
      </c>
      <c r="Q14" s="104">
        <f>IF(O14&lt;=0,0,P14/O14)</f>
        <v/>
      </c>
      <c r="R14" s="103">
        <f>IFERROR(INDEX(Target_FY!$X$6:$AA$80,MATCH($A14&amp;"|K4",Target_FY!$A$6:$A$80,0),$E14),0)</f>
        <v/>
      </c>
      <c r="S14" s="103">
        <f>IFERROR(INDEX(Actual_Monthly!$X$6:$AA$80,MATCH($A14&amp;"|K4",Actual_Monthly!$A$6:$A$80,0),$E14),0)</f>
        <v/>
      </c>
      <c r="T14" s="104">
        <f>IF(R14&lt;=0,0,S14/R14)</f>
        <v/>
      </c>
      <c r="U14" s="104">
        <f>IF((KPI_Framework!$F$8+KPI_Framework!$F$9)=0,0,(KPI_Framework!$F$8*Q14+KPI_Framework!$F$9*T14)/(KPI_Framework!$F$8+KPI_Framework!$F$9))</f>
        <v/>
      </c>
      <c r="V14" s="104">
        <f>IF((KPI_Framework!$F$8+KPI_Framework!$F$9)=0,0,(KPI_Framework!$F$8*IF(O14&lt;=0,0,IF(Q14&lt;Parameters!$C$15,0,IF(Q14&lt;=Parameters!$C$17,Parameters!$C$16+(Q14-Parameters!$C$15)/(Parameters!$C$17-Parameters!$C$15)*(Parameters!$C$18-Parameters!$C$16),MIN(Parameters!$C$20,Parameters!$C$18+(Q14-Parameters!$C$17)/(Parameters!$C$19-Parameters!$C$17)*(Parameters!$C$20-Parameters!$C$18)))))+KPI_Framework!$F$9*IF(R14&lt;=0,0,IF(T14&lt;Parameters!$C$15,0,IF(T14&lt;=Parameters!$C$17,Parameters!$C$16+(T14-Parameters!$C$15)/(Parameters!$C$17-Parameters!$C$15)*(Parameters!$C$18-Parameters!$C$16),MIN(Parameters!$C$20,Parameters!$C$18+(T14-Parameters!$C$17)/(Parameters!$C$19-Parameters!$C$17)*(Parameters!$C$20-Parameters!$C$18))))))/(KPI_Framework!$F$8+KPI_Framework!$F$9))</f>
        <v/>
      </c>
      <c r="W14" s="105">
        <f>IF(Parameters!$C$23="OFF",1,IF(U14&gt;=Parameters!$B$25,Parameters!$C$25,IF(U14&gt;=Parameters!$B$26,Parameters!$C$26,IF(U14&gt;=Parameters!$B$27,Parameters!$C$27,Parameters!$C$28))))</f>
        <v/>
      </c>
      <c r="X14" s="69">
        <f>N14*W14</f>
        <v/>
      </c>
      <c r="Y14" s="106">
        <f>IF($A14="","",IF(F14&lt;=0,"No target",IF(X14&gt;=1,"On track",IF(X14&gt;=0.8,"Watch","Behind"))))</f>
        <v/>
      </c>
      <c r="Z14" s="107">
        <f>IFERROR(INDEX(Target_FY!$X$6:$AA$80,MATCH($A14&amp;"|K5",Target_FY!$A$6:$A$80,0),$E14),0)</f>
        <v/>
      </c>
      <c r="AA14" s="107">
        <f>IFERROR(INDEX(Actual_Monthly!$X$6:$AA$80,MATCH($A14&amp;"|K5",Actual_Monthly!$A$6:$A$80,0),$E14),0)</f>
        <v/>
      </c>
      <c r="AB14" s="108">
        <f>IF(Z14&lt;=0,0,AA14/Z14)</f>
        <v/>
      </c>
    </row>
    <row r="15">
      <c r="A15" s="82">
        <f>IFERROR(INDEX(Team_Master!$C$6:$C$20,INT((ROW()-6)/4)+1),"")</f>
        <v/>
      </c>
      <c r="B15" s="83">
        <f>IFERROR(INDEX(Team_Master!$G$6:$G$20,INT((ROW()-6)/4)+1),"")</f>
        <v/>
      </c>
      <c r="C15" s="82">
        <f>IFERROR(INDEX(Team_Master!$E$6:$E$20,INT((ROW()-6)/4)+1),"")</f>
        <v/>
      </c>
      <c r="D15" s="93">
        <f>"Q"&amp;E15</f>
        <v/>
      </c>
      <c r="E15" s="99">
        <f>MOD(ROW()-6,4)+1</f>
        <v/>
      </c>
      <c r="F15" s="100">
        <f>IFERROR(INDEX(Target_FY!$X$6:$AA$80,MATCH($A15&amp;"|K1",Target_FY!$A$6:$A$80,0),$E15),0)</f>
        <v/>
      </c>
      <c r="G15" s="100">
        <f>IFERROR(INDEX(Actual_Monthly!$X$6:$AA$80,MATCH($A15&amp;"|K1",Actual_Monthly!$A$6:$A$80,0),$E15),0)</f>
        <v/>
      </c>
      <c r="H15" s="101">
        <f>IF(F15&lt;=0,0,G15/F15)</f>
        <v/>
      </c>
      <c r="I15" s="102">
        <f>IF(F15&lt;=0,0,IF(H15&lt;Parameters!$C$15,0,IF(H15&lt;=Parameters!$C$17,Parameters!$C$16+(H15-Parameters!$C$15)/(Parameters!$C$17-Parameters!$C$15)*(Parameters!$C$18-Parameters!$C$16),MIN(Parameters!$C$20,Parameters!$C$18+(H15-Parameters!$C$17)/(Parameters!$C$19-Parameters!$C$17)*(Parameters!$C$20-Parameters!$C$18)))))</f>
        <v/>
      </c>
      <c r="J15" s="100">
        <f>IFERROR(INDEX(Target_FY!$X$6:$AA$80,MATCH($A15&amp;"|K2",Target_FY!$A$6:$A$80,0),$E15),0)</f>
        <v/>
      </c>
      <c r="K15" s="100">
        <f>IFERROR(INDEX(Actual_Monthly!$X$6:$AA$80,MATCH($A15&amp;"|K2",Actual_Monthly!$A$6:$A$80,0),$E15),0)</f>
        <v/>
      </c>
      <c r="L15" s="101">
        <f>IF(J15&lt;=0,0,K15/J15)</f>
        <v/>
      </c>
      <c r="M15" s="102">
        <f>IF(J15&lt;=0,0,IF(L15&lt;Parameters!$C$15,0,IF(L15&lt;=Parameters!$C$17,Parameters!$C$16+(L15-Parameters!$C$15)/(Parameters!$C$17-Parameters!$C$15)*(Parameters!$C$18-Parameters!$C$16),MIN(Parameters!$C$20,Parameters!$C$18+(L15-Parameters!$C$17)/(Parameters!$C$19-Parameters!$C$17)*(Parameters!$C$20-Parameters!$C$18)))))</f>
        <v/>
      </c>
      <c r="N15" s="69">
        <f>IF((KPI_Framework!$F$6+KPI_Framework!$F$7)=0,0,(KPI_Framework!$F$6*I15+KPI_Framework!$F$7*M15)/(KPI_Framework!$F$6+KPI_Framework!$F$7))</f>
        <v/>
      </c>
      <c r="O15" s="103">
        <f>IFERROR(INDEX(Target_FY!$X$6:$AA$80,MATCH($A15&amp;"|K3",Target_FY!$A$6:$A$80,0),$E15),0)</f>
        <v/>
      </c>
      <c r="P15" s="103">
        <f>IFERROR(INDEX(Actual_Monthly!$X$6:$AA$80,MATCH($A15&amp;"|K3",Actual_Monthly!$A$6:$A$80,0),$E15),0)</f>
        <v/>
      </c>
      <c r="Q15" s="104">
        <f>IF(O15&lt;=0,0,P15/O15)</f>
        <v/>
      </c>
      <c r="R15" s="103">
        <f>IFERROR(INDEX(Target_FY!$X$6:$AA$80,MATCH($A15&amp;"|K4",Target_FY!$A$6:$A$80,0),$E15),0)</f>
        <v/>
      </c>
      <c r="S15" s="103">
        <f>IFERROR(INDEX(Actual_Monthly!$X$6:$AA$80,MATCH($A15&amp;"|K4",Actual_Monthly!$A$6:$A$80,0),$E15),0)</f>
        <v/>
      </c>
      <c r="T15" s="104">
        <f>IF(R15&lt;=0,0,S15/R15)</f>
        <v/>
      </c>
      <c r="U15" s="104">
        <f>IF((KPI_Framework!$F$8+KPI_Framework!$F$9)=0,0,(KPI_Framework!$F$8*Q15+KPI_Framework!$F$9*T15)/(KPI_Framework!$F$8+KPI_Framework!$F$9))</f>
        <v/>
      </c>
      <c r="V15" s="104">
        <f>IF((KPI_Framework!$F$8+KPI_Framework!$F$9)=0,0,(KPI_Framework!$F$8*IF(O15&lt;=0,0,IF(Q15&lt;Parameters!$C$15,0,IF(Q15&lt;=Parameters!$C$17,Parameters!$C$16+(Q15-Parameters!$C$15)/(Parameters!$C$17-Parameters!$C$15)*(Parameters!$C$18-Parameters!$C$16),MIN(Parameters!$C$20,Parameters!$C$18+(Q15-Parameters!$C$17)/(Parameters!$C$19-Parameters!$C$17)*(Parameters!$C$20-Parameters!$C$18)))))+KPI_Framework!$F$9*IF(R15&lt;=0,0,IF(T15&lt;Parameters!$C$15,0,IF(T15&lt;=Parameters!$C$17,Parameters!$C$16+(T15-Parameters!$C$15)/(Parameters!$C$17-Parameters!$C$15)*(Parameters!$C$18-Parameters!$C$16),MIN(Parameters!$C$20,Parameters!$C$18+(T15-Parameters!$C$17)/(Parameters!$C$19-Parameters!$C$17)*(Parameters!$C$20-Parameters!$C$18))))))/(KPI_Framework!$F$8+KPI_Framework!$F$9))</f>
        <v/>
      </c>
      <c r="W15" s="105">
        <f>IF(Parameters!$C$23="OFF",1,IF(U15&gt;=Parameters!$B$25,Parameters!$C$25,IF(U15&gt;=Parameters!$B$26,Parameters!$C$26,IF(U15&gt;=Parameters!$B$27,Parameters!$C$27,Parameters!$C$28))))</f>
        <v/>
      </c>
      <c r="X15" s="69">
        <f>N15*W15</f>
        <v/>
      </c>
      <c r="Y15" s="106">
        <f>IF($A15="","",IF(F15&lt;=0,"No target",IF(X15&gt;=1,"On track",IF(X15&gt;=0.8,"Watch","Behind"))))</f>
        <v/>
      </c>
      <c r="Z15" s="107">
        <f>IFERROR(INDEX(Target_FY!$X$6:$AA$80,MATCH($A15&amp;"|K5",Target_FY!$A$6:$A$80,0),$E15),0)</f>
        <v/>
      </c>
      <c r="AA15" s="107">
        <f>IFERROR(INDEX(Actual_Monthly!$X$6:$AA$80,MATCH($A15&amp;"|K5",Actual_Monthly!$A$6:$A$80,0),$E15),0)</f>
        <v/>
      </c>
      <c r="AB15" s="108">
        <f>IF(Z15&lt;=0,0,AA15/Z15)</f>
        <v/>
      </c>
    </row>
    <row r="16">
      <c r="A16" s="82">
        <f>IFERROR(INDEX(Team_Master!$C$6:$C$20,INT((ROW()-6)/4)+1),"")</f>
        <v/>
      </c>
      <c r="B16" s="83">
        <f>IFERROR(INDEX(Team_Master!$G$6:$G$20,INT((ROW()-6)/4)+1),"")</f>
        <v/>
      </c>
      <c r="C16" s="82">
        <f>IFERROR(INDEX(Team_Master!$E$6:$E$20,INT((ROW()-6)/4)+1),"")</f>
        <v/>
      </c>
      <c r="D16" s="93">
        <f>"Q"&amp;E16</f>
        <v/>
      </c>
      <c r="E16" s="99">
        <f>MOD(ROW()-6,4)+1</f>
        <v/>
      </c>
      <c r="F16" s="100">
        <f>IFERROR(INDEX(Target_FY!$X$6:$AA$80,MATCH($A16&amp;"|K1",Target_FY!$A$6:$A$80,0),$E16),0)</f>
        <v/>
      </c>
      <c r="G16" s="100">
        <f>IFERROR(INDEX(Actual_Monthly!$X$6:$AA$80,MATCH($A16&amp;"|K1",Actual_Monthly!$A$6:$A$80,0),$E16),0)</f>
        <v/>
      </c>
      <c r="H16" s="101">
        <f>IF(F16&lt;=0,0,G16/F16)</f>
        <v/>
      </c>
      <c r="I16" s="102">
        <f>IF(F16&lt;=0,0,IF(H16&lt;Parameters!$C$15,0,IF(H16&lt;=Parameters!$C$17,Parameters!$C$16+(H16-Parameters!$C$15)/(Parameters!$C$17-Parameters!$C$15)*(Parameters!$C$18-Parameters!$C$16),MIN(Parameters!$C$20,Parameters!$C$18+(H16-Parameters!$C$17)/(Parameters!$C$19-Parameters!$C$17)*(Parameters!$C$20-Parameters!$C$18)))))</f>
        <v/>
      </c>
      <c r="J16" s="100">
        <f>IFERROR(INDEX(Target_FY!$X$6:$AA$80,MATCH($A16&amp;"|K2",Target_FY!$A$6:$A$80,0),$E16),0)</f>
        <v/>
      </c>
      <c r="K16" s="100">
        <f>IFERROR(INDEX(Actual_Monthly!$X$6:$AA$80,MATCH($A16&amp;"|K2",Actual_Monthly!$A$6:$A$80,0),$E16),0)</f>
        <v/>
      </c>
      <c r="L16" s="101">
        <f>IF(J16&lt;=0,0,K16/J16)</f>
        <v/>
      </c>
      <c r="M16" s="102">
        <f>IF(J16&lt;=0,0,IF(L16&lt;Parameters!$C$15,0,IF(L16&lt;=Parameters!$C$17,Parameters!$C$16+(L16-Parameters!$C$15)/(Parameters!$C$17-Parameters!$C$15)*(Parameters!$C$18-Parameters!$C$16),MIN(Parameters!$C$20,Parameters!$C$18+(L16-Parameters!$C$17)/(Parameters!$C$19-Parameters!$C$17)*(Parameters!$C$20-Parameters!$C$18)))))</f>
        <v/>
      </c>
      <c r="N16" s="69">
        <f>IF((KPI_Framework!$F$6+KPI_Framework!$F$7)=0,0,(KPI_Framework!$F$6*I16+KPI_Framework!$F$7*M16)/(KPI_Framework!$F$6+KPI_Framework!$F$7))</f>
        <v/>
      </c>
      <c r="O16" s="103">
        <f>IFERROR(INDEX(Target_FY!$X$6:$AA$80,MATCH($A16&amp;"|K3",Target_FY!$A$6:$A$80,0),$E16),0)</f>
        <v/>
      </c>
      <c r="P16" s="103">
        <f>IFERROR(INDEX(Actual_Monthly!$X$6:$AA$80,MATCH($A16&amp;"|K3",Actual_Monthly!$A$6:$A$80,0),$E16),0)</f>
        <v/>
      </c>
      <c r="Q16" s="104">
        <f>IF(O16&lt;=0,0,P16/O16)</f>
        <v/>
      </c>
      <c r="R16" s="103">
        <f>IFERROR(INDEX(Target_FY!$X$6:$AA$80,MATCH($A16&amp;"|K4",Target_FY!$A$6:$A$80,0),$E16),0)</f>
        <v/>
      </c>
      <c r="S16" s="103">
        <f>IFERROR(INDEX(Actual_Monthly!$X$6:$AA$80,MATCH($A16&amp;"|K4",Actual_Monthly!$A$6:$A$80,0),$E16),0)</f>
        <v/>
      </c>
      <c r="T16" s="104">
        <f>IF(R16&lt;=0,0,S16/R16)</f>
        <v/>
      </c>
      <c r="U16" s="104">
        <f>IF((KPI_Framework!$F$8+KPI_Framework!$F$9)=0,0,(KPI_Framework!$F$8*Q16+KPI_Framework!$F$9*T16)/(KPI_Framework!$F$8+KPI_Framework!$F$9))</f>
        <v/>
      </c>
      <c r="V16" s="104">
        <f>IF((KPI_Framework!$F$8+KPI_Framework!$F$9)=0,0,(KPI_Framework!$F$8*IF(O16&lt;=0,0,IF(Q16&lt;Parameters!$C$15,0,IF(Q16&lt;=Parameters!$C$17,Parameters!$C$16+(Q16-Parameters!$C$15)/(Parameters!$C$17-Parameters!$C$15)*(Parameters!$C$18-Parameters!$C$16),MIN(Parameters!$C$20,Parameters!$C$18+(Q16-Parameters!$C$17)/(Parameters!$C$19-Parameters!$C$17)*(Parameters!$C$20-Parameters!$C$18)))))+KPI_Framework!$F$9*IF(R16&lt;=0,0,IF(T16&lt;Parameters!$C$15,0,IF(T16&lt;=Parameters!$C$17,Parameters!$C$16+(T16-Parameters!$C$15)/(Parameters!$C$17-Parameters!$C$15)*(Parameters!$C$18-Parameters!$C$16),MIN(Parameters!$C$20,Parameters!$C$18+(T16-Parameters!$C$17)/(Parameters!$C$19-Parameters!$C$17)*(Parameters!$C$20-Parameters!$C$18))))))/(KPI_Framework!$F$8+KPI_Framework!$F$9))</f>
        <v/>
      </c>
      <c r="W16" s="105">
        <f>IF(Parameters!$C$23="OFF",1,IF(U16&gt;=Parameters!$B$25,Parameters!$C$25,IF(U16&gt;=Parameters!$B$26,Parameters!$C$26,IF(U16&gt;=Parameters!$B$27,Parameters!$C$27,Parameters!$C$28))))</f>
        <v/>
      </c>
      <c r="X16" s="69">
        <f>N16*W16</f>
        <v/>
      </c>
      <c r="Y16" s="106">
        <f>IF($A16="","",IF(F16&lt;=0,"No target",IF(X16&gt;=1,"On track",IF(X16&gt;=0.8,"Watch","Behind"))))</f>
        <v/>
      </c>
      <c r="Z16" s="107">
        <f>IFERROR(INDEX(Target_FY!$X$6:$AA$80,MATCH($A16&amp;"|K5",Target_FY!$A$6:$A$80,0),$E16),0)</f>
        <v/>
      </c>
      <c r="AA16" s="107">
        <f>IFERROR(INDEX(Actual_Monthly!$X$6:$AA$80,MATCH($A16&amp;"|K5",Actual_Monthly!$A$6:$A$80,0),$E16),0)</f>
        <v/>
      </c>
      <c r="AB16" s="108">
        <f>IF(Z16&lt;=0,0,AA16/Z16)</f>
        <v/>
      </c>
    </row>
    <row r="17">
      <c r="A17" s="82">
        <f>IFERROR(INDEX(Team_Master!$C$6:$C$20,INT((ROW()-6)/4)+1),"")</f>
        <v/>
      </c>
      <c r="B17" s="83">
        <f>IFERROR(INDEX(Team_Master!$G$6:$G$20,INT((ROW()-6)/4)+1),"")</f>
        <v/>
      </c>
      <c r="C17" s="82">
        <f>IFERROR(INDEX(Team_Master!$E$6:$E$20,INT((ROW()-6)/4)+1),"")</f>
        <v/>
      </c>
      <c r="D17" s="93">
        <f>"Q"&amp;E17</f>
        <v/>
      </c>
      <c r="E17" s="99">
        <f>MOD(ROW()-6,4)+1</f>
        <v/>
      </c>
      <c r="F17" s="100">
        <f>IFERROR(INDEX(Target_FY!$X$6:$AA$80,MATCH($A17&amp;"|K1",Target_FY!$A$6:$A$80,0),$E17),0)</f>
        <v/>
      </c>
      <c r="G17" s="100">
        <f>IFERROR(INDEX(Actual_Monthly!$X$6:$AA$80,MATCH($A17&amp;"|K1",Actual_Monthly!$A$6:$A$80,0),$E17),0)</f>
        <v/>
      </c>
      <c r="H17" s="101">
        <f>IF(F17&lt;=0,0,G17/F17)</f>
        <v/>
      </c>
      <c r="I17" s="102">
        <f>IF(F17&lt;=0,0,IF(H17&lt;Parameters!$C$15,0,IF(H17&lt;=Parameters!$C$17,Parameters!$C$16+(H17-Parameters!$C$15)/(Parameters!$C$17-Parameters!$C$15)*(Parameters!$C$18-Parameters!$C$16),MIN(Parameters!$C$20,Parameters!$C$18+(H17-Parameters!$C$17)/(Parameters!$C$19-Parameters!$C$17)*(Parameters!$C$20-Parameters!$C$18)))))</f>
        <v/>
      </c>
      <c r="J17" s="100">
        <f>IFERROR(INDEX(Target_FY!$X$6:$AA$80,MATCH($A17&amp;"|K2",Target_FY!$A$6:$A$80,0),$E17),0)</f>
        <v/>
      </c>
      <c r="K17" s="100">
        <f>IFERROR(INDEX(Actual_Monthly!$X$6:$AA$80,MATCH($A17&amp;"|K2",Actual_Monthly!$A$6:$A$80,0),$E17),0)</f>
        <v/>
      </c>
      <c r="L17" s="101">
        <f>IF(J17&lt;=0,0,K17/J17)</f>
        <v/>
      </c>
      <c r="M17" s="102">
        <f>IF(J17&lt;=0,0,IF(L17&lt;Parameters!$C$15,0,IF(L17&lt;=Parameters!$C$17,Parameters!$C$16+(L17-Parameters!$C$15)/(Parameters!$C$17-Parameters!$C$15)*(Parameters!$C$18-Parameters!$C$16),MIN(Parameters!$C$20,Parameters!$C$18+(L17-Parameters!$C$17)/(Parameters!$C$19-Parameters!$C$17)*(Parameters!$C$20-Parameters!$C$18)))))</f>
        <v/>
      </c>
      <c r="N17" s="69">
        <f>IF((KPI_Framework!$F$6+KPI_Framework!$F$7)=0,0,(KPI_Framework!$F$6*I17+KPI_Framework!$F$7*M17)/(KPI_Framework!$F$6+KPI_Framework!$F$7))</f>
        <v/>
      </c>
      <c r="O17" s="103">
        <f>IFERROR(INDEX(Target_FY!$X$6:$AA$80,MATCH($A17&amp;"|K3",Target_FY!$A$6:$A$80,0),$E17),0)</f>
        <v/>
      </c>
      <c r="P17" s="103">
        <f>IFERROR(INDEX(Actual_Monthly!$X$6:$AA$80,MATCH($A17&amp;"|K3",Actual_Monthly!$A$6:$A$80,0),$E17),0)</f>
        <v/>
      </c>
      <c r="Q17" s="104">
        <f>IF(O17&lt;=0,0,P17/O17)</f>
        <v/>
      </c>
      <c r="R17" s="103">
        <f>IFERROR(INDEX(Target_FY!$X$6:$AA$80,MATCH($A17&amp;"|K4",Target_FY!$A$6:$A$80,0),$E17),0)</f>
        <v/>
      </c>
      <c r="S17" s="103">
        <f>IFERROR(INDEX(Actual_Monthly!$X$6:$AA$80,MATCH($A17&amp;"|K4",Actual_Monthly!$A$6:$A$80,0),$E17),0)</f>
        <v/>
      </c>
      <c r="T17" s="104">
        <f>IF(R17&lt;=0,0,S17/R17)</f>
        <v/>
      </c>
      <c r="U17" s="104">
        <f>IF((KPI_Framework!$F$8+KPI_Framework!$F$9)=0,0,(KPI_Framework!$F$8*Q17+KPI_Framework!$F$9*T17)/(KPI_Framework!$F$8+KPI_Framework!$F$9))</f>
        <v/>
      </c>
      <c r="V17" s="104">
        <f>IF((KPI_Framework!$F$8+KPI_Framework!$F$9)=0,0,(KPI_Framework!$F$8*IF(O17&lt;=0,0,IF(Q17&lt;Parameters!$C$15,0,IF(Q17&lt;=Parameters!$C$17,Parameters!$C$16+(Q17-Parameters!$C$15)/(Parameters!$C$17-Parameters!$C$15)*(Parameters!$C$18-Parameters!$C$16),MIN(Parameters!$C$20,Parameters!$C$18+(Q17-Parameters!$C$17)/(Parameters!$C$19-Parameters!$C$17)*(Parameters!$C$20-Parameters!$C$18)))))+KPI_Framework!$F$9*IF(R17&lt;=0,0,IF(T17&lt;Parameters!$C$15,0,IF(T17&lt;=Parameters!$C$17,Parameters!$C$16+(T17-Parameters!$C$15)/(Parameters!$C$17-Parameters!$C$15)*(Parameters!$C$18-Parameters!$C$16),MIN(Parameters!$C$20,Parameters!$C$18+(T17-Parameters!$C$17)/(Parameters!$C$19-Parameters!$C$17)*(Parameters!$C$20-Parameters!$C$18))))))/(KPI_Framework!$F$8+KPI_Framework!$F$9))</f>
        <v/>
      </c>
      <c r="W17" s="105">
        <f>IF(Parameters!$C$23="OFF",1,IF(U17&gt;=Parameters!$B$25,Parameters!$C$25,IF(U17&gt;=Parameters!$B$26,Parameters!$C$26,IF(U17&gt;=Parameters!$B$27,Parameters!$C$27,Parameters!$C$28))))</f>
        <v/>
      </c>
      <c r="X17" s="69">
        <f>N17*W17</f>
        <v/>
      </c>
      <c r="Y17" s="106">
        <f>IF($A17="","",IF(F17&lt;=0,"No target",IF(X17&gt;=1,"On track",IF(X17&gt;=0.8,"Watch","Behind"))))</f>
        <v/>
      </c>
      <c r="Z17" s="107">
        <f>IFERROR(INDEX(Target_FY!$X$6:$AA$80,MATCH($A17&amp;"|K5",Target_FY!$A$6:$A$80,0),$E17),0)</f>
        <v/>
      </c>
      <c r="AA17" s="107">
        <f>IFERROR(INDEX(Actual_Monthly!$X$6:$AA$80,MATCH($A17&amp;"|K5",Actual_Monthly!$A$6:$A$80,0),$E17),0)</f>
        <v/>
      </c>
      <c r="AB17" s="108">
        <f>IF(Z17&lt;=0,0,AA17/Z17)</f>
        <v/>
      </c>
    </row>
    <row r="18">
      <c r="A18" s="88">
        <f>IFERROR(INDEX(Team_Master!$C$6:$C$20,INT((ROW()-6)/4)+1),"")</f>
        <v/>
      </c>
      <c r="B18" s="89">
        <f>IFERROR(INDEX(Team_Master!$G$6:$G$20,INT((ROW()-6)/4)+1),"")</f>
        <v/>
      </c>
      <c r="C18" s="88">
        <f>IFERROR(INDEX(Team_Master!$E$6:$E$20,INT((ROW()-6)/4)+1),"")</f>
        <v/>
      </c>
      <c r="D18" s="109">
        <f>"Q"&amp;E18</f>
        <v/>
      </c>
      <c r="E18" s="110">
        <f>MOD(ROW()-6,4)+1</f>
        <v/>
      </c>
      <c r="F18" s="100">
        <f>IFERROR(INDEX(Target_FY!$X$6:$AA$80,MATCH($A18&amp;"|K1",Target_FY!$A$6:$A$80,0),$E18),0)</f>
        <v/>
      </c>
      <c r="G18" s="100">
        <f>IFERROR(INDEX(Actual_Monthly!$X$6:$AA$80,MATCH($A18&amp;"|K1",Actual_Monthly!$A$6:$A$80,0),$E18),0)</f>
        <v/>
      </c>
      <c r="H18" s="101">
        <f>IF(F18&lt;=0,0,G18/F18)</f>
        <v/>
      </c>
      <c r="I18" s="102">
        <f>IF(F18&lt;=0,0,IF(H18&lt;Parameters!$C$15,0,IF(H18&lt;=Parameters!$C$17,Parameters!$C$16+(H18-Parameters!$C$15)/(Parameters!$C$17-Parameters!$C$15)*(Parameters!$C$18-Parameters!$C$16),MIN(Parameters!$C$20,Parameters!$C$18+(H18-Parameters!$C$17)/(Parameters!$C$19-Parameters!$C$17)*(Parameters!$C$20-Parameters!$C$18)))))</f>
        <v/>
      </c>
      <c r="J18" s="100">
        <f>IFERROR(INDEX(Target_FY!$X$6:$AA$80,MATCH($A18&amp;"|K2",Target_FY!$A$6:$A$80,0),$E18),0)</f>
        <v/>
      </c>
      <c r="K18" s="100">
        <f>IFERROR(INDEX(Actual_Monthly!$X$6:$AA$80,MATCH($A18&amp;"|K2",Actual_Monthly!$A$6:$A$80,0),$E18),0)</f>
        <v/>
      </c>
      <c r="L18" s="101">
        <f>IF(J18&lt;=0,0,K18/J18)</f>
        <v/>
      </c>
      <c r="M18" s="102">
        <f>IF(J18&lt;=0,0,IF(L18&lt;Parameters!$C$15,0,IF(L18&lt;=Parameters!$C$17,Parameters!$C$16+(L18-Parameters!$C$15)/(Parameters!$C$17-Parameters!$C$15)*(Parameters!$C$18-Parameters!$C$16),MIN(Parameters!$C$20,Parameters!$C$18+(L18-Parameters!$C$17)/(Parameters!$C$19-Parameters!$C$17)*(Parameters!$C$20-Parameters!$C$18)))))</f>
        <v/>
      </c>
      <c r="N18" s="69">
        <f>IF((KPI_Framework!$F$6+KPI_Framework!$F$7)=0,0,(KPI_Framework!$F$6*I18+KPI_Framework!$F$7*M18)/(KPI_Framework!$F$6+KPI_Framework!$F$7))</f>
        <v/>
      </c>
      <c r="O18" s="103">
        <f>IFERROR(INDEX(Target_FY!$X$6:$AA$80,MATCH($A18&amp;"|K3",Target_FY!$A$6:$A$80,0),$E18),0)</f>
        <v/>
      </c>
      <c r="P18" s="103">
        <f>IFERROR(INDEX(Actual_Monthly!$X$6:$AA$80,MATCH($A18&amp;"|K3",Actual_Monthly!$A$6:$A$80,0),$E18),0)</f>
        <v/>
      </c>
      <c r="Q18" s="104">
        <f>IF(O18&lt;=0,0,P18/O18)</f>
        <v/>
      </c>
      <c r="R18" s="103">
        <f>IFERROR(INDEX(Target_FY!$X$6:$AA$80,MATCH($A18&amp;"|K4",Target_FY!$A$6:$A$80,0),$E18),0)</f>
        <v/>
      </c>
      <c r="S18" s="103">
        <f>IFERROR(INDEX(Actual_Monthly!$X$6:$AA$80,MATCH($A18&amp;"|K4",Actual_Monthly!$A$6:$A$80,0),$E18),0)</f>
        <v/>
      </c>
      <c r="T18" s="104">
        <f>IF(R18&lt;=0,0,S18/R18)</f>
        <v/>
      </c>
      <c r="U18" s="104">
        <f>IF((KPI_Framework!$F$8+KPI_Framework!$F$9)=0,0,(KPI_Framework!$F$8*Q18+KPI_Framework!$F$9*T18)/(KPI_Framework!$F$8+KPI_Framework!$F$9))</f>
        <v/>
      </c>
      <c r="V18" s="104">
        <f>IF((KPI_Framework!$F$8+KPI_Framework!$F$9)=0,0,(KPI_Framework!$F$8*IF(O18&lt;=0,0,IF(Q18&lt;Parameters!$C$15,0,IF(Q18&lt;=Parameters!$C$17,Parameters!$C$16+(Q18-Parameters!$C$15)/(Parameters!$C$17-Parameters!$C$15)*(Parameters!$C$18-Parameters!$C$16),MIN(Parameters!$C$20,Parameters!$C$18+(Q18-Parameters!$C$17)/(Parameters!$C$19-Parameters!$C$17)*(Parameters!$C$20-Parameters!$C$18)))))+KPI_Framework!$F$9*IF(R18&lt;=0,0,IF(T18&lt;Parameters!$C$15,0,IF(T18&lt;=Parameters!$C$17,Parameters!$C$16+(T18-Parameters!$C$15)/(Parameters!$C$17-Parameters!$C$15)*(Parameters!$C$18-Parameters!$C$16),MIN(Parameters!$C$20,Parameters!$C$18+(T18-Parameters!$C$17)/(Parameters!$C$19-Parameters!$C$17)*(Parameters!$C$20-Parameters!$C$18))))))/(KPI_Framework!$F$8+KPI_Framework!$F$9))</f>
        <v/>
      </c>
      <c r="W18" s="105">
        <f>IF(Parameters!$C$23="OFF",1,IF(U18&gt;=Parameters!$B$25,Parameters!$C$25,IF(U18&gt;=Parameters!$B$26,Parameters!$C$26,IF(U18&gt;=Parameters!$B$27,Parameters!$C$27,Parameters!$C$28))))</f>
        <v/>
      </c>
      <c r="X18" s="69">
        <f>N18*W18</f>
        <v/>
      </c>
      <c r="Y18" s="106">
        <f>IF($A18="","",IF(F18&lt;=0,"No target",IF(X18&gt;=1,"On track",IF(X18&gt;=0.8,"Watch","Behind"))))</f>
        <v/>
      </c>
      <c r="Z18" s="107">
        <f>IFERROR(INDEX(Target_FY!$X$6:$AA$80,MATCH($A18&amp;"|K5",Target_FY!$A$6:$A$80,0),$E18),0)</f>
        <v/>
      </c>
      <c r="AA18" s="107">
        <f>IFERROR(INDEX(Actual_Monthly!$X$6:$AA$80,MATCH($A18&amp;"|K5",Actual_Monthly!$A$6:$A$80,0),$E18),0)</f>
        <v/>
      </c>
      <c r="AB18" s="108">
        <f>IF(Z18&lt;=0,0,AA18/Z18)</f>
        <v/>
      </c>
    </row>
    <row r="19">
      <c r="A19" s="88">
        <f>IFERROR(INDEX(Team_Master!$C$6:$C$20,INT((ROW()-6)/4)+1),"")</f>
        <v/>
      </c>
      <c r="B19" s="89">
        <f>IFERROR(INDEX(Team_Master!$G$6:$G$20,INT((ROW()-6)/4)+1),"")</f>
        <v/>
      </c>
      <c r="C19" s="88">
        <f>IFERROR(INDEX(Team_Master!$E$6:$E$20,INT((ROW()-6)/4)+1),"")</f>
        <v/>
      </c>
      <c r="D19" s="109">
        <f>"Q"&amp;E19</f>
        <v/>
      </c>
      <c r="E19" s="110">
        <f>MOD(ROW()-6,4)+1</f>
        <v/>
      </c>
      <c r="F19" s="100">
        <f>IFERROR(INDEX(Target_FY!$X$6:$AA$80,MATCH($A19&amp;"|K1",Target_FY!$A$6:$A$80,0),$E19),0)</f>
        <v/>
      </c>
      <c r="G19" s="100">
        <f>IFERROR(INDEX(Actual_Monthly!$X$6:$AA$80,MATCH($A19&amp;"|K1",Actual_Monthly!$A$6:$A$80,0),$E19),0)</f>
        <v/>
      </c>
      <c r="H19" s="101">
        <f>IF(F19&lt;=0,0,G19/F19)</f>
        <v/>
      </c>
      <c r="I19" s="102">
        <f>IF(F19&lt;=0,0,IF(H19&lt;Parameters!$C$15,0,IF(H19&lt;=Parameters!$C$17,Parameters!$C$16+(H19-Parameters!$C$15)/(Parameters!$C$17-Parameters!$C$15)*(Parameters!$C$18-Parameters!$C$16),MIN(Parameters!$C$20,Parameters!$C$18+(H19-Parameters!$C$17)/(Parameters!$C$19-Parameters!$C$17)*(Parameters!$C$20-Parameters!$C$18)))))</f>
        <v/>
      </c>
      <c r="J19" s="100">
        <f>IFERROR(INDEX(Target_FY!$X$6:$AA$80,MATCH($A19&amp;"|K2",Target_FY!$A$6:$A$80,0),$E19),0)</f>
        <v/>
      </c>
      <c r="K19" s="100">
        <f>IFERROR(INDEX(Actual_Monthly!$X$6:$AA$80,MATCH($A19&amp;"|K2",Actual_Monthly!$A$6:$A$80,0),$E19),0)</f>
        <v/>
      </c>
      <c r="L19" s="101">
        <f>IF(J19&lt;=0,0,K19/J19)</f>
        <v/>
      </c>
      <c r="M19" s="102">
        <f>IF(J19&lt;=0,0,IF(L19&lt;Parameters!$C$15,0,IF(L19&lt;=Parameters!$C$17,Parameters!$C$16+(L19-Parameters!$C$15)/(Parameters!$C$17-Parameters!$C$15)*(Parameters!$C$18-Parameters!$C$16),MIN(Parameters!$C$20,Parameters!$C$18+(L19-Parameters!$C$17)/(Parameters!$C$19-Parameters!$C$17)*(Parameters!$C$20-Parameters!$C$18)))))</f>
        <v/>
      </c>
      <c r="N19" s="69">
        <f>IF((KPI_Framework!$F$6+KPI_Framework!$F$7)=0,0,(KPI_Framework!$F$6*I19+KPI_Framework!$F$7*M19)/(KPI_Framework!$F$6+KPI_Framework!$F$7))</f>
        <v/>
      </c>
      <c r="O19" s="103">
        <f>IFERROR(INDEX(Target_FY!$X$6:$AA$80,MATCH($A19&amp;"|K3",Target_FY!$A$6:$A$80,0),$E19),0)</f>
        <v/>
      </c>
      <c r="P19" s="103">
        <f>IFERROR(INDEX(Actual_Monthly!$X$6:$AA$80,MATCH($A19&amp;"|K3",Actual_Monthly!$A$6:$A$80,0),$E19),0)</f>
        <v/>
      </c>
      <c r="Q19" s="104">
        <f>IF(O19&lt;=0,0,P19/O19)</f>
        <v/>
      </c>
      <c r="R19" s="103">
        <f>IFERROR(INDEX(Target_FY!$X$6:$AA$80,MATCH($A19&amp;"|K4",Target_FY!$A$6:$A$80,0),$E19),0)</f>
        <v/>
      </c>
      <c r="S19" s="103">
        <f>IFERROR(INDEX(Actual_Monthly!$X$6:$AA$80,MATCH($A19&amp;"|K4",Actual_Monthly!$A$6:$A$80,0),$E19),0)</f>
        <v/>
      </c>
      <c r="T19" s="104">
        <f>IF(R19&lt;=0,0,S19/R19)</f>
        <v/>
      </c>
      <c r="U19" s="104">
        <f>IF((KPI_Framework!$F$8+KPI_Framework!$F$9)=0,0,(KPI_Framework!$F$8*Q19+KPI_Framework!$F$9*T19)/(KPI_Framework!$F$8+KPI_Framework!$F$9))</f>
        <v/>
      </c>
      <c r="V19" s="104">
        <f>IF((KPI_Framework!$F$8+KPI_Framework!$F$9)=0,0,(KPI_Framework!$F$8*IF(O19&lt;=0,0,IF(Q19&lt;Parameters!$C$15,0,IF(Q19&lt;=Parameters!$C$17,Parameters!$C$16+(Q19-Parameters!$C$15)/(Parameters!$C$17-Parameters!$C$15)*(Parameters!$C$18-Parameters!$C$16),MIN(Parameters!$C$20,Parameters!$C$18+(Q19-Parameters!$C$17)/(Parameters!$C$19-Parameters!$C$17)*(Parameters!$C$20-Parameters!$C$18)))))+KPI_Framework!$F$9*IF(R19&lt;=0,0,IF(T19&lt;Parameters!$C$15,0,IF(T19&lt;=Parameters!$C$17,Parameters!$C$16+(T19-Parameters!$C$15)/(Parameters!$C$17-Parameters!$C$15)*(Parameters!$C$18-Parameters!$C$16),MIN(Parameters!$C$20,Parameters!$C$18+(T19-Parameters!$C$17)/(Parameters!$C$19-Parameters!$C$17)*(Parameters!$C$20-Parameters!$C$18))))))/(KPI_Framework!$F$8+KPI_Framework!$F$9))</f>
        <v/>
      </c>
      <c r="W19" s="105">
        <f>IF(Parameters!$C$23="OFF",1,IF(U19&gt;=Parameters!$B$25,Parameters!$C$25,IF(U19&gt;=Parameters!$B$26,Parameters!$C$26,IF(U19&gt;=Parameters!$B$27,Parameters!$C$27,Parameters!$C$28))))</f>
        <v/>
      </c>
      <c r="X19" s="69">
        <f>N19*W19</f>
        <v/>
      </c>
      <c r="Y19" s="106">
        <f>IF($A19="","",IF(F19&lt;=0,"No target",IF(X19&gt;=1,"On track",IF(X19&gt;=0.8,"Watch","Behind"))))</f>
        <v/>
      </c>
      <c r="Z19" s="107">
        <f>IFERROR(INDEX(Target_FY!$X$6:$AA$80,MATCH($A19&amp;"|K5",Target_FY!$A$6:$A$80,0),$E19),0)</f>
        <v/>
      </c>
      <c r="AA19" s="107">
        <f>IFERROR(INDEX(Actual_Monthly!$X$6:$AA$80,MATCH($A19&amp;"|K5",Actual_Monthly!$A$6:$A$80,0),$E19),0)</f>
        <v/>
      </c>
      <c r="AB19" s="108">
        <f>IF(Z19&lt;=0,0,AA19/Z19)</f>
        <v/>
      </c>
    </row>
    <row r="20">
      <c r="A20" s="88">
        <f>IFERROR(INDEX(Team_Master!$C$6:$C$20,INT((ROW()-6)/4)+1),"")</f>
        <v/>
      </c>
      <c r="B20" s="89">
        <f>IFERROR(INDEX(Team_Master!$G$6:$G$20,INT((ROW()-6)/4)+1),"")</f>
        <v/>
      </c>
      <c r="C20" s="88">
        <f>IFERROR(INDEX(Team_Master!$E$6:$E$20,INT((ROW()-6)/4)+1),"")</f>
        <v/>
      </c>
      <c r="D20" s="109">
        <f>"Q"&amp;E20</f>
        <v/>
      </c>
      <c r="E20" s="110">
        <f>MOD(ROW()-6,4)+1</f>
        <v/>
      </c>
      <c r="F20" s="100">
        <f>IFERROR(INDEX(Target_FY!$X$6:$AA$80,MATCH($A20&amp;"|K1",Target_FY!$A$6:$A$80,0),$E20),0)</f>
        <v/>
      </c>
      <c r="G20" s="100">
        <f>IFERROR(INDEX(Actual_Monthly!$X$6:$AA$80,MATCH($A20&amp;"|K1",Actual_Monthly!$A$6:$A$80,0),$E20),0)</f>
        <v/>
      </c>
      <c r="H20" s="101">
        <f>IF(F20&lt;=0,0,G20/F20)</f>
        <v/>
      </c>
      <c r="I20" s="102">
        <f>IF(F20&lt;=0,0,IF(H20&lt;Parameters!$C$15,0,IF(H20&lt;=Parameters!$C$17,Parameters!$C$16+(H20-Parameters!$C$15)/(Parameters!$C$17-Parameters!$C$15)*(Parameters!$C$18-Parameters!$C$16),MIN(Parameters!$C$20,Parameters!$C$18+(H20-Parameters!$C$17)/(Parameters!$C$19-Parameters!$C$17)*(Parameters!$C$20-Parameters!$C$18)))))</f>
        <v/>
      </c>
      <c r="J20" s="100">
        <f>IFERROR(INDEX(Target_FY!$X$6:$AA$80,MATCH($A20&amp;"|K2",Target_FY!$A$6:$A$80,0),$E20),0)</f>
        <v/>
      </c>
      <c r="K20" s="100">
        <f>IFERROR(INDEX(Actual_Monthly!$X$6:$AA$80,MATCH($A20&amp;"|K2",Actual_Monthly!$A$6:$A$80,0),$E20),0)</f>
        <v/>
      </c>
      <c r="L20" s="101">
        <f>IF(J20&lt;=0,0,K20/J20)</f>
        <v/>
      </c>
      <c r="M20" s="102">
        <f>IF(J20&lt;=0,0,IF(L20&lt;Parameters!$C$15,0,IF(L20&lt;=Parameters!$C$17,Parameters!$C$16+(L20-Parameters!$C$15)/(Parameters!$C$17-Parameters!$C$15)*(Parameters!$C$18-Parameters!$C$16),MIN(Parameters!$C$20,Parameters!$C$18+(L20-Parameters!$C$17)/(Parameters!$C$19-Parameters!$C$17)*(Parameters!$C$20-Parameters!$C$18)))))</f>
        <v/>
      </c>
      <c r="N20" s="69">
        <f>IF((KPI_Framework!$F$6+KPI_Framework!$F$7)=0,0,(KPI_Framework!$F$6*I20+KPI_Framework!$F$7*M20)/(KPI_Framework!$F$6+KPI_Framework!$F$7))</f>
        <v/>
      </c>
      <c r="O20" s="103">
        <f>IFERROR(INDEX(Target_FY!$X$6:$AA$80,MATCH($A20&amp;"|K3",Target_FY!$A$6:$A$80,0),$E20),0)</f>
        <v/>
      </c>
      <c r="P20" s="103">
        <f>IFERROR(INDEX(Actual_Monthly!$X$6:$AA$80,MATCH($A20&amp;"|K3",Actual_Monthly!$A$6:$A$80,0),$E20),0)</f>
        <v/>
      </c>
      <c r="Q20" s="104">
        <f>IF(O20&lt;=0,0,P20/O20)</f>
        <v/>
      </c>
      <c r="R20" s="103">
        <f>IFERROR(INDEX(Target_FY!$X$6:$AA$80,MATCH($A20&amp;"|K4",Target_FY!$A$6:$A$80,0),$E20),0)</f>
        <v/>
      </c>
      <c r="S20" s="103">
        <f>IFERROR(INDEX(Actual_Monthly!$X$6:$AA$80,MATCH($A20&amp;"|K4",Actual_Monthly!$A$6:$A$80,0),$E20),0)</f>
        <v/>
      </c>
      <c r="T20" s="104">
        <f>IF(R20&lt;=0,0,S20/R20)</f>
        <v/>
      </c>
      <c r="U20" s="104">
        <f>IF((KPI_Framework!$F$8+KPI_Framework!$F$9)=0,0,(KPI_Framework!$F$8*Q20+KPI_Framework!$F$9*T20)/(KPI_Framework!$F$8+KPI_Framework!$F$9))</f>
        <v/>
      </c>
      <c r="V20" s="104">
        <f>IF((KPI_Framework!$F$8+KPI_Framework!$F$9)=0,0,(KPI_Framework!$F$8*IF(O20&lt;=0,0,IF(Q20&lt;Parameters!$C$15,0,IF(Q20&lt;=Parameters!$C$17,Parameters!$C$16+(Q20-Parameters!$C$15)/(Parameters!$C$17-Parameters!$C$15)*(Parameters!$C$18-Parameters!$C$16),MIN(Parameters!$C$20,Parameters!$C$18+(Q20-Parameters!$C$17)/(Parameters!$C$19-Parameters!$C$17)*(Parameters!$C$20-Parameters!$C$18)))))+KPI_Framework!$F$9*IF(R20&lt;=0,0,IF(T20&lt;Parameters!$C$15,0,IF(T20&lt;=Parameters!$C$17,Parameters!$C$16+(T20-Parameters!$C$15)/(Parameters!$C$17-Parameters!$C$15)*(Parameters!$C$18-Parameters!$C$16),MIN(Parameters!$C$20,Parameters!$C$18+(T20-Parameters!$C$17)/(Parameters!$C$19-Parameters!$C$17)*(Parameters!$C$20-Parameters!$C$18))))))/(KPI_Framework!$F$8+KPI_Framework!$F$9))</f>
        <v/>
      </c>
      <c r="W20" s="105">
        <f>IF(Parameters!$C$23="OFF",1,IF(U20&gt;=Parameters!$B$25,Parameters!$C$25,IF(U20&gt;=Parameters!$B$26,Parameters!$C$26,IF(U20&gt;=Parameters!$B$27,Parameters!$C$27,Parameters!$C$28))))</f>
        <v/>
      </c>
      <c r="X20" s="69">
        <f>N20*W20</f>
        <v/>
      </c>
      <c r="Y20" s="106">
        <f>IF($A20="","",IF(F20&lt;=0,"No target",IF(X20&gt;=1,"On track",IF(X20&gt;=0.8,"Watch","Behind"))))</f>
        <v/>
      </c>
      <c r="Z20" s="107">
        <f>IFERROR(INDEX(Target_FY!$X$6:$AA$80,MATCH($A20&amp;"|K5",Target_FY!$A$6:$A$80,0),$E20),0)</f>
        <v/>
      </c>
      <c r="AA20" s="107">
        <f>IFERROR(INDEX(Actual_Monthly!$X$6:$AA$80,MATCH($A20&amp;"|K5",Actual_Monthly!$A$6:$A$80,0),$E20),0)</f>
        <v/>
      </c>
      <c r="AB20" s="108">
        <f>IF(Z20&lt;=0,0,AA20/Z20)</f>
        <v/>
      </c>
    </row>
    <row r="21">
      <c r="A21" s="88">
        <f>IFERROR(INDEX(Team_Master!$C$6:$C$20,INT((ROW()-6)/4)+1),"")</f>
        <v/>
      </c>
      <c r="B21" s="89">
        <f>IFERROR(INDEX(Team_Master!$G$6:$G$20,INT((ROW()-6)/4)+1),"")</f>
        <v/>
      </c>
      <c r="C21" s="88">
        <f>IFERROR(INDEX(Team_Master!$E$6:$E$20,INT((ROW()-6)/4)+1),"")</f>
        <v/>
      </c>
      <c r="D21" s="109">
        <f>"Q"&amp;E21</f>
        <v/>
      </c>
      <c r="E21" s="110">
        <f>MOD(ROW()-6,4)+1</f>
        <v/>
      </c>
      <c r="F21" s="100">
        <f>IFERROR(INDEX(Target_FY!$X$6:$AA$80,MATCH($A21&amp;"|K1",Target_FY!$A$6:$A$80,0),$E21),0)</f>
        <v/>
      </c>
      <c r="G21" s="100">
        <f>IFERROR(INDEX(Actual_Monthly!$X$6:$AA$80,MATCH($A21&amp;"|K1",Actual_Monthly!$A$6:$A$80,0),$E21),0)</f>
        <v/>
      </c>
      <c r="H21" s="101">
        <f>IF(F21&lt;=0,0,G21/F21)</f>
        <v/>
      </c>
      <c r="I21" s="102">
        <f>IF(F21&lt;=0,0,IF(H21&lt;Parameters!$C$15,0,IF(H21&lt;=Parameters!$C$17,Parameters!$C$16+(H21-Parameters!$C$15)/(Parameters!$C$17-Parameters!$C$15)*(Parameters!$C$18-Parameters!$C$16),MIN(Parameters!$C$20,Parameters!$C$18+(H21-Parameters!$C$17)/(Parameters!$C$19-Parameters!$C$17)*(Parameters!$C$20-Parameters!$C$18)))))</f>
        <v/>
      </c>
      <c r="J21" s="100">
        <f>IFERROR(INDEX(Target_FY!$X$6:$AA$80,MATCH($A21&amp;"|K2",Target_FY!$A$6:$A$80,0),$E21),0)</f>
        <v/>
      </c>
      <c r="K21" s="100">
        <f>IFERROR(INDEX(Actual_Monthly!$X$6:$AA$80,MATCH($A21&amp;"|K2",Actual_Monthly!$A$6:$A$80,0),$E21),0)</f>
        <v/>
      </c>
      <c r="L21" s="101">
        <f>IF(J21&lt;=0,0,K21/J21)</f>
        <v/>
      </c>
      <c r="M21" s="102">
        <f>IF(J21&lt;=0,0,IF(L21&lt;Parameters!$C$15,0,IF(L21&lt;=Parameters!$C$17,Parameters!$C$16+(L21-Parameters!$C$15)/(Parameters!$C$17-Parameters!$C$15)*(Parameters!$C$18-Parameters!$C$16),MIN(Parameters!$C$20,Parameters!$C$18+(L21-Parameters!$C$17)/(Parameters!$C$19-Parameters!$C$17)*(Parameters!$C$20-Parameters!$C$18)))))</f>
        <v/>
      </c>
      <c r="N21" s="69">
        <f>IF((KPI_Framework!$F$6+KPI_Framework!$F$7)=0,0,(KPI_Framework!$F$6*I21+KPI_Framework!$F$7*M21)/(KPI_Framework!$F$6+KPI_Framework!$F$7))</f>
        <v/>
      </c>
      <c r="O21" s="103">
        <f>IFERROR(INDEX(Target_FY!$X$6:$AA$80,MATCH($A21&amp;"|K3",Target_FY!$A$6:$A$80,0),$E21),0)</f>
        <v/>
      </c>
      <c r="P21" s="103">
        <f>IFERROR(INDEX(Actual_Monthly!$X$6:$AA$80,MATCH($A21&amp;"|K3",Actual_Monthly!$A$6:$A$80,0),$E21),0)</f>
        <v/>
      </c>
      <c r="Q21" s="104">
        <f>IF(O21&lt;=0,0,P21/O21)</f>
        <v/>
      </c>
      <c r="R21" s="103">
        <f>IFERROR(INDEX(Target_FY!$X$6:$AA$80,MATCH($A21&amp;"|K4",Target_FY!$A$6:$A$80,0),$E21),0)</f>
        <v/>
      </c>
      <c r="S21" s="103">
        <f>IFERROR(INDEX(Actual_Monthly!$X$6:$AA$80,MATCH($A21&amp;"|K4",Actual_Monthly!$A$6:$A$80,0),$E21),0)</f>
        <v/>
      </c>
      <c r="T21" s="104">
        <f>IF(R21&lt;=0,0,S21/R21)</f>
        <v/>
      </c>
      <c r="U21" s="104">
        <f>IF((KPI_Framework!$F$8+KPI_Framework!$F$9)=0,0,(KPI_Framework!$F$8*Q21+KPI_Framework!$F$9*T21)/(KPI_Framework!$F$8+KPI_Framework!$F$9))</f>
        <v/>
      </c>
      <c r="V21" s="104">
        <f>IF((KPI_Framework!$F$8+KPI_Framework!$F$9)=0,0,(KPI_Framework!$F$8*IF(O21&lt;=0,0,IF(Q21&lt;Parameters!$C$15,0,IF(Q21&lt;=Parameters!$C$17,Parameters!$C$16+(Q21-Parameters!$C$15)/(Parameters!$C$17-Parameters!$C$15)*(Parameters!$C$18-Parameters!$C$16),MIN(Parameters!$C$20,Parameters!$C$18+(Q21-Parameters!$C$17)/(Parameters!$C$19-Parameters!$C$17)*(Parameters!$C$20-Parameters!$C$18)))))+KPI_Framework!$F$9*IF(R21&lt;=0,0,IF(T21&lt;Parameters!$C$15,0,IF(T21&lt;=Parameters!$C$17,Parameters!$C$16+(T21-Parameters!$C$15)/(Parameters!$C$17-Parameters!$C$15)*(Parameters!$C$18-Parameters!$C$16),MIN(Parameters!$C$20,Parameters!$C$18+(T21-Parameters!$C$17)/(Parameters!$C$19-Parameters!$C$17)*(Parameters!$C$20-Parameters!$C$18))))))/(KPI_Framework!$F$8+KPI_Framework!$F$9))</f>
        <v/>
      </c>
      <c r="W21" s="105">
        <f>IF(Parameters!$C$23="OFF",1,IF(U21&gt;=Parameters!$B$25,Parameters!$C$25,IF(U21&gt;=Parameters!$B$26,Parameters!$C$26,IF(U21&gt;=Parameters!$B$27,Parameters!$C$27,Parameters!$C$28))))</f>
        <v/>
      </c>
      <c r="X21" s="69">
        <f>N21*W21</f>
        <v/>
      </c>
      <c r="Y21" s="106">
        <f>IF($A21="","",IF(F21&lt;=0,"No target",IF(X21&gt;=1,"On track",IF(X21&gt;=0.8,"Watch","Behind"))))</f>
        <v/>
      </c>
      <c r="Z21" s="107">
        <f>IFERROR(INDEX(Target_FY!$X$6:$AA$80,MATCH($A21&amp;"|K5",Target_FY!$A$6:$A$80,0),$E21),0)</f>
        <v/>
      </c>
      <c r="AA21" s="107">
        <f>IFERROR(INDEX(Actual_Monthly!$X$6:$AA$80,MATCH($A21&amp;"|K5",Actual_Monthly!$A$6:$A$80,0),$E21),0)</f>
        <v/>
      </c>
      <c r="AB21" s="108">
        <f>IF(Z21&lt;=0,0,AA21/Z21)</f>
        <v/>
      </c>
    </row>
    <row r="22">
      <c r="A22" s="82">
        <f>IFERROR(INDEX(Team_Master!$C$6:$C$20,INT((ROW()-6)/4)+1),"")</f>
        <v/>
      </c>
      <c r="B22" s="83">
        <f>IFERROR(INDEX(Team_Master!$G$6:$G$20,INT((ROW()-6)/4)+1),"")</f>
        <v/>
      </c>
      <c r="C22" s="82">
        <f>IFERROR(INDEX(Team_Master!$E$6:$E$20,INT((ROW()-6)/4)+1),"")</f>
        <v/>
      </c>
      <c r="D22" s="93">
        <f>"Q"&amp;E22</f>
        <v/>
      </c>
      <c r="E22" s="99">
        <f>MOD(ROW()-6,4)+1</f>
        <v/>
      </c>
      <c r="F22" s="100">
        <f>IFERROR(INDEX(Target_FY!$X$6:$AA$80,MATCH($A22&amp;"|K1",Target_FY!$A$6:$A$80,0),$E22),0)</f>
        <v/>
      </c>
      <c r="G22" s="100">
        <f>IFERROR(INDEX(Actual_Monthly!$X$6:$AA$80,MATCH($A22&amp;"|K1",Actual_Monthly!$A$6:$A$80,0),$E22),0)</f>
        <v/>
      </c>
      <c r="H22" s="101">
        <f>IF(F22&lt;=0,0,G22/F22)</f>
        <v/>
      </c>
      <c r="I22" s="102">
        <f>IF(F22&lt;=0,0,IF(H22&lt;Parameters!$C$15,0,IF(H22&lt;=Parameters!$C$17,Parameters!$C$16+(H22-Parameters!$C$15)/(Parameters!$C$17-Parameters!$C$15)*(Parameters!$C$18-Parameters!$C$16),MIN(Parameters!$C$20,Parameters!$C$18+(H22-Parameters!$C$17)/(Parameters!$C$19-Parameters!$C$17)*(Parameters!$C$20-Parameters!$C$18)))))</f>
        <v/>
      </c>
      <c r="J22" s="100">
        <f>IFERROR(INDEX(Target_FY!$X$6:$AA$80,MATCH($A22&amp;"|K2",Target_FY!$A$6:$A$80,0),$E22),0)</f>
        <v/>
      </c>
      <c r="K22" s="100">
        <f>IFERROR(INDEX(Actual_Monthly!$X$6:$AA$80,MATCH($A22&amp;"|K2",Actual_Monthly!$A$6:$A$80,0),$E22),0)</f>
        <v/>
      </c>
      <c r="L22" s="101">
        <f>IF(J22&lt;=0,0,K22/J22)</f>
        <v/>
      </c>
      <c r="M22" s="102">
        <f>IF(J22&lt;=0,0,IF(L22&lt;Parameters!$C$15,0,IF(L22&lt;=Parameters!$C$17,Parameters!$C$16+(L22-Parameters!$C$15)/(Parameters!$C$17-Parameters!$C$15)*(Parameters!$C$18-Parameters!$C$16),MIN(Parameters!$C$20,Parameters!$C$18+(L22-Parameters!$C$17)/(Parameters!$C$19-Parameters!$C$17)*(Parameters!$C$20-Parameters!$C$18)))))</f>
        <v/>
      </c>
      <c r="N22" s="69">
        <f>IF((KPI_Framework!$F$6+KPI_Framework!$F$7)=0,0,(KPI_Framework!$F$6*I22+KPI_Framework!$F$7*M22)/(KPI_Framework!$F$6+KPI_Framework!$F$7))</f>
        <v/>
      </c>
      <c r="O22" s="103">
        <f>IFERROR(INDEX(Target_FY!$X$6:$AA$80,MATCH($A22&amp;"|K3",Target_FY!$A$6:$A$80,0),$E22),0)</f>
        <v/>
      </c>
      <c r="P22" s="103">
        <f>IFERROR(INDEX(Actual_Monthly!$X$6:$AA$80,MATCH($A22&amp;"|K3",Actual_Monthly!$A$6:$A$80,0),$E22),0)</f>
        <v/>
      </c>
      <c r="Q22" s="104">
        <f>IF(O22&lt;=0,0,P22/O22)</f>
        <v/>
      </c>
      <c r="R22" s="103">
        <f>IFERROR(INDEX(Target_FY!$X$6:$AA$80,MATCH($A22&amp;"|K4",Target_FY!$A$6:$A$80,0),$E22),0)</f>
        <v/>
      </c>
      <c r="S22" s="103">
        <f>IFERROR(INDEX(Actual_Monthly!$X$6:$AA$80,MATCH($A22&amp;"|K4",Actual_Monthly!$A$6:$A$80,0),$E22),0)</f>
        <v/>
      </c>
      <c r="T22" s="104">
        <f>IF(R22&lt;=0,0,S22/R22)</f>
        <v/>
      </c>
      <c r="U22" s="104">
        <f>IF((KPI_Framework!$F$8+KPI_Framework!$F$9)=0,0,(KPI_Framework!$F$8*Q22+KPI_Framework!$F$9*T22)/(KPI_Framework!$F$8+KPI_Framework!$F$9))</f>
        <v/>
      </c>
      <c r="V22" s="104">
        <f>IF((KPI_Framework!$F$8+KPI_Framework!$F$9)=0,0,(KPI_Framework!$F$8*IF(O22&lt;=0,0,IF(Q22&lt;Parameters!$C$15,0,IF(Q22&lt;=Parameters!$C$17,Parameters!$C$16+(Q22-Parameters!$C$15)/(Parameters!$C$17-Parameters!$C$15)*(Parameters!$C$18-Parameters!$C$16),MIN(Parameters!$C$20,Parameters!$C$18+(Q22-Parameters!$C$17)/(Parameters!$C$19-Parameters!$C$17)*(Parameters!$C$20-Parameters!$C$18)))))+KPI_Framework!$F$9*IF(R22&lt;=0,0,IF(T22&lt;Parameters!$C$15,0,IF(T22&lt;=Parameters!$C$17,Parameters!$C$16+(T22-Parameters!$C$15)/(Parameters!$C$17-Parameters!$C$15)*(Parameters!$C$18-Parameters!$C$16),MIN(Parameters!$C$20,Parameters!$C$18+(T22-Parameters!$C$17)/(Parameters!$C$19-Parameters!$C$17)*(Parameters!$C$20-Parameters!$C$18))))))/(KPI_Framework!$F$8+KPI_Framework!$F$9))</f>
        <v/>
      </c>
      <c r="W22" s="105">
        <f>IF(Parameters!$C$23="OFF",1,IF(U22&gt;=Parameters!$B$25,Parameters!$C$25,IF(U22&gt;=Parameters!$B$26,Parameters!$C$26,IF(U22&gt;=Parameters!$B$27,Parameters!$C$27,Parameters!$C$28))))</f>
        <v/>
      </c>
      <c r="X22" s="69">
        <f>N22*W22</f>
        <v/>
      </c>
      <c r="Y22" s="106">
        <f>IF($A22="","",IF(F22&lt;=0,"No target",IF(X22&gt;=1,"On track",IF(X22&gt;=0.8,"Watch","Behind"))))</f>
        <v/>
      </c>
      <c r="Z22" s="107">
        <f>IFERROR(INDEX(Target_FY!$X$6:$AA$80,MATCH($A22&amp;"|K5",Target_FY!$A$6:$A$80,0),$E22),0)</f>
        <v/>
      </c>
      <c r="AA22" s="107">
        <f>IFERROR(INDEX(Actual_Monthly!$X$6:$AA$80,MATCH($A22&amp;"|K5",Actual_Monthly!$A$6:$A$80,0),$E22),0)</f>
        <v/>
      </c>
      <c r="AB22" s="108">
        <f>IF(Z22&lt;=0,0,AA22/Z22)</f>
        <v/>
      </c>
    </row>
    <row r="23">
      <c r="A23" s="82">
        <f>IFERROR(INDEX(Team_Master!$C$6:$C$20,INT((ROW()-6)/4)+1),"")</f>
        <v/>
      </c>
      <c r="B23" s="83">
        <f>IFERROR(INDEX(Team_Master!$G$6:$G$20,INT((ROW()-6)/4)+1),"")</f>
        <v/>
      </c>
      <c r="C23" s="82">
        <f>IFERROR(INDEX(Team_Master!$E$6:$E$20,INT((ROW()-6)/4)+1),"")</f>
        <v/>
      </c>
      <c r="D23" s="93">
        <f>"Q"&amp;E23</f>
        <v/>
      </c>
      <c r="E23" s="99">
        <f>MOD(ROW()-6,4)+1</f>
        <v/>
      </c>
      <c r="F23" s="100">
        <f>IFERROR(INDEX(Target_FY!$X$6:$AA$80,MATCH($A23&amp;"|K1",Target_FY!$A$6:$A$80,0),$E23),0)</f>
        <v/>
      </c>
      <c r="G23" s="100">
        <f>IFERROR(INDEX(Actual_Monthly!$X$6:$AA$80,MATCH($A23&amp;"|K1",Actual_Monthly!$A$6:$A$80,0),$E23),0)</f>
        <v/>
      </c>
      <c r="H23" s="101">
        <f>IF(F23&lt;=0,0,G23/F23)</f>
        <v/>
      </c>
      <c r="I23" s="102">
        <f>IF(F23&lt;=0,0,IF(H23&lt;Parameters!$C$15,0,IF(H23&lt;=Parameters!$C$17,Parameters!$C$16+(H23-Parameters!$C$15)/(Parameters!$C$17-Parameters!$C$15)*(Parameters!$C$18-Parameters!$C$16),MIN(Parameters!$C$20,Parameters!$C$18+(H23-Parameters!$C$17)/(Parameters!$C$19-Parameters!$C$17)*(Parameters!$C$20-Parameters!$C$18)))))</f>
        <v/>
      </c>
      <c r="J23" s="100">
        <f>IFERROR(INDEX(Target_FY!$X$6:$AA$80,MATCH($A23&amp;"|K2",Target_FY!$A$6:$A$80,0),$E23),0)</f>
        <v/>
      </c>
      <c r="K23" s="100">
        <f>IFERROR(INDEX(Actual_Monthly!$X$6:$AA$80,MATCH($A23&amp;"|K2",Actual_Monthly!$A$6:$A$80,0),$E23),0)</f>
        <v/>
      </c>
      <c r="L23" s="101">
        <f>IF(J23&lt;=0,0,K23/J23)</f>
        <v/>
      </c>
      <c r="M23" s="102">
        <f>IF(J23&lt;=0,0,IF(L23&lt;Parameters!$C$15,0,IF(L23&lt;=Parameters!$C$17,Parameters!$C$16+(L23-Parameters!$C$15)/(Parameters!$C$17-Parameters!$C$15)*(Parameters!$C$18-Parameters!$C$16),MIN(Parameters!$C$20,Parameters!$C$18+(L23-Parameters!$C$17)/(Parameters!$C$19-Parameters!$C$17)*(Parameters!$C$20-Parameters!$C$18)))))</f>
        <v/>
      </c>
      <c r="N23" s="69">
        <f>IF((KPI_Framework!$F$6+KPI_Framework!$F$7)=0,0,(KPI_Framework!$F$6*I23+KPI_Framework!$F$7*M23)/(KPI_Framework!$F$6+KPI_Framework!$F$7))</f>
        <v/>
      </c>
      <c r="O23" s="103">
        <f>IFERROR(INDEX(Target_FY!$X$6:$AA$80,MATCH($A23&amp;"|K3",Target_FY!$A$6:$A$80,0),$E23),0)</f>
        <v/>
      </c>
      <c r="P23" s="103">
        <f>IFERROR(INDEX(Actual_Monthly!$X$6:$AA$80,MATCH($A23&amp;"|K3",Actual_Monthly!$A$6:$A$80,0),$E23),0)</f>
        <v/>
      </c>
      <c r="Q23" s="104">
        <f>IF(O23&lt;=0,0,P23/O23)</f>
        <v/>
      </c>
      <c r="R23" s="103">
        <f>IFERROR(INDEX(Target_FY!$X$6:$AA$80,MATCH($A23&amp;"|K4",Target_FY!$A$6:$A$80,0),$E23),0)</f>
        <v/>
      </c>
      <c r="S23" s="103">
        <f>IFERROR(INDEX(Actual_Monthly!$X$6:$AA$80,MATCH($A23&amp;"|K4",Actual_Monthly!$A$6:$A$80,0),$E23),0)</f>
        <v/>
      </c>
      <c r="T23" s="104">
        <f>IF(R23&lt;=0,0,S23/R23)</f>
        <v/>
      </c>
      <c r="U23" s="104">
        <f>IF((KPI_Framework!$F$8+KPI_Framework!$F$9)=0,0,(KPI_Framework!$F$8*Q23+KPI_Framework!$F$9*T23)/(KPI_Framework!$F$8+KPI_Framework!$F$9))</f>
        <v/>
      </c>
      <c r="V23" s="104">
        <f>IF((KPI_Framework!$F$8+KPI_Framework!$F$9)=0,0,(KPI_Framework!$F$8*IF(O23&lt;=0,0,IF(Q23&lt;Parameters!$C$15,0,IF(Q23&lt;=Parameters!$C$17,Parameters!$C$16+(Q23-Parameters!$C$15)/(Parameters!$C$17-Parameters!$C$15)*(Parameters!$C$18-Parameters!$C$16),MIN(Parameters!$C$20,Parameters!$C$18+(Q23-Parameters!$C$17)/(Parameters!$C$19-Parameters!$C$17)*(Parameters!$C$20-Parameters!$C$18)))))+KPI_Framework!$F$9*IF(R23&lt;=0,0,IF(T23&lt;Parameters!$C$15,0,IF(T23&lt;=Parameters!$C$17,Parameters!$C$16+(T23-Parameters!$C$15)/(Parameters!$C$17-Parameters!$C$15)*(Parameters!$C$18-Parameters!$C$16),MIN(Parameters!$C$20,Parameters!$C$18+(T23-Parameters!$C$17)/(Parameters!$C$19-Parameters!$C$17)*(Parameters!$C$20-Parameters!$C$18))))))/(KPI_Framework!$F$8+KPI_Framework!$F$9))</f>
        <v/>
      </c>
      <c r="W23" s="105">
        <f>IF(Parameters!$C$23="OFF",1,IF(U23&gt;=Parameters!$B$25,Parameters!$C$25,IF(U23&gt;=Parameters!$B$26,Parameters!$C$26,IF(U23&gt;=Parameters!$B$27,Parameters!$C$27,Parameters!$C$28))))</f>
        <v/>
      </c>
      <c r="X23" s="69">
        <f>N23*W23</f>
        <v/>
      </c>
      <c r="Y23" s="106">
        <f>IF($A23="","",IF(F23&lt;=0,"No target",IF(X23&gt;=1,"On track",IF(X23&gt;=0.8,"Watch","Behind"))))</f>
        <v/>
      </c>
      <c r="Z23" s="107">
        <f>IFERROR(INDEX(Target_FY!$X$6:$AA$80,MATCH($A23&amp;"|K5",Target_FY!$A$6:$A$80,0),$E23),0)</f>
        <v/>
      </c>
      <c r="AA23" s="107">
        <f>IFERROR(INDEX(Actual_Monthly!$X$6:$AA$80,MATCH($A23&amp;"|K5",Actual_Monthly!$A$6:$A$80,0),$E23),0)</f>
        <v/>
      </c>
      <c r="AB23" s="108">
        <f>IF(Z23&lt;=0,0,AA23/Z23)</f>
        <v/>
      </c>
    </row>
    <row r="24">
      <c r="A24" s="82">
        <f>IFERROR(INDEX(Team_Master!$C$6:$C$20,INT((ROW()-6)/4)+1),"")</f>
        <v/>
      </c>
      <c r="B24" s="83">
        <f>IFERROR(INDEX(Team_Master!$G$6:$G$20,INT((ROW()-6)/4)+1),"")</f>
        <v/>
      </c>
      <c r="C24" s="82">
        <f>IFERROR(INDEX(Team_Master!$E$6:$E$20,INT((ROW()-6)/4)+1),"")</f>
        <v/>
      </c>
      <c r="D24" s="93">
        <f>"Q"&amp;E24</f>
        <v/>
      </c>
      <c r="E24" s="99">
        <f>MOD(ROW()-6,4)+1</f>
        <v/>
      </c>
      <c r="F24" s="100">
        <f>IFERROR(INDEX(Target_FY!$X$6:$AA$80,MATCH($A24&amp;"|K1",Target_FY!$A$6:$A$80,0),$E24),0)</f>
        <v/>
      </c>
      <c r="G24" s="100">
        <f>IFERROR(INDEX(Actual_Monthly!$X$6:$AA$80,MATCH($A24&amp;"|K1",Actual_Monthly!$A$6:$A$80,0),$E24),0)</f>
        <v/>
      </c>
      <c r="H24" s="101">
        <f>IF(F24&lt;=0,0,G24/F24)</f>
        <v/>
      </c>
      <c r="I24" s="102">
        <f>IF(F24&lt;=0,0,IF(H24&lt;Parameters!$C$15,0,IF(H24&lt;=Parameters!$C$17,Parameters!$C$16+(H24-Parameters!$C$15)/(Parameters!$C$17-Parameters!$C$15)*(Parameters!$C$18-Parameters!$C$16),MIN(Parameters!$C$20,Parameters!$C$18+(H24-Parameters!$C$17)/(Parameters!$C$19-Parameters!$C$17)*(Parameters!$C$20-Parameters!$C$18)))))</f>
        <v/>
      </c>
      <c r="J24" s="100">
        <f>IFERROR(INDEX(Target_FY!$X$6:$AA$80,MATCH($A24&amp;"|K2",Target_FY!$A$6:$A$80,0),$E24),0)</f>
        <v/>
      </c>
      <c r="K24" s="100">
        <f>IFERROR(INDEX(Actual_Monthly!$X$6:$AA$80,MATCH($A24&amp;"|K2",Actual_Monthly!$A$6:$A$80,0),$E24),0)</f>
        <v/>
      </c>
      <c r="L24" s="101">
        <f>IF(J24&lt;=0,0,K24/J24)</f>
        <v/>
      </c>
      <c r="M24" s="102">
        <f>IF(J24&lt;=0,0,IF(L24&lt;Parameters!$C$15,0,IF(L24&lt;=Parameters!$C$17,Parameters!$C$16+(L24-Parameters!$C$15)/(Parameters!$C$17-Parameters!$C$15)*(Parameters!$C$18-Parameters!$C$16),MIN(Parameters!$C$20,Parameters!$C$18+(L24-Parameters!$C$17)/(Parameters!$C$19-Parameters!$C$17)*(Parameters!$C$20-Parameters!$C$18)))))</f>
        <v/>
      </c>
      <c r="N24" s="69">
        <f>IF((KPI_Framework!$F$6+KPI_Framework!$F$7)=0,0,(KPI_Framework!$F$6*I24+KPI_Framework!$F$7*M24)/(KPI_Framework!$F$6+KPI_Framework!$F$7))</f>
        <v/>
      </c>
      <c r="O24" s="103">
        <f>IFERROR(INDEX(Target_FY!$X$6:$AA$80,MATCH($A24&amp;"|K3",Target_FY!$A$6:$A$80,0),$E24),0)</f>
        <v/>
      </c>
      <c r="P24" s="103">
        <f>IFERROR(INDEX(Actual_Monthly!$X$6:$AA$80,MATCH($A24&amp;"|K3",Actual_Monthly!$A$6:$A$80,0),$E24),0)</f>
        <v/>
      </c>
      <c r="Q24" s="104">
        <f>IF(O24&lt;=0,0,P24/O24)</f>
        <v/>
      </c>
      <c r="R24" s="103">
        <f>IFERROR(INDEX(Target_FY!$X$6:$AA$80,MATCH($A24&amp;"|K4",Target_FY!$A$6:$A$80,0),$E24),0)</f>
        <v/>
      </c>
      <c r="S24" s="103">
        <f>IFERROR(INDEX(Actual_Monthly!$X$6:$AA$80,MATCH($A24&amp;"|K4",Actual_Monthly!$A$6:$A$80,0),$E24),0)</f>
        <v/>
      </c>
      <c r="T24" s="104">
        <f>IF(R24&lt;=0,0,S24/R24)</f>
        <v/>
      </c>
      <c r="U24" s="104">
        <f>IF((KPI_Framework!$F$8+KPI_Framework!$F$9)=0,0,(KPI_Framework!$F$8*Q24+KPI_Framework!$F$9*T24)/(KPI_Framework!$F$8+KPI_Framework!$F$9))</f>
        <v/>
      </c>
      <c r="V24" s="104">
        <f>IF((KPI_Framework!$F$8+KPI_Framework!$F$9)=0,0,(KPI_Framework!$F$8*IF(O24&lt;=0,0,IF(Q24&lt;Parameters!$C$15,0,IF(Q24&lt;=Parameters!$C$17,Parameters!$C$16+(Q24-Parameters!$C$15)/(Parameters!$C$17-Parameters!$C$15)*(Parameters!$C$18-Parameters!$C$16),MIN(Parameters!$C$20,Parameters!$C$18+(Q24-Parameters!$C$17)/(Parameters!$C$19-Parameters!$C$17)*(Parameters!$C$20-Parameters!$C$18)))))+KPI_Framework!$F$9*IF(R24&lt;=0,0,IF(T24&lt;Parameters!$C$15,0,IF(T24&lt;=Parameters!$C$17,Parameters!$C$16+(T24-Parameters!$C$15)/(Parameters!$C$17-Parameters!$C$15)*(Parameters!$C$18-Parameters!$C$16),MIN(Parameters!$C$20,Parameters!$C$18+(T24-Parameters!$C$17)/(Parameters!$C$19-Parameters!$C$17)*(Parameters!$C$20-Parameters!$C$18))))))/(KPI_Framework!$F$8+KPI_Framework!$F$9))</f>
        <v/>
      </c>
      <c r="W24" s="105">
        <f>IF(Parameters!$C$23="OFF",1,IF(U24&gt;=Parameters!$B$25,Parameters!$C$25,IF(U24&gt;=Parameters!$B$26,Parameters!$C$26,IF(U24&gt;=Parameters!$B$27,Parameters!$C$27,Parameters!$C$28))))</f>
        <v/>
      </c>
      <c r="X24" s="69">
        <f>N24*W24</f>
        <v/>
      </c>
      <c r="Y24" s="106">
        <f>IF($A24="","",IF(F24&lt;=0,"No target",IF(X24&gt;=1,"On track",IF(X24&gt;=0.8,"Watch","Behind"))))</f>
        <v/>
      </c>
      <c r="Z24" s="107">
        <f>IFERROR(INDEX(Target_FY!$X$6:$AA$80,MATCH($A24&amp;"|K5",Target_FY!$A$6:$A$80,0),$E24),0)</f>
        <v/>
      </c>
      <c r="AA24" s="107">
        <f>IFERROR(INDEX(Actual_Monthly!$X$6:$AA$80,MATCH($A24&amp;"|K5",Actual_Monthly!$A$6:$A$80,0),$E24),0)</f>
        <v/>
      </c>
      <c r="AB24" s="108">
        <f>IF(Z24&lt;=0,0,AA24/Z24)</f>
        <v/>
      </c>
    </row>
    <row r="25">
      <c r="A25" s="82">
        <f>IFERROR(INDEX(Team_Master!$C$6:$C$20,INT((ROW()-6)/4)+1),"")</f>
        <v/>
      </c>
      <c r="B25" s="83">
        <f>IFERROR(INDEX(Team_Master!$G$6:$G$20,INT((ROW()-6)/4)+1),"")</f>
        <v/>
      </c>
      <c r="C25" s="82">
        <f>IFERROR(INDEX(Team_Master!$E$6:$E$20,INT((ROW()-6)/4)+1),"")</f>
        <v/>
      </c>
      <c r="D25" s="93">
        <f>"Q"&amp;E25</f>
        <v/>
      </c>
      <c r="E25" s="99">
        <f>MOD(ROW()-6,4)+1</f>
        <v/>
      </c>
      <c r="F25" s="100">
        <f>IFERROR(INDEX(Target_FY!$X$6:$AA$80,MATCH($A25&amp;"|K1",Target_FY!$A$6:$A$80,0),$E25),0)</f>
        <v/>
      </c>
      <c r="G25" s="100">
        <f>IFERROR(INDEX(Actual_Monthly!$X$6:$AA$80,MATCH($A25&amp;"|K1",Actual_Monthly!$A$6:$A$80,0),$E25),0)</f>
        <v/>
      </c>
      <c r="H25" s="101">
        <f>IF(F25&lt;=0,0,G25/F25)</f>
        <v/>
      </c>
      <c r="I25" s="102">
        <f>IF(F25&lt;=0,0,IF(H25&lt;Parameters!$C$15,0,IF(H25&lt;=Parameters!$C$17,Parameters!$C$16+(H25-Parameters!$C$15)/(Parameters!$C$17-Parameters!$C$15)*(Parameters!$C$18-Parameters!$C$16),MIN(Parameters!$C$20,Parameters!$C$18+(H25-Parameters!$C$17)/(Parameters!$C$19-Parameters!$C$17)*(Parameters!$C$20-Parameters!$C$18)))))</f>
        <v/>
      </c>
      <c r="J25" s="100">
        <f>IFERROR(INDEX(Target_FY!$X$6:$AA$80,MATCH($A25&amp;"|K2",Target_FY!$A$6:$A$80,0),$E25),0)</f>
        <v/>
      </c>
      <c r="K25" s="100">
        <f>IFERROR(INDEX(Actual_Monthly!$X$6:$AA$80,MATCH($A25&amp;"|K2",Actual_Monthly!$A$6:$A$80,0),$E25),0)</f>
        <v/>
      </c>
      <c r="L25" s="101">
        <f>IF(J25&lt;=0,0,K25/J25)</f>
        <v/>
      </c>
      <c r="M25" s="102">
        <f>IF(J25&lt;=0,0,IF(L25&lt;Parameters!$C$15,0,IF(L25&lt;=Parameters!$C$17,Parameters!$C$16+(L25-Parameters!$C$15)/(Parameters!$C$17-Parameters!$C$15)*(Parameters!$C$18-Parameters!$C$16),MIN(Parameters!$C$20,Parameters!$C$18+(L25-Parameters!$C$17)/(Parameters!$C$19-Parameters!$C$17)*(Parameters!$C$20-Parameters!$C$18)))))</f>
        <v/>
      </c>
      <c r="N25" s="69">
        <f>IF((KPI_Framework!$F$6+KPI_Framework!$F$7)=0,0,(KPI_Framework!$F$6*I25+KPI_Framework!$F$7*M25)/(KPI_Framework!$F$6+KPI_Framework!$F$7))</f>
        <v/>
      </c>
      <c r="O25" s="103">
        <f>IFERROR(INDEX(Target_FY!$X$6:$AA$80,MATCH($A25&amp;"|K3",Target_FY!$A$6:$A$80,0),$E25),0)</f>
        <v/>
      </c>
      <c r="P25" s="103">
        <f>IFERROR(INDEX(Actual_Monthly!$X$6:$AA$80,MATCH($A25&amp;"|K3",Actual_Monthly!$A$6:$A$80,0),$E25),0)</f>
        <v/>
      </c>
      <c r="Q25" s="104">
        <f>IF(O25&lt;=0,0,P25/O25)</f>
        <v/>
      </c>
      <c r="R25" s="103">
        <f>IFERROR(INDEX(Target_FY!$X$6:$AA$80,MATCH($A25&amp;"|K4",Target_FY!$A$6:$A$80,0),$E25),0)</f>
        <v/>
      </c>
      <c r="S25" s="103">
        <f>IFERROR(INDEX(Actual_Monthly!$X$6:$AA$80,MATCH($A25&amp;"|K4",Actual_Monthly!$A$6:$A$80,0),$E25),0)</f>
        <v/>
      </c>
      <c r="T25" s="104">
        <f>IF(R25&lt;=0,0,S25/R25)</f>
        <v/>
      </c>
      <c r="U25" s="104">
        <f>IF((KPI_Framework!$F$8+KPI_Framework!$F$9)=0,0,(KPI_Framework!$F$8*Q25+KPI_Framework!$F$9*T25)/(KPI_Framework!$F$8+KPI_Framework!$F$9))</f>
        <v/>
      </c>
      <c r="V25" s="104">
        <f>IF((KPI_Framework!$F$8+KPI_Framework!$F$9)=0,0,(KPI_Framework!$F$8*IF(O25&lt;=0,0,IF(Q25&lt;Parameters!$C$15,0,IF(Q25&lt;=Parameters!$C$17,Parameters!$C$16+(Q25-Parameters!$C$15)/(Parameters!$C$17-Parameters!$C$15)*(Parameters!$C$18-Parameters!$C$16),MIN(Parameters!$C$20,Parameters!$C$18+(Q25-Parameters!$C$17)/(Parameters!$C$19-Parameters!$C$17)*(Parameters!$C$20-Parameters!$C$18)))))+KPI_Framework!$F$9*IF(R25&lt;=0,0,IF(T25&lt;Parameters!$C$15,0,IF(T25&lt;=Parameters!$C$17,Parameters!$C$16+(T25-Parameters!$C$15)/(Parameters!$C$17-Parameters!$C$15)*(Parameters!$C$18-Parameters!$C$16),MIN(Parameters!$C$20,Parameters!$C$18+(T25-Parameters!$C$17)/(Parameters!$C$19-Parameters!$C$17)*(Parameters!$C$20-Parameters!$C$18))))))/(KPI_Framework!$F$8+KPI_Framework!$F$9))</f>
        <v/>
      </c>
      <c r="W25" s="105">
        <f>IF(Parameters!$C$23="OFF",1,IF(U25&gt;=Parameters!$B$25,Parameters!$C$25,IF(U25&gt;=Parameters!$B$26,Parameters!$C$26,IF(U25&gt;=Parameters!$B$27,Parameters!$C$27,Parameters!$C$28))))</f>
        <v/>
      </c>
      <c r="X25" s="69">
        <f>N25*W25</f>
        <v/>
      </c>
      <c r="Y25" s="106">
        <f>IF($A25="","",IF(F25&lt;=0,"No target",IF(X25&gt;=1,"On track",IF(X25&gt;=0.8,"Watch","Behind"))))</f>
        <v/>
      </c>
      <c r="Z25" s="107">
        <f>IFERROR(INDEX(Target_FY!$X$6:$AA$80,MATCH($A25&amp;"|K5",Target_FY!$A$6:$A$80,0),$E25),0)</f>
        <v/>
      </c>
      <c r="AA25" s="107">
        <f>IFERROR(INDEX(Actual_Monthly!$X$6:$AA$80,MATCH($A25&amp;"|K5",Actual_Monthly!$A$6:$A$80,0),$E25),0)</f>
        <v/>
      </c>
      <c r="AB25" s="108">
        <f>IF(Z25&lt;=0,0,AA25/Z25)</f>
        <v/>
      </c>
    </row>
    <row r="26">
      <c r="A26" s="88">
        <f>IFERROR(INDEX(Team_Master!$C$6:$C$20,INT((ROW()-6)/4)+1),"")</f>
        <v/>
      </c>
      <c r="B26" s="89">
        <f>IFERROR(INDEX(Team_Master!$G$6:$G$20,INT((ROW()-6)/4)+1),"")</f>
        <v/>
      </c>
      <c r="C26" s="88">
        <f>IFERROR(INDEX(Team_Master!$E$6:$E$20,INT((ROW()-6)/4)+1),"")</f>
        <v/>
      </c>
      <c r="D26" s="109">
        <f>"Q"&amp;E26</f>
        <v/>
      </c>
      <c r="E26" s="110">
        <f>MOD(ROW()-6,4)+1</f>
        <v/>
      </c>
      <c r="F26" s="100">
        <f>IFERROR(INDEX(Target_FY!$X$6:$AA$80,MATCH($A26&amp;"|K1",Target_FY!$A$6:$A$80,0),$E26),0)</f>
        <v/>
      </c>
      <c r="G26" s="100">
        <f>IFERROR(INDEX(Actual_Monthly!$X$6:$AA$80,MATCH($A26&amp;"|K1",Actual_Monthly!$A$6:$A$80,0),$E26),0)</f>
        <v/>
      </c>
      <c r="H26" s="101">
        <f>IF(F26&lt;=0,0,G26/F26)</f>
        <v/>
      </c>
      <c r="I26" s="102">
        <f>IF(F26&lt;=0,0,IF(H26&lt;Parameters!$C$15,0,IF(H26&lt;=Parameters!$C$17,Parameters!$C$16+(H26-Parameters!$C$15)/(Parameters!$C$17-Parameters!$C$15)*(Parameters!$C$18-Parameters!$C$16),MIN(Parameters!$C$20,Parameters!$C$18+(H26-Parameters!$C$17)/(Parameters!$C$19-Parameters!$C$17)*(Parameters!$C$20-Parameters!$C$18)))))</f>
        <v/>
      </c>
      <c r="J26" s="100">
        <f>IFERROR(INDEX(Target_FY!$X$6:$AA$80,MATCH($A26&amp;"|K2",Target_FY!$A$6:$A$80,0),$E26),0)</f>
        <v/>
      </c>
      <c r="K26" s="100">
        <f>IFERROR(INDEX(Actual_Monthly!$X$6:$AA$80,MATCH($A26&amp;"|K2",Actual_Monthly!$A$6:$A$80,0),$E26),0)</f>
        <v/>
      </c>
      <c r="L26" s="101">
        <f>IF(J26&lt;=0,0,K26/J26)</f>
        <v/>
      </c>
      <c r="M26" s="102">
        <f>IF(J26&lt;=0,0,IF(L26&lt;Parameters!$C$15,0,IF(L26&lt;=Parameters!$C$17,Parameters!$C$16+(L26-Parameters!$C$15)/(Parameters!$C$17-Parameters!$C$15)*(Parameters!$C$18-Parameters!$C$16),MIN(Parameters!$C$20,Parameters!$C$18+(L26-Parameters!$C$17)/(Parameters!$C$19-Parameters!$C$17)*(Parameters!$C$20-Parameters!$C$18)))))</f>
        <v/>
      </c>
      <c r="N26" s="69">
        <f>IF((KPI_Framework!$F$6+KPI_Framework!$F$7)=0,0,(KPI_Framework!$F$6*I26+KPI_Framework!$F$7*M26)/(KPI_Framework!$F$6+KPI_Framework!$F$7))</f>
        <v/>
      </c>
      <c r="O26" s="103">
        <f>IFERROR(INDEX(Target_FY!$X$6:$AA$80,MATCH($A26&amp;"|K3",Target_FY!$A$6:$A$80,0),$E26),0)</f>
        <v/>
      </c>
      <c r="P26" s="103">
        <f>IFERROR(INDEX(Actual_Monthly!$X$6:$AA$80,MATCH($A26&amp;"|K3",Actual_Monthly!$A$6:$A$80,0),$E26),0)</f>
        <v/>
      </c>
      <c r="Q26" s="104">
        <f>IF(O26&lt;=0,0,P26/O26)</f>
        <v/>
      </c>
      <c r="R26" s="103">
        <f>IFERROR(INDEX(Target_FY!$X$6:$AA$80,MATCH($A26&amp;"|K4",Target_FY!$A$6:$A$80,0),$E26),0)</f>
        <v/>
      </c>
      <c r="S26" s="103">
        <f>IFERROR(INDEX(Actual_Monthly!$X$6:$AA$80,MATCH($A26&amp;"|K4",Actual_Monthly!$A$6:$A$80,0),$E26),0)</f>
        <v/>
      </c>
      <c r="T26" s="104">
        <f>IF(R26&lt;=0,0,S26/R26)</f>
        <v/>
      </c>
      <c r="U26" s="104">
        <f>IF((KPI_Framework!$F$8+KPI_Framework!$F$9)=0,0,(KPI_Framework!$F$8*Q26+KPI_Framework!$F$9*T26)/(KPI_Framework!$F$8+KPI_Framework!$F$9))</f>
        <v/>
      </c>
      <c r="V26" s="104">
        <f>IF((KPI_Framework!$F$8+KPI_Framework!$F$9)=0,0,(KPI_Framework!$F$8*IF(O26&lt;=0,0,IF(Q26&lt;Parameters!$C$15,0,IF(Q26&lt;=Parameters!$C$17,Parameters!$C$16+(Q26-Parameters!$C$15)/(Parameters!$C$17-Parameters!$C$15)*(Parameters!$C$18-Parameters!$C$16),MIN(Parameters!$C$20,Parameters!$C$18+(Q26-Parameters!$C$17)/(Parameters!$C$19-Parameters!$C$17)*(Parameters!$C$20-Parameters!$C$18)))))+KPI_Framework!$F$9*IF(R26&lt;=0,0,IF(T26&lt;Parameters!$C$15,0,IF(T26&lt;=Parameters!$C$17,Parameters!$C$16+(T26-Parameters!$C$15)/(Parameters!$C$17-Parameters!$C$15)*(Parameters!$C$18-Parameters!$C$16),MIN(Parameters!$C$20,Parameters!$C$18+(T26-Parameters!$C$17)/(Parameters!$C$19-Parameters!$C$17)*(Parameters!$C$20-Parameters!$C$18))))))/(KPI_Framework!$F$8+KPI_Framework!$F$9))</f>
        <v/>
      </c>
      <c r="W26" s="105">
        <f>IF(Parameters!$C$23="OFF",1,IF(U26&gt;=Parameters!$B$25,Parameters!$C$25,IF(U26&gt;=Parameters!$B$26,Parameters!$C$26,IF(U26&gt;=Parameters!$B$27,Parameters!$C$27,Parameters!$C$28))))</f>
        <v/>
      </c>
      <c r="X26" s="69">
        <f>N26*W26</f>
        <v/>
      </c>
      <c r="Y26" s="106">
        <f>IF($A26="","",IF(F26&lt;=0,"No target",IF(X26&gt;=1,"On track",IF(X26&gt;=0.8,"Watch","Behind"))))</f>
        <v/>
      </c>
      <c r="Z26" s="107">
        <f>IFERROR(INDEX(Target_FY!$X$6:$AA$80,MATCH($A26&amp;"|K5",Target_FY!$A$6:$A$80,0),$E26),0)</f>
        <v/>
      </c>
      <c r="AA26" s="107">
        <f>IFERROR(INDEX(Actual_Monthly!$X$6:$AA$80,MATCH($A26&amp;"|K5",Actual_Monthly!$A$6:$A$80,0),$E26),0)</f>
        <v/>
      </c>
      <c r="AB26" s="108">
        <f>IF(Z26&lt;=0,0,AA26/Z26)</f>
        <v/>
      </c>
    </row>
    <row r="27">
      <c r="A27" s="88">
        <f>IFERROR(INDEX(Team_Master!$C$6:$C$20,INT((ROW()-6)/4)+1),"")</f>
        <v/>
      </c>
      <c r="B27" s="89">
        <f>IFERROR(INDEX(Team_Master!$G$6:$G$20,INT((ROW()-6)/4)+1),"")</f>
        <v/>
      </c>
      <c r="C27" s="88">
        <f>IFERROR(INDEX(Team_Master!$E$6:$E$20,INT((ROW()-6)/4)+1),"")</f>
        <v/>
      </c>
      <c r="D27" s="109">
        <f>"Q"&amp;E27</f>
        <v/>
      </c>
      <c r="E27" s="110">
        <f>MOD(ROW()-6,4)+1</f>
        <v/>
      </c>
      <c r="F27" s="100">
        <f>IFERROR(INDEX(Target_FY!$X$6:$AA$80,MATCH($A27&amp;"|K1",Target_FY!$A$6:$A$80,0),$E27),0)</f>
        <v/>
      </c>
      <c r="G27" s="100">
        <f>IFERROR(INDEX(Actual_Monthly!$X$6:$AA$80,MATCH($A27&amp;"|K1",Actual_Monthly!$A$6:$A$80,0),$E27),0)</f>
        <v/>
      </c>
      <c r="H27" s="101">
        <f>IF(F27&lt;=0,0,G27/F27)</f>
        <v/>
      </c>
      <c r="I27" s="102">
        <f>IF(F27&lt;=0,0,IF(H27&lt;Parameters!$C$15,0,IF(H27&lt;=Parameters!$C$17,Parameters!$C$16+(H27-Parameters!$C$15)/(Parameters!$C$17-Parameters!$C$15)*(Parameters!$C$18-Parameters!$C$16),MIN(Parameters!$C$20,Parameters!$C$18+(H27-Parameters!$C$17)/(Parameters!$C$19-Parameters!$C$17)*(Parameters!$C$20-Parameters!$C$18)))))</f>
        <v/>
      </c>
      <c r="J27" s="100">
        <f>IFERROR(INDEX(Target_FY!$X$6:$AA$80,MATCH($A27&amp;"|K2",Target_FY!$A$6:$A$80,0),$E27),0)</f>
        <v/>
      </c>
      <c r="K27" s="100">
        <f>IFERROR(INDEX(Actual_Monthly!$X$6:$AA$80,MATCH($A27&amp;"|K2",Actual_Monthly!$A$6:$A$80,0),$E27),0)</f>
        <v/>
      </c>
      <c r="L27" s="101">
        <f>IF(J27&lt;=0,0,K27/J27)</f>
        <v/>
      </c>
      <c r="M27" s="102">
        <f>IF(J27&lt;=0,0,IF(L27&lt;Parameters!$C$15,0,IF(L27&lt;=Parameters!$C$17,Parameters!$C$16+(L27-Parameters!$C$15)/(Parameters!$C$17-Parameters!$C$15)*(Parameters!$C$18-Parameters!$C$16),MIN(Parameters!$C$20,Parameters!$C$18+(L27-Parameters!$C$17)/(Parameters!$C$19-Parameters!$C$17)*(Parameters!$C$20-Parameters!$C$18)))))</f>
        <v/>
      </c>
      <c r="N27" s="69">
        <f>IF((KPI_Framework!$F$6+KPI_Framework!$F$7)=0,0,(KPI_Framework!$F$6*I27+KPI_Framework!$F$7*M27)/(KPI_Framework!$F$6+KPI_Framework!$F$7))</f>
        <v/>
      </c>
      <c r="O27" s="103">
        <f>IFERROR(INDEX(Target_FY!$X$6:$AA$80,MATCH($A27&amp;"|K3",Target_FY!$A$6:$A$80,0),$E27),0)</f>
        <v/>
      </c>
      <c r="P27" s="103">
        <f>IFERROR(INDEX(Actual_Monthly!$X$6:$AA$80,MATCH($A27&amp;"|K3",Actual_Monthly!$A$6:$A$80,0),$E27),0)</f>
        <v/>
      </c>
      <c r="Q27" s="104">
        <f>IF(O27&lt;=0,0,P27/O27)</f>
        <v/>
      </c>
      <c r="R27" s="103">
        <f>IFERROR(INDEX(Target_FY!$X$6:$AA$80,MATCH($A27&amp;"|K4",Target_FY!$A$6:$A$80,0),$E27),0)</f>
        <v/>
      </c>
      <c r="S27" s="103">
        <f>IFERROR(INDEX(Actual_Monthly!$X$6:$AA$80,MATCH($A27&amp;"|K4",Actual_Monthly!$A$6:$A$80,0),$E27),0)</f>
        <v/>
      </c>
      <c r="T27" s="104">
        <f>IF(R27&lt;=0,0,S27/R27)</f>
        <v/>
      </c>
      <c r="U27" s="104">
        <f>IF((KPI_Framework!$F$8+KPI_Framework!$F$9)=0,0,(KPI_Framework!$F$8*Q27+KPI_Framework!$F$9*T27)/(KPI_Framework!$F$8+KPI_Framework!$F$9))</f>
        <v/>
      </c>
      <c r="V27" s="104">
        <f>IF((KPI_Framework!$F$8+KPI_Framework!$F$9)=0,0,(KPI_Framework!$F$8*IF(O27&lt;=0,0,IF(Q27&lt;Parameters!$C$15,0,IF(Q27&lt;=Parameters!$C$17,Parameters!$C$16+(Q27-Parameters!$C$15)/(Parameters!$C$17-Parameters!$C$15)*(Parameters!$C$18-Parameters!$C$16),MIN(Parameters!$C$20,Parameters!$C$18+(Q27-Parameters!$C$17)/(Parameters!$C$19-Parameters!$C$17)*(Parameters!$C$20-Parameters!$C$18)))))+KPI_Framework!$F$9*IF(R27&lt;=0,0,IF(T27&lt;Parameters!$C$15,0,IF(T27&lt;=Parameters!$C$17,Parameters!$C$16+(T27-Parameters!$C$15)/(Parameters!$C$17-Parameters!$C$15)*(Parameters!$C$18-Parameters!$C$16),MIN(Parameters!$C$20,Parameters!$C$18+(T27-Parameters!$C$17)/(Parameters!$C$19-Parameters!$C$17)*(Parameters!$C$20-Parameters!$C$18))))))/(KPI_Framework!$F$8+KPI_Framework!$F$9))</f>
        <v/>
      </c>
      <c r="W27" s="105">
        <f>IF(Parameters!$C$23="OFF",1,IF(U27&gt;=Parameters!$B$25,Parameters!$C$25,IF(U27&gt;=Parameters!$B$26,Parameters!$C$26,IF(U27&gt;=Parameters!$B$27,Parameters!$C$27,Parameters!$C$28))))</f>
        <v/>
      </c>
      <c r="X27" s="69">
        <f>N27*W27</f>
        <v/>
      </c>
      <c r="Y27" s="106">
        <f>IF($A27="","",IF(F27&lt;=0,"No target",IF(X27&gt;=1,"On track",IF(X27&gt;=0.8,"Watch","Behind"))))</f>
        <v/>
      </c>
      <c r="Z27" s="107">
        <f>IFERROR(INDEX(Target_FY!$X$6:$AA$80,MATCH($A27&amp;"|K5",Target_FY!$A$6:$A$80,0),$E27),0)</f>
        <v/>
      </c>
      <c r="AA27" s="107">
        <f>IFERROR(INDEX(Actual_Monthly!$X$6:$AA$80,MATCH($A27&amp;"|K5",Actual_Monthly!$A$6:$A$80,0),$E27),0)</f>
        <v/>
      </c>
      <c r="AB27" s="108">
        <f>IF(Z27&lt;=0,0,AA27/Z27)</f>
        <v/>
      </c>
    </row>
    <row r="28">
      <c r="A28" s="88">
        <f>IFERROR(INDEX(Team_Master!$C$6:$C$20,INT((ROW()-6)/4)+1),"")</f>
        <v/>
      </c>
      <c r="B28" s="89">
        <f>IFERROR(INDEX(Team_Master!$G$6:$G$20,INT((ROW()-6)/4)+1),"")</f>
        <v/>
      </c>
      <c r="C28" s="88">
        <f>IFERROR(INDEX(Team_Master!$E$6:$E$20,INT((ROW()-6)/4)+1),"")</f>
        <v/>
      </c>
      <c r="D28" s="109">
        <f>"Q"&amp;E28</f>
        <v/>
      </c>
      <c r="E28" s="110">
        <f>MOD(ROW()-6,4)+1</f>
        <v/>
      </c>
      <c r="F28" s="100">
        <f>IFERROR(INDEX(Target_FY!$X$6:$AA$80,MATCH($A28&amp;"|K1",Target_FY!$A$6:$A$80,0),$E28),0)</f>
        <v/>
      </c>
      <c r="G28" s="100">
        <f>IFERROR(INDEX(Actual_Monthly!$X$6:$AA$80,MATCH($A28&amp;"|K1",Actual_Monthly!$A$6:$A$80,0),$E28),0)</f>
        <v/>
      </c>
      <c r="H28" s="101">
        <f>IF(F28&lt;=0,0,G28/F28)</f>
        <v/>
      </c>
      <c r="I28" s="102">
        <f>IF(F28&lt;=0,0,IF(H28&lt;Parameters!$C$15,0,IF(H28&lt;=Parameters!$C$17,Parameters!$C$16+(H28-Parameters!$C$15)/(Parameters!$C$17-Parameters!$C$15)*(Parameters!$C$18-Parameters!$C$16),MIN(Parameters!$C$20,Parameters!$C$18+(H28-Parameters!$C$17)/(Parameters!$C$19-Parameters!$C$17)*(Parameters!$C$20-Parameters!$C$18)))))</f>
        <v/>
      </c>
      <c r="J28" s="100">
        <f>IFERROR(INDEX(Target_FY!$X$6:$AA$80,MATCH($A28&amp;"|K2",Target_FY!$A$6:$A$80,0),$E28),0)</f>
        <v/>
      </c>
      <c r="K28" s="100">
        <f>IFERROR(INDEX(Actual_Monthly!$X$6:$AA$80,MATCH($A28&amp;"|K2",Actual_Monthly!$A$6:$A$80,0),$E28),0)</f>
        <v/>
      </c>
      <c r="L28" s="101">
        <f>IF(J28&lt;=0,0,K28/J28)</f>
        <v/>
      </c>
      <c r="M28" s="102">
        <f>IF(J28&lt;=0,0,IF(L28&lt;Parameters!$C$15,0,IF(L28&lt;=Parameters!$C$17,Parameters!$C$16+(L28-Parameters!$C$15)/(Parameters!$C$17-Parameters!$C$15)*(Parameters!$C$18-Parameters!$C$16),MIN(Parameters!$C$20,Parameters!$C$18+(L28-Parameters!$C$17)/(Parameters!$C$19-Parameters!$C$17)*(Parameters!$C$20-Parameters!$C$18)))))</f>
        <v/>
      </c>
      <c r="N28" s="69">
        <f>IF((KPI_Framework!$F$6+KPI_Framework!$F$7)=0,0,(KPI_Framework!$F$6*I28+KPI_Framework!$F$7*M28)/(KPI_Framework!$F$6+KPI_Framework!$F$7))</f>
        <v/>
      </c>
      <c r="O28" s="103">
        <f>IFERROR(INDEX(Target_FY!$X$6:$AA$80,MATCH($A28&amp;"|K3",Target_FY!$A$6:$A$80,0),$E28),0)</f>
        <v/>
      </c>
      <c r="P28" s="103">
        <f>IFERROR(INDEX(Actual_Monthly!$X$6:$AA$80,MATCH($A28&amp;"|K3",Actual_Monthly!$A$6:$A$80,0),$E28),0)</f>
        <v/>
      </c>
      <c r="Q28" s="104">
        <f>IF(O28&lt;=0,0,P28/O28)</f>
        <v/>
      </c>
      <c r="R28" s="103">
        <f>IFERROR(INDEX(Target_FY!$X$6:$AA$80,MATCH($A28&amp;"|K4",Target_FY!$A$6:$A$80,0),$E28),0)</f>
        <v/>
      </c>
      <c r="S28" s="103">
        <f>IFERROR(INDEX(Actual_Monthly!$X$6:$AA$80,MATCH($A28&amp;"|K4",Actual_Monthly!$A$6:$A$80,0),$E28),0)</f>
        <v/>
      </c>
      <c r="T28" s="104">
        <f>IF(R28&lt;=0,0,S28/R28)</f>
        <v/>
      </c>
      <c r="U28" s="104">
        <f>IF((KPI_Framework!$F$8+KPI_Framework!$F$9)=0,0,(KPI_Framework!$F$8*Q28+KPI_Framework!$F$9*T28)/(KPI_Framework!$F$8+KPI_Framework!$F$9))</f>
        <v/>
      </c>
      <c r="V28" s="104">
        <f>IF((KPI_Framework!$F$8+KPI_Framework!$F$9)=0,0,(KPI_Framework!$F$8*IF(O28&lt;=0,0,IF(Q28&lt;Parameters!$C$15,0,IF(Q28&lt;=Parameters!$C$17,Parameters!$C$16+(Q28-Parameters!$C$15)/(Parameters!$C$17-Parameters!$C$15)*(Parameters!$C$18-Parameters!$C$16),MIN(Parameters!$C$20,Parameters!$C$18+(Q28-Parameters!$C$17)/(Parameters!$C$19-Parameters!$C$17)*(Parameters!$C$20-Parameters!$C$18)))))+KPI_Framework!$F$9*IF(R28&lt;=0,0,IF(T28&lt;Parameters!$C$15,0,IF(T28&lt;=Parameters!$C$17,Parameters!$C$16+(T28-Parameters!$C$15)/(Parameters!$C$17-Parameters!$C$15)*(Parameters!$C$18-Parameters!$C$16),MIN(Parameters!$C$20,Parameters!$C$18+(T28-Parameters!$C$17)/(Parameters!$C$19-Parameters!$C$17)*(Parameters!$C$20-Parameters!$C$18))))))/(KPI_Framework!$F$8+KPI_Framework!$F$9))</f>
        <v/>
      </c>
      <c r="W28" s="105">
        <f>IF(Parameters!$C$23="OFF",1,IF(U28&gt;=Parameters!$B$25,Parameters!$C$25,IF(U28&gt;=Parameters!$B$26,Parameters!$C$26,IF(U28&gt;=Parameters!$B$27,Parameters!$C$27,Parameters!$C$28))))</f>
        <v/>
      </c>
      <c r="X28" s="69">
        <f>N28*W28</f>
        <v/>
      </c>
      <c r="Y28" s="106">
        <f>IF($A28="","",IF(F28&lt;=0,"No target",IF(X28&gt;=1,"On track",IF(X28&gt;=0.8,"Watch","Behind"))))</f>
        <v/>
      </c>
      <c r="Z28" s="107">
        <f>IFERROR(INDEX(Target_FY!$X$6:$AA$80,MATCH($A28&amp;"|K5",Target_FY!$A$6:$A$80,0),$E28),0)</f>
        <v/>
      </c>
      <c r="AA28" s="107">
        <f>IFERROR(INDEX(Actual_Monthly!$X$6:$AA$80,MATCH($A28&amp;"|K5",Actual_Monthly!$A$6:$A$80,0),$E28),0)</f>
        <v/>
      </c>
      <c r="AB28" s="108">
        <f>IF(Z28&lt;=0,0,AA28/Z28)</f>
        <v/>
      </c>
    </row>
    <row r="29">
      <c r="A29" s="88">
        <f>IFERROR(INDEX(Team_Master!$C$6:$C$20,INT((ROW()-6)/4)+1),"")</f>
        <v/>
      </c>
      <c r="B29" s="89">
        <f>IFERROR(INDEX(Team_Master!$G$6:$G$20,INT((ROW()-6)/4)+1),"")</f>
        <v/>
      </c>
      <c r="C29" s="88">
        <f>IFERROR(INDEX(Team_Master!$E$6:$E$20,INT((ROW()-6)/4)+1),"")</f>
        <v/>
      </c>
      <c r="D29" s="109">
        <f>"Q"&amp;E29</f>
        <v/>
      </c>
      <c r="E29" s="110">
        <f>MOD(ROW()-6,4)+1</f>
        <v/>
      </c>
      <c r="F29" s="100">
        <f>IFERROR(INDEX(Target_FY!$X$6:$AA$80,MATCH($A29&amp;"|K1",Target_FY!$A$6:$A$80,0),$E29),0)</f>
        <v/>
      </c>
      <c r="G29" s="100">
        <f>IFERROR(INDEX(Actual_Monthly!$X$6:$AA$80,MATCH($A29&amp;"|K1",Actual_Monthly!$A$6:$A$80,0),$E29),0)</f>
        <v/>
      </c>
      <c r="H29" s="101">
        <f>IF(F29&lt;=0,0,G29/F29)</f>
        <v/>
      </c>
      <c r="I29" s="102">
        <f>IF(F29&lt;=0,0,IF(H29&lt;Parameters!$C$15,0,IF(H29&lt;=Parameters!$C$17,Parameters!$C$16+(H29-Parameters!$C$15)/(Parameters!$C$17-Parameters!$C$15)*(Parameters!$C$18-Parameters!$C$16),MIN(Parameters!$C$20,Parameters!$C$18+(H29-Parameters!$C$17)/(Parameters!$C$19-Parameters!$C$17)*(Parameters!$C$20-Parameters!$C$18)))))</f>
        <v/>
      </c>
      <c r="J29" s="100">
        <f>IFERROR(INDEX(Target_FY!$X$6:$AA$80,MATCH($A29&amp;"|K2",Target_FY!$A$6:$A$80,0),$E29),0)</f>
        <v/>
      </c>
      <c r="K29" s="100">
        <f>IFERROR(INDEX(Actual_Monthly!$X$6:$AA$80,MATCH($A29&amp;"|K2",Actual_Monthly!$A$6:$A$80,0),$E29),0)</f>
        <v/>
      </c>
      <c r="L29" s="101">
        <f>IF(J29&lt;=0,0,K29/J29)</f>
        <v/>
      </c>
      <c r="M29" s="102">
        <f>IF(J29&lt;=0,0,IF(L29&lt;Parameters!$C$15,0,IF(L29&lt;=Parameters!$C$17,Parameters!$C$16+(L29-Parameters!$C$15)/(Parameters!$C$17-Parameters!$C$15)*(Parameters!$C$18-Parameters!$C$16),MIN(Parameters!$C$20,Parameters!$C$18+(L29-Parameters!$C$17)/(Parameters!$C$19-Parameters!$C$17)*(Parameters!$C$20-Parameters!$C$18)))))</f>
        <v/>
      </c>
      <c r="N29" s="69">
        <f>IF((KPI_Framework!$F$6+KPI_Framework!$F$7)=0,0,(KPI_Framework!$F$6*I29+KPI_Framework!$F$7*M29)/(KPI_Framework!$F$6+KPI_Framework!$F$7))</f>
        <v/>
      </c>
      <c r="O29" s="103">
        <f>IFERROR(INDEX(Target_FY!$X$6:$AA$80,MATCH($A29&amp;"|K3",Target_FY!$A$6:$A$80,0),$E29),0)</f>
        <v/>
      </c>
      <c r="P29" s="103">
        <f>IFERROR(INDEX(Actual_Monthly!$X$6:$AA$80,MATCH($A29&amp;"|K3",Actual_Monthly!$A$6:$A$80,0),$E29),0)</f>
        <v/>
      </c>
      <c r="Q29" s="104">
        <f>IF(O29&lt;=0,0,P29/O29)</f>
        <v/>
      </c>
      <c r="R29" s="103">
        <f>IFERROR(INDEX(Target_FY!$X$6:$AA$80,MATCH($A29&amp;"|K4",Target_FY!$A$6:$A$80,0),$E29),0)</f>
        <v/>
      </c>
      <c r="S29" s="103">
        <f>IFERROR(INDEX(Actual_Monthly!$X$6:$AA$80,MATCH($A29&amp;"|K4",Actual_Monthly!$A$6:$A$80,0),$E29),0)</f>
        <v/>
      </c>
      <c r="T29" s="104">
        <f>IF(R29&lt;=0,0,S29/R29)</f>
        <v/>
      </c>
      <c r="U29" s="104">
        <f>IF((KPI_Framework!$F$8+KPI_Framework!$F$9)=0,0,(KPI_Framework!$F$8*Q29+KPI_Framework!$F$9*T29)/(KPI_Framework!$F$8+KPI_Framework!$F$9))</f>
        <v/>
      </c>
      <c r="V29" s="104">
        <f>IF((KPI_Framework!$F$8+KPI_Framework!$F$9)=0,0,(KPI_Framework!$F$8*IF(O29&lt;=0,0,IF(Q29&lt;Parameters!$C$15,0,IF(Q29&lt;=Parameters!$C$17,Parameters!$C$16+(Q29-Parameters!$C$15)/(Parameters!$C$17-Parameters!$C$15)*(Parameters!$C$18-Parameters!$C$16),MIN(Parameters!$C$20,Parameters!$C$18+(Q29-Parameters!$C$17)/(Parameters!$C$19-Parameters!$C$17)*(Parameters!$C$20-Parameters!$C$18)))))+KPI_Framework!$F$9*IF(R29&lt;=0,0,IF(T29&lt;Parameters!$C$15,0,IF(T29&lt;=Parameters!$C$17,Parameters!$C$16+(T29-Parameters!$C$15)/(Parameters!$C$17-Parameters!$C$15)*(Parameters!$C$18-Parameters!$C$16),MIN(Parameters!$C$20,Parameters!$C$18+(T29-Parameters!$C$17)/(Parameters!$C$19-Parameters!$C$17)*(Parameters!$C$20-Parameters!$C$18))))))/(KPI_Framework!$F$8+KPI_Framework!$F$9))</f>
        <v/>
      </c>
      <c r="W29" s="105">
        <f>IF(Parameters!$C$23="OFF",1,IF(U29&gt;=Parameters!$B$25,Parameters!$C$25,IF(U29&gt;=Parameters!$B$26,Parameters!$C$26,IF(U29&gt;=Parameters!$B$27,Parameters!$C$27,Parameters!$C$28))))</f>
        <v/>
      </c>
      <c r="X29" s="69">
        <f>N29*W29</f>
        <v/>
      </c>
      <c r="Y29" s="106">
        <f>IF($A29="","",IF(F29&lt;=0,"No target",IF(X29&gt;=1,"On track",IF(X29&gt;=0.8,"Watch","Behind"))))</f>
        <v/>
      </c>
      <c r="Z29" s="107">
        <f>IFERROR(INDEX(Target_FY!$X$6:$AA$80,MATCH($A29&amp;"|K5",Target_FY!$A$6:$A$80,0),$E29),0)</f>
        <v/>
      </c>
      <c r="AA29" s="107">
        <f>IFERROR(INDEX(Actual_Monthly!$X$6:$AA$80,MATCH($A29&amp;"|K5",Actual_Monthly!$A$6:$A$80,0),$E29),0)</f>
        <v/>
      </c>
      <c r="AB29" s="108">
        <f>IF(Z29&lt;=0,0,AA29/Z29)</f>
        <v/>
      </c>
    </row>
    <row r="30">
      <c r="A30" s="82">
        <f>IFERROR(INDEX(Team_Master!$C$6:$C$20,INT((ROW()-6)/4)+1),"")</f>
        <v/>
      </c>
      <c r="B30" s="83">
        <f>IFERROR(INDEX(Team_Master!$G$6:$G$20,INT((ROW()-6)/4)+1),"")</f>
        <v/>
      </c>
      <c r="C30" s="82">
        <f>IFERROR(INDEX(Team_Master!$E$6:$E$20,INT((ROW()-6)/4)+1),"")</f>
        <v/>
      </c>
      <c r="D30" s="93">
        <f>"Q"&amp;E30</f>
        <v/>
      </c>
      <c r="E30" s="99">
        <f>MOD(ROW()-6,4)+1</f>
        <v/>
      </c>
      <c r="F30" s="100">
        <f>IFERROR(INDEX(Target_FY!$X$6:$AA$80,MATCH($A30&amp;"|K1",Target_FY!$A$6:$A$80,0),$E30),0)</f>
        <v/>
      </c>
      <c r="G30" s="100">
        <f>IFERROR(INDEX(Actual_Monthly!$X$6:$AA$80,MATCH($A30&amp;"|K1",Actual_Monthly!$A$6:$A$80,0),$E30),0)</f>
        <v/>
      </c>
      <c r="H30" s="101">
        <f>IF(F30&lt;=0,0,G30/F30)</f>
        <v/>
      </c>
      <c r="I30" s="102">
        <f>IF(F30&lt;=0,0,IF(H30&lt;Parameters!$C$15,0,IF(H30&lt;=Parameters!$C$17,Parameters!$C$16+(H30-Parameters!$C$15)/(Parameters!$C$17-Parameters!$C$15)*(Parameters!$C$18-Parameters!$C$16),MIN(Parameters!$C$20,Parameters!$C$18+(H30-Parameters!$C$17)/(Parameters!$C$19-Parameters!$C$17)*(Parameters!$C$20-Parameters!$C$18)))))</f>
        <v/>
      </c>
      <c r="J30" s="100">
        <f>IFERROR(INDEX(Target_FY!$X$6:$AA$80,MATCH($A30&amp;"|K2",Target_FY!$A$6:$A$80,0),$E30),0)</f>
        <v/>
      </c>
      <c r="K30" s="100">
        <f>IFERROR(INDEX(Actual_Monthly!$X$6:$AA$80,MATCH($A30&amp;"|K2",Actual_Monthly!$A$6:$A$80,0),$E30),0)</f>
        <v/>
      </c>
      <c r="L30" s="101">
        <f>IF(J30&lt;=0,0,K30/J30)</f>
        <v/>
      </c>
      <c r="M30" s="102">
        <f>IF(J30&lt;=0,0,IF(L30&lt;Parameters!$C$15,0,IF(L30&lt;=Parameters!$C$17,Parameters!$C$16+(L30-Parameters!$C$15)/(Parameters!$C$17-Parameters!$C$15)*(Parameters!$C$18-Parameters!$C$16),MIN(Parameters!$C$20,Parameters!$C$18+(L30-Parameters!$C$17)/(Parameters!$C$19-Parameters!$C$17)*(Parameters!$C$20-Parameters!$C$18)))))</f>
        <v/>
      </c>
      <c r="N30" s="69">
        <f>IF((KPI_Framework!$F$6+KPI_Framework!$F$7)=0,0,(KPI_Framework!$F$6*I30+KPI_Framework!$F$7*M30)/(KPI_Framework!$F$6+KPI_Framework!$F$7))</f>
        <v/>
      </c>
      <c r="O30" s="103">
        <f>IFERROR(INDEX(Target_FY!$X$6:$AA$80,MATCH($A30&amp;"|K3",Target_FY!$A$6:$A$80,0),$E30),0)</f>
        <v/>
      </c>
      <c r="P30" s="103">
        <f>IFERROR(INDEX(Actual_Monthly!$X$6:$AA$80,MATCH($A30&amp;"|K3",Actual_Monthly!$A$6:$A$80,0),$E30),0)</f>
        <v/>
      </c>
      <c r="Q30" s="104">
        <f>IF(O30&lt;=0,0,P30/O30)</f>
        <v/>
      </c>
      <c r="R30" s="103">
        <f>IFERROR(INDEX(Target_FY!$X$6:$AA$80,MATCH($A30&amp;"|K4",Target_FY!$A$6:$A$80,0),$E30),0)</f>
        <v/>
      </c>
      <c r="S30" s="103">
        <f>IFERROR(INDEX(Actual_Monthly!$X$6:$AA$80,MATCH($A30&amp;"|K4",Actual_Monthly!$A$6:$A$80,0),$E30),0)</f>
        <v/>
      </c>
      <c r="T30" s="104">
        <f>IF(R30&lt;=0,0,S30/R30)</f>
        <v/>
      </c>
      <c r="U30" s="104">
        <f>IF((KPI_Framework!$F$8+KPI_Framework!$F$9)=0,0,(KPI_Framework!$F$8*Q30+KPI_Framework!$F$9*T30)/(KPI_Framework!$F$8+KPI_Framework!$F$9))</f>
        <v/>
      </c>
      <c r="V30" s="104">
        <f>IF((KPI_Framework!$F$8+KPI_Framework!$F$9)=0,0,(KPI_Framework!$F$8*IF(O30&lt;=0,0,IF(Q30&lt;Parameters!$C$15,0,IF(Q30&lt;=Parameters!$C$17,Parameters!$C$16+(Q30-Parameters!$C$15)/(Parameters!$C$17-Parameters!$C$15)*(Parameters!$C$18-Parameters!$C$16),MIN(Parameters!$C$20,Parameters!$C$18+(Q30-Parameters!$C$17)/(Parameters!$C$19-Parameters!$C$17)*(Parameters!$C$20-Parameters!$C$18)))))+KPI_Framework!$F$9*IF(R30&lt;=0,0,IF(T30&lt;Parameters!$C$15,0,IF(T30&lt;=Parameters!$C$17,Parameters!$C$16+(T30-Parameters!$C$15)/(Parameters!$C$17-Parameters!$C$15)*(Parameters!$C$18-Parameters!$C$16),MIN(Parameters!$C$20,Parameters!$C$18+(T30-Parameters!$C$17)/(Parameters!$C$19-Parameters!$C$17)*(Parameters!$C$20-Parameters!$C$18))))))/(KPI_Framework!$F$8+KPI_Framework!$F$9))</f>
        <v/>
      </c>
      <c r="W30" s="105">
        <f>IF(Parameters!$C$23="OFF",1,IF(U30&gt;=Parameters!$B$25,Parameters!$C$25,IF(U30&gt;=Parameters!$B$26,Parameters!$C$26,IF(U30&gt;=Parameters!$B$27,Parameters!$C$27,Parameters!$C$28))))</f>
        <v/>
      </c>
      <c r="X30" s="69">
        <f>N30*W30</f>
        <v/>
      </c>
      <c r="Y30" s="106">
        <f>IF($A30="","",IF(F30&lt;=0,"No target",IF(X30&gt;=1,"On track",IF(X30&gt;=0.8,"Watch","Behind"))))</f>
        <v/>
      </c>
      <c r="Z30" s="107">
        <f>IFERROR(INDEX(Target_FY!$X$6:$AA$80,MATCH($A30&amp;"|K5",Target_FY!$A$6:$A$80,0),$E30),0)</f>
        <v/>
      </c>
      <c r="AA30" s="107">
        <f>IFERROR(INDEX(Actual_Monthly!$X$6:$AA$80,MATCH($A30&amp;"|K5",Actual_Monthly!$A$6:$A$80,0),$E30),0)</f>
        <v/>
      </c>
      <c r="AB30" s="108">
        <f>IF(Z30&lt;=0,0,AA30/Z30)</f>
        <v/>
      </c>
    </row>
    <row r="31">
      <c r="A31" s="82">
        <f>IFERROR(INDEX(Team_Master!$C$6:$C$20,INT((ROW()-6)/4)+1),"")</f>
        <v/>
      </c>
      <c r="B31" s="83">
        <f>IFERROR(INDEX(Team_Master!$G$6:$G$20,INT((ROW()-6)/4)+1),"")</f>
        <v/>
      </c>
      <c r="C31" s="82">
        <f>IFERROR(INDEX(Team_Master!$E$6:$E$20,INT((ROW()-6)/4)+1),"")</f>
        <v/>
      </c>
      <c r="D31" s="93">
        <f>"Q"&amp;E31</f>
        <v/>
      </c>
      <c r="E31" s="99">
        <f>MOD(ROW()-6,4)+1</f>
        <v/>
      </c>
      <c r="F31" s="100">
        <f>IFERROR(INDEX(Target_FY!$X$6:$AA$80,MATCH($A31&amp;"|K1",Target_FY!$A$6:$A$80,0),$E31),0)</f>
        <v/>
      </c>
      <c r="G31" s="100">
        <f>IFERROR(INDEX(Actual_Monthly!$X$6:$AA$80,MATCH($A31&amp;"|K1",Actual_Monthly!$A$6:$A$80,0),$E31),0)</f>
        <v/>
      </c>
      <c r="H31" s="101">
        <f>IF(F31&lt;=0,0,G31/F31)</f>
        <v/>
      </c>
      <c r="I31" s="102">
        <f>IF(F31&lt;=0,0,IF(H31&lt;Parameters!$C$15,0,IF(H31&lt;=Parameters!$C$17,Parameters!$C$16+(H31-Parameters!$C$15)/(Parameters!$C$17-Parameters!$C$15)*(Parameters!$C$18-Parameters!$C$16),MIN(Parameters!$C$20,Parameters!$C$18+(H31-Parameters!$C$17)/(Parameters!$C$19-Parameters!$C$17)*(Parameters!$C$20-Parameters!$C$18)))))</f>
        <v/>
      </c>
      <c r="J31" s="100">
        <f>IFERROR(INDEX(Target_FY!$X$6:$AA$80,MATCH($A31&amp;"|K2",Target_FY!$A$6:$A$80,0),$E31),0)</f>
        <v/>
      </c>
      <c r="K31" s="100">
        <f>IFERROR(INDEX(Actual_Monthly!$X$6:$AA$80,MATCH($A31&amp;"|K2",Actual_Monthly!$A$6:$A$80,0),$E31),0)</f>
        <v/>
      </c>
      <c r="L31" s="101">
        <f>IF(J31&lt;=0,0,K31/J31)</f>
        <v/>
      </c>
      <c r="M31" s="102">
        <f>IF(J31&lt;=0,0,IF(L31&lt;Parameters!$C$15,0,IF(L31&lt;=Parameters!$C$17,Parameters!$C$16+(L31-Parameters!$C$15)/(Parameters!$C$17-Parameters!$C$15)*(Parameters!$C$18-Parameters!$C$16),MIN(Parameters!$C$20,Parameters!$C$18+(L31-Parameters!$C$17)/(Parameters!$C$19-Parameters!$C$17)*(Parameters!$C$20-Parameters!$C$18)))))</f>
        <v/>
      </c>
      <c r="N31" s="69">
        <f>IF((KPI_Framework!$F$6+KPI_Framework!$F$7)=0,0,(KPI_Framework!$F$6*I31+KPI_Framework!$F$7*M31)/(KPI_Framework!$F$6+KPI_Framework!$F$7))</f>
        <v/>
      </c>
      <c r="O31" s="103">
        <f>IFERROR(INDEX(Target_FY!$X$6:$AA$80,MATCH($A31&amp;"|K3",Target_FY!$A$6:$A$80,0),$E31),0)</f>
        <v/>
      </c>
      <c r="P31" s="103">
        <f>IFERROR(INDEX(Actual_Monthly!$X$6:$AA$80,MATCH($A31&amp;"|K3",Actual_Monthly!$A$6:$A$80,0),$E31),0)</f>
        <v/>
      </c>
      <c r="Q31" s="104">
        <f>IF(O31&lt;=0,0,P31/O31)</f>
        <v/>
      </c>
      <c r="R31" s="103">
        <f>IFERROR(INDEX(Target_FY!$X$6:$AA$80,MATCH($A31&amp;"|K4",Target_FY!$A$6:$A$80,0),$E31),0)</f>
        <v/>
      </c>
      <c r="S31" s="103">
        <f>IFERROR(INDEX(Actual_Monthly!$X$6:$AA$80,MATCH($A31&amp;"|K4",Actual_Monthly!$A$6:$A$80,0),$E31),0)</f>
        <v/>
      </c>
      <c r="T31" s="104">
        <f>IF(R31&lt;=0,0,S31/R31)</f>
        <v/>
      </c>
      <c r="U31" s="104">
        <f>IF((KPI_Framework!$F$8+KPI_Framework!$F$9)=0,0,(KPI_Framework!$F$8*Q31+KPI_Framework!$F$9*T31)/(KPI_Framework!$F$8+KPI_Framework!$F$9))</f>
        <v/>
      </c>
      <c r="V31" s="104">
        <f>IF((KPI_Framework!$F$8+KPI_Framework!$F$9)=0,0,(KPI_Framework!$F$8*IF(O31&lt;=0,0,IF(Q31&lt;Parameters!$C$15,0,IF(Q31&lt;=Parameters!$C$17,Parameters!$C$16+(Q31-Parameters!$C$15)/(Parameters!$C$17-Parameters!$C$15)*(Parameters!$C$18-Parameters!$C$16),MIN(Parameters!$C$20,Parameters!$C$18+(Q31-Parameters!$C$17)/(Parameters!$C$19-Parameters!$C$17)*(Parameters!$C$20-Parameters!$C$18)))))+KPI_Framework!$F$9*IF(R31&lt;=0,0,IF(T31&lt;Parameters!$C$15,0,IF(T31&lt;=Parameters!$C$17,Parameters!$C$16+(T31-Parameters!$C$15)/(Parameters!$C$17-Parameters!$C$15)*(Parameters!$C$18-Parameters!$C$16),MIN(Parameters!$C$20,Parameters!$C$18+(T31-Parameters!$C$17)/(Parameters!$C$19-Parameters!$C$17)*(Parameters!$C$20-Parameters!$C$18))))))/(KPI_Framework!$F$8+KPI_Framework!$F$9))</f>
        <v/>
      </c>
      <c r="W31" s="105">
        <f>IF(Parameters!$C$23="OFF",1,IF(U31&gt;=Parameters!$B$25,Parameters!$C$25,IF(U31&gt;=Parameters!$B$26,Parameters!$C$26,IF(U31&gt;=Parameters!$B$27,Parameters!$C$27,Parameters!$C$28))))</f>
        <v/>
      </c>
      <c r="X31" s="69">
        <f>N31*W31</f>
        <v/>
      </c>
      <c r="Y31" s="106">
        <f>IF($A31="","",IF(F31&lt;=0,"No target",IF(X31&gt;=1,"On track",IF(X31&gt;=0.8,"Watch","Behind"))))</f>
        <v/>
      </c>
      <c r="Z31" s="107">
        <f>IFERROR(INDEX(Target_FY!$X$6:$AA$80,MATCH($A31&amp;"|K5",Target_FY!$A$6:$A$80,0),$E31),0)</f>
        <v/>
      </c>
      <c r="AA31" s="107">
        <f>IFERROR(INDEX(Actual_Monthly!$X$6:$AA$80,MATCH($A31&amp;"|K5",Actual_Monthly!$A$6:$A$80,0),$E31),0)</f>
        <v/>
      </c>
      <c r="AB31" s="108">
        <f>IF(Z31&lt;=0,0,AA31/Z31)</f>
        <v/>
      </c>
    </row>
    <row r="32">
      <c r="A32" s="82">
        <f>IFERROR(INDEX(Team_Master!$C$6:$C$20,INT((ROW()-6)/4)+1),"")</f>
        <v/>
      </c>
      <c r="B32" s="83">
        <f>IFERROR(INDEX(Team_Master!$G$6:$G$20,INT((ROW()-6)/4)+1),"")</f>
        <v/>
      </c>
      <c r="C32" s="82">
        <f>IFERROR(INDEX(Team_Master!$E$6:$E$20,INT((ROW()-6)/4)+1),"")</f>
        <v/>
      </c>
      <c r="D32" s="93">
        <f>"Q"&amp;E32</f>
        <v/>
      </c>
      <c r="E32" s="99">
        <f>MOD(ROW()-6,4)+1</f>
        <v/>
      </c>
      <c r="F32" s="100">
        <f>IFERROR(INDEX(Target_FY!$X$6:$AA$80,MATCH($A32&amp;"|K1",Target_FY!$A$6:$A$80,0),$E32),0)</f>
        <v/>
      </c>
      <c r="G32" s="100">
        <f>IFERROR(INDEX(Actual_Monthly!$X$6:$AA$80,MATCH($A32&amp;"|K1",Actual_Monthly!$A$6:$A$80,0),$E32),0)</f>
        <v/>
      </c>
      <c r="H32" s="101">
        <f>IF(F32&lt;=0,0,G32/F32)</f>
        <v/>
      </c>
      <c r="I32" s="102">
        <f>IF(F32&lt;=0,0,IF(H32&lt;Parameters!$C$15,0,IF(H32&lt;=Parameters!$C$17,Parameters!$C$16+(H32-Parameters!$C$15)/(Parameters!$C$17-Parameters!$C$15)*(Parameters!$C$18-Parameters!$C$16),MIN(Parameters!$C$20,Parameters!$C$18+(H32-Parameters!$C$17)/(Parameters!$C$19-Parameters!$C$17)*(Parameters!$C$20-Parameters!$C$18)))))</f>
        <v/>
      </c>
      <c r="J32" s="100">
        <f>IFERROR(INDEX(Target_FY!$X$6:$AA$80,MATCH($A32&amp;"|K2",Target_FY!$A$6:$A$80,0),$E32),0)</f>
        <v/>
      </c>
      <c r="K32" s="100">
        <f>IFERROR(INDEX(Actual_Monthly!$X$6:$AA$80,MATCH($A32&amp;"|K2",Actual_Monthly!$A$6:$A$80,0),$E32),0)</f>
        <v/>
      </c>
      <c r="L32" s="101">
        <f>IF(J32&lt;=0,0,K32/J32)</f>
        <v/>
      </c>
      <c r="M32" s="102">
        <f>IF(J32&lt;=0,0,IF(L32&lt;Parameters!$C$15,0,IF(L32&lt;=Parameters!$C$17,Parameters!$C$16+(L32-Parameters!$C$15)/(Parameters!$C$17-Parameters!$C$15)*(Parameters!$C$18-Parameters!$C$16),MIN(Parameters!$C$20,Parameters!$C$18+(L32-Parameters!$C$17)/(Parameters!$C$19-Parameters!$C$17)*(Parameters!$C$20-Parameters!$C$18)))))</f>
        <v/>
      </c>
      <c r="N32" s="69">
        <f>IF((KPI_Framework!$F$6+KPI_Framework!$F$7)=0,0,(KPI_Framework!$F$6*I32+KPI_Framework!$F$7*M32)/(KPI_Framework!$F$6+KPI_Framework!$F$7))</f>
        <v/>
      </c>
      <c r="O32" s="103">
        <f>IFERROR(INDEX(Target_FY!$X$6:$AA$80,MATCH($A32&amp;"|K3",Target_FY!$A$6:$A$80,0),$E32),0)</f>
        <v/>
      </c>
      <c r="P32" s="103">
        <f>IFERROR(INDEX(Actual_Monthly!$X$6:$AA$80,MATCH($A32&amp;"|K3",Actual_Monthly!$A$6:$A$80,0),$E32),0)</f>
        <v/>
      </c>
      <c r="Q32" s="104">
        <f>IF(O32&lt;=0,0,P32/O32)</f>
        <v/>
      </c>
      <c r="R32" s="103">
        <f>IFERROR(INDEX(Target_FY!$X$6:$AA$80,MATCH($A32&amp;"|K4",Target_FY!$A$6:$A$80,0),$E32),0)</f>
        <v/>
      </c>
      <c r="S32" s="103">
        <f>IFERROR(INDEX(Actual_Monthly!$X$6:$AA$80,MATCH($A32&amp;"|K4",Actual_Monthly!$A$6:$A$80,0),$E32),0)</f>
        <v/>
      </c>
      <c r="T32" s="104">
        <f>IF(R32&lt;=0,0,S32/R32)</f>
        <v/>
      </c>
      <c r="U32" s="104">
        <f>IF((KPI_Framework!$F$8+KPI_Framework!$F$9)=0,0,(KPI_Framework!$F$8*Q32+KPI_Framework!$F$9*T32)/(KPI_Framework!$F$8+KPI_Framework!$F$9))</f>
        <v/>
      </c>
      <c r="V32" s="104">
        <f>IF((KPI_Framework!$F$8+KPI_Framework!$F$9)=0,0,(KPI_Framework!$F$8*IF(O32&lt;=0,0,IF(Q32&lt;Parameters!$C$15,0,IF(Q32&lt;=Parameters!$C$17,Parameters!$C$16+(Q32-Parameters!$C$15)/(Parameters!$C$17-Parameters!$C$15)*(Parameters!$C$18-Parameters!$C$16),MIN(Parameters!$C$20,Parameters!$C$18+(Q32-Parameters!$C$17)/(Parameters!$C$19-Parameters!$C$17)*(Parameters!$C$20-Parameters!$C$18)))))+KPI_Framework!$F$9*IF(R32&lt;=0,0,IF(T32&lt;Parameters!$C$15,0,IF(T32&lt;=Parameters!$C$17,Parameters!$C$16+(T32-Parameters!$C$15)/(Parameters!$C$17-Parameters!$C$15)*(Parameters!$C$18-Parameters!$C$16),MIN(Parameters!$C$20,Parameters!$C$18+(T32-Parameters!$C$17)/(Parameters!$C$19-Parameters!$C$17)*(Parameters!$C$20-Parameters!$C$18))))))/(KPI_Framework!$F$8+KPI_Framework!$F$9))</f>
        <v/>
      </c>
      <c r="W32" s="105">
        <f>IF(Parameters!$C$23="OFF",1,IF(U32&gt;=Parameters!$B$25,Parameters!$C$25,IF(U32&gt;=Parameters!$B$26,Parameters!$C$26,IF(U32&gt;=Parameters!$B$27,Parameters!$C$27,Parameters!$C$28))))</f>
        <v/>
      </c>
      <c r="X32" s="69">
        <f>N32*W32</f>
        <v/>
      </c>
      <c r="Y32" s="106">
        <f>IF($A32="","",IF(F32&lt;=0,"No target",IF(X32&gt;=1,"On track",IF(X32&gt;=0.8,"Watch","Behind"))))</f>
        <v/>
      </c>
      <c r="Z32" s="107">
        <f>IFERROR(INDEX(Target_FY!$X$6:$AA$80,MATCH($A32&amp;"|K5",Target_FY!$A$6:$A$80,0),$E32),0)</f>
        <v/>
      </c>
      <c r="AA32" s="107">
        <f>IFERROR(INDEX(Actual_Monthly!$X$6:$AA$80,MATCH($A32&amp;"|K5",Actual_Monthly!$A$6:$A$80,0),$E32),0)</f>
        <v/>
      </c>
      <c r="AB32" s="108">
        <f>IF(Z32&lt;=0,0,AA32/Z32)</f>
        <v/>
      </c>
    </row>
    <row r="33">
      <c r="A33" s="82">
        <f>IFERROR(INDEX(Team_Master!$C$6:$C$20,INT((ROW()-6)/4)+1),"")</f>
        <v/>
      </c>
      <c r="B33" s="83">
        <f>IFERROR(INDEX(Team_Master!$G$6:$G$20,INT((ROW()-6)/4)+1),"")</f>
        <v/>
      </c>
      <c r="C33" s="82">
        <f>IFERROR(INDEX(Team_Master!$E$6:$E$20,INT((ROW()-6)/4)+1),"")</f>
        <v/>
      </c>
      <c r="D33" s="93">
        <f>"Q"&amp;E33</f>
        <v/>
      </c>
      <c r="E33" s="99">
        <f>MOD(ROW()-6,4)+1</f>
        <v/>
      </c>
      <c r="F33" s="100">
        <f>IFERROR(INDEX(Target_FY!$X$6:$AA$80,MATCH($A33&amp;"|K1",Target_FY!$A$6:$A$80,0),$E33),0)</f>
        <v/>
      </c>
      <c r="G33" s="100">
        <f>IFERROR(INDEX(Actual_Monthly!$X$6:$AA$80,MATCH($A33&amp;"|K1",Actual_Monthly!$A$6:$A$80,0),$E33),0)</f>
        <v/>
      </c>
      <c r="H33" s="101">
        <f>IF(F33&lt;=0,0,G33/F33)</f>
        <v/>
      </c>
      <c r="I33" s="102">
        <f>IF(F33&lt;=0,0,IF(H33&lt;Parameters!$C$15,0,IF(H33&lt;=Parameters!$C$17,Parameters!$C$16+(H33-Parameters!$C$15)/(Parameters!$C$17-Parameters!$C$15)*(Parameters!$C$18-Parameters!$C$16),MIN(Parameters!$C$20,Parameters!$C$18+(H33-Parameters!$C$17)/(Parameters!$C$19-Parameters!$C$17)*(Parameters!$C$20-Parameters!$C$18)))))</f>
        <v/>
      </c>
      <c r="J33" s="100">
        <f>IFERROR(INDEX(Target_FY!$X$6:$AA$80,MATCH($A33&amp;"|K2",Target_FY!$A$6:$A$80,0),$E33),0)</f>
        <v/>
      </c>
      <c r="K33" s="100">
        <f>IFERROR(INDEX(Actual_Monthly!$X$6:$AA$80,MATCH($A33&amp;"|K2",Actual_Monthly!$A$6:$A$80,0),$E33),0)</f>
        <v/>
      </c>
      <c r="L33" s="101">
        <f>IF(J33&lt;=0,0,K33/J33)</f>
        <v/>
      </c>
      <c r="M33" s="102">
        <f>IF(J33&lt;=0,0,IF(L33&lt;Parameters!$C$15,0,IF(L33&lt;=Parameters!$C$17,Parameters!$C$16+(L33-Parameters!$C$15)/(Parameters!$C$17-Parameters!$C$15)*(Parameters!$C$18-Parameters!$C$16),MIN(Parameters!$C$20,Parameters!$C$18+(L33-Parameters!$C$17)/(Parameters!$C$19-Parameters!$C$17)*(Parameters!$C$20-Parameters!$C$18)))))</f>
        <v/>
      </c>
      <c r="N33" s="69">
        <f>IF((KPI_Framework!$F$6+KPI_Framework!$F$7)=0,0,(KPI_Framework!$F$6*I33+KPI_Framework!$F$7*M33)/(KPI_Framework!$F$6+KPI_Framework!$F$7))</f>
        <v/>
      </c>
      <c r="O33" s="103">
        <f>IFERROR(INDEX(Target_FY!$X$6:$AA$80,MATCH($A33&amp;"|K3",Target_FY!$A$6:$A$80,0),$E33),0)</f>
        <v/>
      </c>
      <c r="P33" s="103">
        <f>IFERROR(INDEX(Actual_Monthly!$X$6:$AA$80,MATCH($A33&amp;"|K3",Actual_Monthly!$A$6:$A$80,0),$E33),0)</f>
        <v/>
      </c>
      <c r="Q33" s="104">
        <f>IF(O33&lt;=0,0,P33/O33)</f>
        <v/>
      </c>
      <c r="R33" s="103">
        <f>IFERROR(INDEX(Target_FY!$X$6:$AA$80,MATCH($A33&amp;"|K4",Target_FY!$A$6:$A$80,0),$E33),0)</f>
        <v/>
      </c>
      <c r="S33" s="103">
        <f>IFERROR(INDEX(Actual_Monthly!$X$6:$AA$80,MATCH($A33&amp;"|K4",Actual_Monthly!$A$6:$A$80,0),$E33),0)</f>
        <v/>
      </c>
      <c r="T33" s="104">
        <f>IF(R33&lt;=0,0,S33/R33)</f>
        <v/>
      </c>
      <c r="U33" s="104">
        <f>IF((KPI_Framework!$F$8+KPI_Framework!$F$9)=0,0,(KPI_Framework!$F$8*Q33+KPI_Framework!$F$9*T33)/(KPI_Framework!$F$8+KPI_Framework!$F$9))</f>
        <v/>
      </c>
      <c r="V33" s="104">
        <f>IF((KPI_Framework!$F$8+KPI_Framework!$F$9)=0,0,(KPI_Framework!$F$8*IF(O33&lt;=0,0,IF(Q33&lt;Parameters!$C$15,0,IF(Q33&lt;=Parameters!$C$17,Parameters!$C$16+(Q33-Parameters!$C$15)/(Parameters!$C$17-Parameters!$C$15)*(Parameters!$C$18-Parameters!$C$16),MIN(Parameters!$C$20,Parameters!$C$18+(Q33-Parameters!$C$17)/(Parameters!$C$19-Parameters!$C$17)*(Parameters!$C$20-Parameters!$C$18)))))+KPI_Framework!$F$9*IF(R33&lt;=0,0,IF(T33&lt;Parameters!$C$15,0,IF(T33&lt;=Parameters!$C$17,Parameters!$C$16+(T33-Parameters!$C$15)/(Parameters!$C$17-Parameters!$C$15)*(Parameters!$C$18-Parameters!$C$16),MIN(Parameters!$C$20,Parameters!$C$18+(T33-Parameters!$C$17)/(Parameters!$C$19-Parameters!$C$17)*(Parameters!$C$20-Parameters!$C$18))))))/(KPI_Framework!$F$8+KPI_Framework!$F$9))</f>
        <v/>
      </c>
      <c r="W33" s="105">
        <f>IF(Parameters!$C$23="OFF",1,IF(U33&gt;=Parameters!$B$25,Parameters!$C$25,IF(U33&gt;=Parameters!$B$26,Parameters!$C$26,IF(U33&gt;=Parameters!$B$27,Parameters!$C$27,Parameters!$C$28))))</f>
        <v/>
      </c>
      <c r="X33" s="69">
        <f>N33*W33</f>
        <v/>
      </c>
      <c r="Y33" s="106">
        <f>IF($A33="","",IF(F33&lt;=0,"No target",IF(X33&gt;=1,"On track",IF(X33&gt;=0.8,"Watch","Behind"))))</f>
        <v/>
      </c>
      <c r="Z33" s="107">
        <f>IFERROR(INDEX(Target_FY!$X$6:$AA$80,MATCH($A33&amp;"|K5",Target_FY!$A$6:$A$80,0),$E33),0)</f>
        <v/>
      </c>
      <c r="AA33" s="107">
        <f>IFERROR(INDEX(Actual_Monthly!$X$6:$AA$80,MATCH($A33&amp;"|K5",Actual_Monthly!$A$6:$A$80,0),$E33),0)</f>
        <v/>
      </c>
      <c r="AB33" s="108">
        <f>IF(Z33&lt;=0,0,AA33/Z33)</f>
        <v/>
      </c>
    </row>
    <row r="34">
      <c r="A34" s="88">
        <f>IFERROR(INDEX(Team_Master!$C$6:$C$20,INT((ROW()-6)/4)+1),"")</f>
        <v/>
      </c>
      <c r="B34" s="89">
        <f>IFERROR(INDEX(Team_Master!$G$6:$G$20,INT((ROW()-6)/4)+1),"")</f>
        <v/>
      </c>
      <c r="C34" s="88">
        <f>IFERROR(INDEX(Team_Master!$E$6:$E$20,INT((ROW()-6)/4)+1),"")</f>
        <v/>
      </c>
      <c r="D34" s="109">
        <f>"Q"&amp;E34</f>
        <v/>
      </c>
      <c r="E34" s="110">
        <f>MOD(ROW()-6,4)+1</f>
        <v/>
      </c>
      <c r="F34" s="100">
        <f>IFERROR(INDEX(Target_FY!$X$6:$AA$80,MATCH($A34&amp;"|K1",Target_FY!$A$6:$A$80,0),$E34),0)</f>
        <v/>
      </c>
      <c r="G34" s="100">
        <f>IFERROR(INDEX(Actual_Monthly!$X$6:$AA$80,MATCH($A34&amp;"|K1",Actual_Monthly!$A$6:$A$80,0),$E34),0)</f>
        <v/>
      </c>
      <c r="H34" s="101">
        <f>IF(F34&lt;=0,0,G34/F34)</f>
        <v/>
      </c>
      <c r="I34" s="102">
        <f>IF(F34&lt;=0,0,IF(H34&lt;Parameters!$C$15,0,IF(H34&lt;=Parameters!$C$17,Parameters!$C$16+(H34-Parameters!$C$15)/(Parameters!$C$17-Parameters!$C$15)*(Parameters!$C$18-Parameters!$C$16),MIN(Parameters!$C$20,Parameters!$C$18+(H34-Parameters!$C$17)/(Parameters!$C$19-Parameters!$C$17)*(Parameters!$C$20-Parameters!$C$18)))))</f>
        <v/>
      </c>
      <c r="J34" s="100">
        <f>IFERROR(INDEX(Target_FY!$X$6:$AA$80,MATCH($A34&amp;"|K2",Target_FY!$A$6:$A$80,0),$E34),0)</f>
        <v/>
      </c>
      <c r="K34" s="100">
        <f>IFERROR(INDEX(Actual_Monthly!$X$6:$AA$80,MATCH($A34&amp;"|K2",Actual_Monthly!$A$6:$A$80,0),$E34),0)</f>
        <v/>
      </c>
      <c r="L34" s="101">
        <f>IF(J34&lt;=0,0,K34/J34)</f>
        <v/>
      </c>
      <c r="M34" s="102">
        <f>IF(J34&lt;=0,0,IF(L34&lt;Parameters!$C$15,0,IF(L34&lt;=Parameters!$C$17,Parameters!$C$16+(L34-Parameters!$C$15)/(Parameters!$C$17-Parameters!$C$15)*(Parameters!$C$18-Parameters!$C$16),MIN(Parameters!$C$20,Parameters!$C$18+(L34-Parameters!$C$17)/(Parameters!$C$19-Parameters!$C$17)*(Parameters!$C$20-Parameters!$C$18)))))</f>
        <v/>
      </c>
      <c r="N34" s="69">
        <f>IF((KPI_Framework!$F$6+KPI_Framework!$F$7)=0,0,(KPI_Framework!$F$6*I34+KPI_Framework!$F$7*M34)/(KPI_Framework!$F$6+KPI_Framework!$F$7))</f>
        <v/>
      </c>
      <c r="O34" s="103">
        <f>IFERROR(INDEX(Target_FY!$X$6:$AA$80,MATCH($A34&amp;"|K3",Target_FY!$A$6:$A$80,0),$E34),0)</f>
        <v/>
      </c>
      <c r="P34" s="103">
        <f>IFERROR(INDEX(Actual_Monthly!$X$6:$AA$80,MATCH($A34&amp;"|K3",Actual_Monthly!$A$6:$A$80,0),$E34),0)</f>
        <v/>
      </c>
      <c r="Q34" s="104">
        <f>IF(O34&lt;=0,0,P34/O34)</f>
        <v/>
      </c>
      <c r="R34" s="103">
        <f>IFERROR(INDEX(Target_FY!$X$6:$AA$80,MATCH($A34&amp;"|K4",Target_FY!$A$6:$A$80,0),$E34),0)</f>
        <v/>
      </c>
      <c r="S34" s="103">
        <f>IFERROR(INDEX(Actual_Monthly!$X$6:$AA$80,MATCH($A34&amp;"|K4",Actual_Monthly!$A$6:$A$80,0),$E34),0)</f>
        <v/>
      </c>
      <c r="T34" s="104">
        <f>IF(R34&lt;=0,0,S34/R34)</f>
        <v/>
      </c>
      <c r="U34" s="104">
        <f>IF((KPI_Framework!$F$8+KPI_Framework!$F$9)=0,0,(KPI_Framework!$F$8*Q34+KPI_Framework!$F$9*T34)/(KPI_Framework!$F$8+KPI_Framework!$F$9))</f>
        <v/>
      </c>
      <c r="V34" s="104">
        <f>IF((KPI_Framework!$F$8+KPI_Framework!$F$9)=0,0,(KPI_Framework!$F$8*IF(O34&lt;=0,0,IF(Q34&lt;Parameters!$C$15,0,IF(Q34&lt;=Parameters!$C$17,Parameters!$C$16+(Q34-Parameters!$C$15)/(Parameters!$C$17-Parameters!$C$15)*(Parameters!$C$18-Parameters!$C$16),MIN(Parameters!$C$20,Parameters!$C$18+(Q34-Parameters!$C$17)/(Parameters!$C$19-Parameters!$C$17)*(Parameters!$C$20-Parameters!$C$18)))))+KPI_Framework!$F$9*IF(R34&lt;=0,0,IF(T34&lt;Parameters!$C$15,0,IF(T34&lt;=Parameters!$C$17,Parameters!$C$16+(T34-Parameters!$C$15)/(Parameters!$C$17-Parameters!$C$15)*(Parameters!$C$18-Parameters!$C$16),MIN(Parameters!$C$20,Parameters!$C$18+(T34-Parameters!$C$17)/(Parameters!$C$19-Parameters!$C$17)*(Parameters!$C$20-Parameters!$C$18))))))/(KPI_Framework!$F$8+KPI_Framework!$F$9))</f>
        <v/>
      </c>
      <c r="W34" s="105">
        <f>IF(Parameters!$C$23="OFF",1,IF(U34&gt;=Parameters!$B$25,Parameters!$C$25,IF(U34&gt;=Parameters!$B$26,Parameters!$C$26,IF(U34&gt;=Parameters!$B$27,Parameters!$C$27,Parameters!$C$28))))</f>
        <v/>
      </c>
      <c r="X34" s="69">
        <f>N34*W34</f>
        <v/>
      </c>
      <c r="Y34" s="106">
        <f>IF($A34="","",IF(F34&lt;=0,"No target",IF(X34&gt;=1,"On track",IF(X34&gt;=0.8,"Watch","Behind"))))</f>
        <v/>
      </c>
      <c r="Z34" s="107">
        <f>IFERROR(INDEX(Target_FY!$X$6:$AA$80,MATCH($A34&amp;"|K5",Target_FY!$A$6:$A$80,0),$E34),0)</f>
        <v/>
      </c>
      <c r="AA34" s="107">
        <f>IFERROR(INDEX(Actual_Monthly!$X$6:$AA$80,MATCH($A34&amp;"|K5",Actual_Monthly!$A$6:$A$80,0),$E34),0)</f>
        <v/>
      </c>
      <c r="AB34" s="108">
        <f>IF(Z34&lt;=0,0,AA34/Z34)</f>
        <v/>
      </c>
    </row>
    <row r="35">
      <c r="A35" s="88">
        <f>IFERROR(INDEX(Team_Master!$C$6:$C$20,INT((ROW()-6)/4)+1),"")</f>
        <v/>
      </c>
      <c r="B35" s="89">
        <f>IFERROR(INDEX(Team_Master!$G$6:$G$20,INT((ROW()-6)/4)+1),"")</f>
        <v/>
      </c>
      <c r="C35" s="88">
        <f>IFERROR(INDEX(Team_Master!$E$6:$E$20,INT((ROW()-6)/4)+1),"")</f>
        <v/>
      </c>
      <c r="D35" s="109">
        <f>"Q"&amp;E35</f>
        <v/>
      </c>
      <c r="E35" s="110">
        <f>MOD(ROW()-6,4)+1</f>
        <v/>
      </c>
      <c r="F35" s="100">
        <f>IFERROR(INDEX(Target_FY!$X$6:$AA$80,MATCH($A35&amp;"|K1",Target_FY!$A$6:$A$80,0),$E35),0)</f>
        <v/>
      </c>
      <c r="G35" s="100">
        <f>IFERROR(INDEX(Actual_Monthly!$X$6:$AA$80,MATCH($A35&amp;"|K1",Actual_Monthly!$A$6:$A$80,0),$E35),0)</f>
        <v/>
      </c>
      <c r="H35" s="101">
        <f>IF(F35&lt;=0,0,G35/F35)</f>
        <v/>
      </c>
      <c r="I35" s="102">
        <f>IF(F35&lt;=0,0,IF(H35&lt;Parameters!$C$15,0,IF(H35&lt;=Parameters!$C$17,Parameters!$C$16+(H35-Parameters!$C$15)/(Parameters!$C$17-Parameters!$C$15)*(Parameters!$C$18-Parameters!$C$16),MIN(Parameters!$C$20,Parameters!$C$18+(H35-Parameters!$C$17)/(Parameters!$C$19-Parameters!$C$17)*(Parameters!$C$20-Parameters!$C$18)))))</f>
        <v/>
      </c>
      <c r="J35" s="100">
        <f>IFERROR(INDEX(Target_FY!$X$6:$AA$80,MATCH($A35&amp;"|K2",Target_FY!$A$6:$A$80,0),$E35),0)</f>
        <v/>
      </c>
      <c r="K35" s="100">
        <f>IFERROR(INDEX(Actual_Monthly!$X$6:$AA$80,MATCH($A35&amp;"|K2",Actual_Monthly!$A$6:$A$80,0),$E35),0)</f>
        <v/>
      </c>
      <c r="L35" s="101">
        <f>IF(J35&lt;=0,0,K35/J35)</f>
        <v/>
      </c>
      <c r="M35" s="102">
        <f>IF(J35&lt;=0,0,IF(L35&lt;Parameters!$C$15,0,IF(L35&lt;=Parameters!$C$17,Parameters!$C$16+(L35-Parameters!$C$15)/(Parameters!$C$17-Parameters!$C$15)*(Parameters!$C$18-Parameters!$C$16),MIN(Parameters!$C$20,Parameters!$C$18+(L35-Parameters!$C$17)/(Parameters!$C$19-Parameters!$C$17)*(Parameters!$C$20-Parameters!$C$18)))))</f>
        <v/>
      </c>
      <c r="N35" s="69">
        <f>IF((KPI_Framework!$F$6+KPI_Framework!$F$7)=0,0,(KPI_Framework!$F$6*I35+KPI_Framework!$F$7*M35)/(KPI_Framework!$F$6+KPI_Framework!$F$7))</f>
        <v/>
      </c>
      <c r="O35" s="103">
        <f>IFERROR(INDEX(Target_FY!$X$6:$AA$80,MATCH($A35&amp;"|K3",Target_FY!$A$6:$A$80,0),$E35),0)</f>
        <v/>
      </c>
      <c r="P35" s="103">
        <f>IFERROR(INDEX(Actual_Monthly!$X$6:$AA$80,MATCH($A35&amp;"|K3",Actual_Monthly!$A$6:$A$80,0),$E35),0)</f>
        <v/>
      </c>
      <c r="Q35" s="104">
        <f>IF(O35&lt;=0,0,P35/O35)</f>
        <v/>
      </c>
      <c r="R35" s="103">
        <f>IFERROR(INDEX(Target_FY!$X$6:$AA$80,MATCH($A35&amp;"|K4",Target_FY!$A$6:$A$80,0),$E35),0)</f>
        <v/>
      </c>
      <c r="S35" s="103">
        <f>IFERROR(INDEX(Actual_Monthly!$X$6:$AA$80,MATCH($A35&amp;"|K4",Actual_Monthly!$A$6:$A$80,0),$E35),0)</f>
        <v/>
      </c>
      <c r="T35" s="104">
        <f>IF(R35&lt;=0,0,S35/R35)</f>
        <v/>
      </c>
      <c r="U35" s="104">
        <f>IF((KPI_Framework!$F$8+KPI_Framework!$F$9)=0,0,(KPI_Framework!$F$8*Q35+KPI_Framework!$F$9*T35)/(KPI_Framework!$F$8+KPI_Framework!$F$9))</f>
        <v/>
      </c>
      <c r="V35" s="104">
        <f>IF((KPI_Framework!$F$8+KPI_Framework!$F$9)=0,0,(KPI_Framework!$F$8*IF(O35&lt;=0,0,IF(Q35&lt;Parameters!$C$15,0,IF(Q35&lt;=Parameters!$C$17,Parameters!$C$16+(Q35-Parameters!$C$15)/(Parameters!$C$17-Parameters!$C$15)*(Parameters!$C$18-Parameters!$C$16),MIN(Parameters!$C$20,Parameters!$C$18+(Q35-Parameters!$C$17)/(Parameters!$C$19-Parameters!$C$17)*(Parameters!$C$20-Parameters!$C$18)))))+KPI_Framework!$F$9*IF(R35&lt;=0,0,IF(T35&lt;Parameters!$C$15,0,IF(T35&lt;=Parameters!$C$17,Parameters!$C$16+(T35-Parameters!$C$15)/(Parameters!$C$17-Parameters!$C$15)*(Parameters!$C$18-Parameters!$C$16),MIN(Parameters!$C$20,Parameters!$C$18+(T35-Parameters!$C$17)/(Parameters!$C$19-Parameters!$C$17)*(Parameters!$C$20-Parameters!$C$18))))))/(KPI_Framework!$F$8+KPI_Framework!$F$9))</f>
        <v/>
      </c>
      <c r="W35" s="105">
        <f>IF(Parameters!$C$23="OFF",1,IF(U35&gt;=Parameters!$B$25,Parameters!$C$25,IF(U35&gt;=Parameters!$B$26,Parameters!$C$26,IF(U35&gt;=Parameters!$B$27,Parameters!$C$27,Parameters!$C$28))))</f>
        <v/>
      </c>
      <c r="X35" s="69">
        <f>N35*W35</f>
        <v/>
      </c>
      <c r="Y35" s="106">
        <f>IF($A35="","",IF(F35&lt;=0,"No target",IF(X35&gt;=1,"On track",IF(X35&gt;=0.8,"Watch","Behind"))))</f>
        <v/>
      </c>
      <c r="Z35" s="107">
        <f>IFERROR(INDEX(Target_FY!$X$6:$AA$80,MATCH($A35&amp;"|K5",Target_FY!$A$6:$A$80,0),$E35),0)</f>
        <v/>
      </c>
      <c r="AA35" s="107">
        <f>IFERROR(INDEX(Actual_Monthly!$X$6:$AA$80,MATCH($A35&amp;"|K5",Actual_Monthly!$A$6:$A$80,0),$E35),0)</f>
        <v/>
      </c>
      <c r="AB35" s="108">
        <f>IF(Z35&lt;=0,0,AA35/Z35)</f>
        <v/>
      </c>
    </row>
    <row r="36">
      <c r="A36" s="88">
        <f>IFERROR(INDEX(Team_Master!$C$6:$C$20,INT((ROW()-6)/4)+1),"")</f>
        <v/>
      </c>
      <c r="B36" s="89">
        <f>IFERROR(INDEX(Team_Master!$G$6:$G$20,INT((ROW()-6)/4)+1),"")</f>
        <v/>
      </c>
      <c r="C36" s="88">
        <f>IFERROR(INDEX(Team_Master!$E$6:$E$20,INT((ROW()-6)/4)+1),"")</f>
        <v/>
      </c>
      <c r="D36" s="109">
        <f>"Q"&amp;E36</f>
        <v/>
      </c>
      <c r="E36" s="110">
        <f>MOD(ROW()-6,4)+1</f>
        <v/>
      </c>
      <c r="F36" s="100">
        <f>IFERROR(INDEX(Target_FY!$X$6:$AA$80,MATCH($A36&amp;"|K1",Target_FY!$A$6:$A$80,0),$E36),0)</f>
        <v/>
      </c>
      <c r="G36" s="100">
        <f>IFERROR(INDEX(Actual_Monthly!$X$6:$AA$80,MATCH($A36&amp;"|K1",Actual_Monthly!$A$6:$A$80,0),$E36),0)</f>
        <v/>
      </c>
      <c r="H36" s="101">
        <f>IF(F36&lt;=0,0,G36/F36)</f>
        <v/>
      </c>
      <c r="I36" s="102">
        <f>IF(F36&lt;=0,0,IF(H36&lt;Parameters!$C$15,0,IF(H36&lt;=Parameters!$C$17,Parameters!$C$16+(H36-Parameters!$C$15)/(Parameters!$C$17-Parameters!$C$15)*(Parameters!$C$18-Parameters!$C$16),MIN(Parameters!$C$20,Parameters!$C$18+(H36-Parameters!$C$17)/(Parameters!$C$19-Parameters!$C$17)*(Parameters!$C$20-Parameters!$C$18)))))</f>
        <v/>
      </c>
      <c r="J36" s="100">
        <f>IFERROR(INDEX(Target_FY!$X$6:$AA$80,MATCH($A36&amp;"|K2",Target_FY!$A$6:$A$80,0),$E36),0)</f>
        <v/>
      </c>
      <c r="K36" s="100">
        <f>IFERROR(INDEX(Actual_Monthly!$X$6:$AA$80,MATCH($A36&amp;"|K2",Actual_Monthly!$A$6:$A$80,0),$E36),0)</f>
        <v/>
      </c>
      <c r="L36" s="101">
        <f>IF(J36&lt;=0,0,K36/J36)</f>
        <v/>
      </c>
      <c r="M36" s="102">
        <f>IF(J36&lt;=0,0,IF(L36&lt;Parameters!$C$15,0,IF(L36&lt;=Parameters!$C$17,Parameters!$C$16+(L36-Parameters!$C$15)/(Parameters!$C$17-Parameters!$C$15)*(Parameters!$C$18-Parameters!$C$16),MIN(Parameters!$C$20,Parameters!$C$18+(L36-Parameters!$C$17)/(Parameters!$C$19-Parameters!$C$17)*(Parameters!$C$20-Parameters!$C$18)))))</f>
        <v/>
      </c>
      <c r="N36" s="69">
        <f>IF((KPI_Framework!$F$6+KPI_Framework!$F$7)=0,0,(KPI_Framework!$F$6*I36+KPI_Framework!$F$7*M36)/(KPI_Framework!$F$6+KPI_Framework!$F$7))</f>
        <v/>
      </c>
      <c r="O36" s="103">
        <f>IFERROR(INDEX(Target_FY!$X$6:$AA$80,MATCH($A36&amp;"|K3",Target_FY!$A$6:$A$80,0),$E36),0)</f>
        <v/>
      </c>
      <c r="P36" s="103">
        <f>IFERROR(INDEX(Actual_Monthly!$X$6:$AA$80,MATCH($A36&amp;"|K3",Actual_Monthly!$A$6:$A$80,0),$E36),0)</f>
        <v/>
      </c>
      <c r="Q36" s="104">
        <f>IF(O36&lt;=0,0,P36/O36)</f>
        <v/>
      </c>
      <c r="R36" s="103">
        <f>IFERROR(INDEX(Target_FY!$X$6:$AA$80,MATCH($A36&amp;"|K4",Target_FY!$A$6:$A$80,0),$E36),0)</f>
        <v/>
      </c>
      <c r="S36" s="103">
        <f>IFERROR(INDEX(Actual_Monthly!$X$6:$AA$80,MATCH($A36&amp;"|K4",Actual_Monthly!$A$6:$A$80,0),$E36),0)</f>
        <v/>
      </c>
      <c r="T36" s="104">
        <f>IF(R36&lt;=0,0,S36/R36)</f>
        <v/>
      </c>
      <c r="U36" s="104">
        <f>IF((KPI_Framework!$F$8+KPI_Framework!$F$9)=0,0,(KPI_Framework!$F$8*Q36+KPI_Framework!$F$9*T36)/(KPI_Framework!$F$8+KPI_Framework!$F$9))</f>
        <v/>
      </c>
      <c r="V36" s="104">
        <f>IF((KPI_Framework!$F$8+KPI_Framework!$F$9)=0,0,(KPI_Framework!$F$8*IF(O36&lt;=0,0,IF(Q36&lt;Parameters!$C$15,0,IF(Q36&lt;=Parameters!$C$17,Parameters!$C$16+(Q36-Parameters!$C$15)/(Parameters!$C$17-Parameters!$C$15)*(Parameters!$C$18-Parameters!$C$16),MIN(Parameters!$C$20,Parameters!$C$18+(Q36-Parameters!$C$17)/(Parameters!$C$19-Parameters!$C$17)*(Parameters!$C$20-Parameters!$C$18)))))+KPI_Framework!$F$9*IF(R36&lt;=0,0,IF(T36&lt;Parameters!$C$15,0,IF(T36&lt;=Parameters!$C$17,Parameters!$C$16+(T36-Parameters!$C$15)/(Parameters!$C$17-Parameters!$C$15)*(Parameters!$C$18-Parameters!$C$16),MIN(Parameters!$C$20,Parameters!$C$18+(T36-Parameters!$C$17)/(Parameters!$C$19-Parameters!$C$17)*(Parameters!$C$20-Parameters!$C$18))))))/(KPI_Framework!$F$8+KPI_Framework!$F$9))</f>
        <v/>
      </c>
      <c r="W36" s="105">
        <f>IF(Parameters!$C$23="OFF",1,IF(U36&gt;=Parameters!$B$25,Parameters!$C$25,IF(U36&gt;=Parameters!$B$26,Parameters!$C$26,IF(U36&gt;=Parameters!$B$27,Parameters!$C$27,Parameters!$C$28))))</f>
        <v/>
      </c>
      <c r="X36" s="69">
        <f>N36*W36</f>
        <v/>
      </c>
      <c r="Y36" s="106">
        <f>IF($A36="","",IF(F36&lt;=0,"No target",IF(X36&gt;=1,"On track",IF(X36&gt;=0.8,"Watch","Behind"))))</f>
        <v/>
      </c>
      <c r="Z36" s="107">
        <f>IFERROR(INDEX(Target_FY!$X$6:$AA$80,MATCH($A36&amp;"|K5",Target_FY!$A$6:$A$80,0),$E36),0)</f>
        <v/>
      </c>
      <c r="AA36" s="107">
        <f>IFERROR(INDEX(Actual_Monthly!$X$6:$AA$80,MATCH($A36&amp;"|K5",Actual_Monthly!$A$6:$A$80,0),$E36),0)</f>
        <v/>
      </c>
      <c r="AB36" s="108">
        <f>IF(Z36&lt;=0,0,AA36/Z36)</f>
        <v/>
      </c>
    </row>
    <row r="37">
      <c r="A37" s="88">
        <f>IFERROR(INDEX(Team_Master!$C$6:$C$20,INT((ROW()-6)/4)+1),"")</f>
        <v/>
      </c>
      <c r="B37" s="89">
        <f>IFERROR(INDEX(Team_Master!$G$6:$G$20,INT((ROW()-6)/4)+1),"")</f>
        <v/>
      </c>
      <c r="C37" s="88">
        <f>IFERROR(INDEX(Team_Master!$E$6:$E$20,INT((ROW()-6)/4)+1),"")</f>
        <v/>
      </c>
      <c r="D37" s="109">
        <f>"Q"&amp;E37</f>
        <v/>
      </c>
      <c r="E37" s="110">
        <f>MOD(ROW()-6,4)+1</f>
        <v/>
      </c>
      <c r="F37" s="100">
        <f>IFERROR(INDEX(Target_FY!$X$6:$AA$80,MATCH($A37&amp;"|K1",Target_FY!$A$6:$A$80,0),$E37),0)</f>
        <v/>
      </c>
      <c r="G37" s="100">
        <f>IFERROR(INDEX(Actual_Monthly!$X$6:$AA$80,MATCH($A37&amp;"|K1",Actual_Monthly!$A$6:$A$80,0),$E37),0)</f>
        <v/>
      </c>
      <c r="H37" s="101">
        <f>IF(F37&lt;=0,0,G37/F37)</f>
        <v/>
      </c>
      <c r="I37" s="102">
        <f>IF(F37&lt;=0,0,IF(H37&lt;Parameters!$C$15,0,IF(H37&lt;=Parameters!$C$17,Parameters!$C$16+(H37-Parameters!$C$15)/(Parameters!$C$17-Parameters!$C$15)*(Parameters!$C$18-Parameters!$C$16),MIN(Parameters!$C$20,Parameters!$C$18+(H37-Parameters!$C$17)/(Parameters!$C$19-Parameters!$C$17)*(Parameters!$C$20-Parameters!$C$18)))))</f>
        <v/>
      </c>
      <c r="J37" s="100">
        <f>IFERROR(INDEX(Target_FY!$X$6:$AA$80,MATCH($A37&amp;"|K2",Target_FY!$A$6:$A$80,0),$E37),0)</f>
        <v/>
      </c>
      <c r="K37" s="100">
        <f>IFERROR(INDEX(Actual_Monthly!$X$6:$AA$80,MATCH($A37&amp;"|K2",Actual_Monthly!$A$6:$A$80,0),$E37),0)</f>
        <v/>
      </c>
      <c r="L37" s="101">
        <f>IF(J37&lt;=0,0,K37/J37)</f>
        <v/>
      </c>
      <c r="M37" s="102">
        <f>IF(J37&lt;=0,0,IF(L37&lt;Parameters!$C$15,0,IF(L37&lt;=Parameters!$C$17,Parameters!$C$16+(L37-Parameters!$C$15)/(Parameters!$C$17-Parameters!$C$15)*(Parameters!$C$18-Parameters!$C$16),MIN(Parameters!$C$20,Parameters!$C$18+(L37-Parameters!$C$17)/(Parameters!$C$19-Parameters!$C$17)*(Parameters!$C$20-Parameters!$C$18)))))</f>
        <v/>
      </c>
      <c r="N37" s="69">
        <f>IF((KPI_Framework!$F$6+KPI_Framework!$F$7)=0,0,(KPI_Framework!$F$6*I37+KPI_Framework!$F$7*M37)/(KPI_Framework!$F$6+KPI_Framework!$F$7))</f>
        <v/>
      </c>
      <c r="O37" s="103">
        <f>IFERROR(INDEX(Target_FY!$X$6:$AA$80,MATCH($A37&amp;"|K3",Target_FY!$A$6:$A$80,0),$E37),0)</f>
        <v/>
      </c>
      <c r="P37" s="103">
        <f>IFERROR(INDEX(Actual_Monthly!$X$6:$AA$80,MATCH($A37&amp;"|K3",Actual_Monthly!$A$6:$A$80,0),$E37),0)</f>
        <v/>
      </c>
      <c r="Q37" s="104">
        <f>IF(O37&lt;=0,0,P37/O37)</f>
        <v/>
      </c>
      <c r="R37" s="103">
        <f>IFERROR(INDEX(Target_FY!$X$6:$AA$80,MATCH($A37&amp;"|K4",Target_FY!$A$6:$A$80,0),$E37),0)</f>
        <v/>
      </c>
      <c r="S37" s="103">
        <f>IFERROR(INDEX(Actual_Monthly!$X$6:$AA$80,MATCH($A37&amp;"|K4",Actual_Monthly!$A$6:$A$80,0),$E37),0)</f>
        <v/>
      </c>
      <c r="T37" s="104">
        <f>IF(R37&lt;=0,0,S37/R37)</f>
        <v/>
      </c>
      <c r="U37" s="104">
        <f>IF((KPI_Framework!$F$8+KPI_Framework!$F$9)=0,0,(KPI_Framework!$F$8*Q37+KPI_Framework!$F$9*T37)/(KPI_Framework!$F$8+KPI_Framework!$F$9))</f>
        <v/>
      </c>
      <c r="V37" s="104">
        <f>IF((KPI_Framework!$F$8+KPI_Framework!$F$9)=0,0,(KPI_Framework!$F$8*IF(O37&lt;=0,0,IF(Q37&lt;Parameters!$C$15,0,IF(Q37&lt;=Parameters!$C$17,Parameters!$C$16+(Q37-Parameters!$C$15)/(Parameters!$C$17-Parameters!$C$15)*(Parameters!$C$18-Parameters!$C$16),MIN(Parameters!$C$20,Parameters!$C$18+(Q37-Parameters!$C$17)/(Parameters!$C$19-Parameters!$C$17)*(Parameters!$C$20-Parameters!$C$18)))))+KPI_Framework!$F$9*IF(R37&lt;=0,0,IF(T37&lt;Parameters!$C$15,0,IF(T37&lt;=Parameters!$C$17,Parameters!$C$16+(T37-Parameters!$C$15)/(Parameters!$C$17-Parameters!$C$15)*(Parameters!$C$18-Parameters!$C$16),MIN(Parameters!$C$20,Parameters!$C$18+(T37-Parameters!$C$17)/(Parameters!$C$19-Parameters!$C$17)*(Parameters!$C$20-Parameters!$C$18))))))/(KPI_Framework!$F$8+KPI_Framework!$F$9))</f>
        <v/>
      </c>
      <c r="W37" s="105">
        <f>IF(Parameters!$C$23="OFF",1,IF(U37&gt;=Parameters!$B$25,Parameters!$C$25,IF(U37&gt;=Parameters!$B$26,Parameters!$C$26,IF(U37&gt;=Parameters!$B$27,Parameters!$C$27,Parameters!$C$28))))</f>
        <v/>
      </c>
      <c r="X37" s="69">
        <f>N37*W37</f>
        <v/>
      </c>
      <c r="Y37" s="106">
        <f>IF($A37="","",IF(F37&lt;=0,"No target",IF(X37&gt;=1,"On track",IF(X37&gt;=0.8,"Watch","Behind"))))</f>
        <v/>
      </c>
      <c r="Z37" s="107">
        <f>IFERROR(INDEX(Target_FY!$X$6:$AA$80,MATCH($A37&amp;"|K5",Target_FY!$A$6:$A$80,0),$E37),0)</f>
        <v/>
      </c>
      <c r="AA37" s="107">
        <f>IFERROR(INDEX(Actual_Monthly!$X$6:$AA$80,MATCH($A37&amp;"|K5",Actual_Monthly!$A$6:$A$80,0),$E37),0)</f>
        <v/>
      </c>
      <c r="AB37" s="108">
        <f>IF(Z37&lt;=0,0,AA37/Z37)</f>
        <v/>
      </c>
    </row>
    <row r="38">
      <c r="A38" s="82">
        <f>IFERROR(INDEX(Team_Master!$C$6:$C$20,INT((ROW()-6)/4)+1),"")</f>
        <v/>
      </c>
      <c r="B38" s="83">
        <f>IFERROR(INDEX(Team_Master!$G$6:$G$20,INT((ROW()-6)/4)+1),"")</f>
        <v/>
      </c>
      <c r="C38" s="82">
        <f>IFERROR(INDEX(Team_Master!$E$6:$E$20,INT((ROW()-6)/4)+1),"")</f>
        <v/>
      </c>
      <c r="D38" s="93">
        <f>"Q"&amp;E38</f>
        <v/>
      </c>
      <c r="E38" s="99">
        <f>MOD(ROW()-6,4)+1</f>
        <v/>
      </c>
      <c r="F38" s="100">
        <f>IFERROR(INDEX(Target_FY!$X$6:$AA$80,MATCH($A38&amp;"|K1",Target_FY!$A$6:$A$80,0),$E38),0)</f>
        <v/>
      </c>
      <c r="G38" s="100">
        <f>IFERROR(INDEX(Actual_Monthly!$X$6:$AA$80,MATCH($A38&amp;"|K1",Actual_Monthly!$A$6:$A$80,0),$E38),0)</f>
        <v/>
      </c>
      <c r="H38" s="101">
        <f>IF(F38&lt;=0,0,G38/F38)</f>
        <v/>
      </c>
      <c r="I38" s="102">
        <f>IF(F38&lt;=0,0,IF(H38&lt;Parameters!$C$15,0,IF(H38&lt;=Parameters!$C$17,Parameters!$C$16+(H38-Parameters!$C$15)/(Parameters!$C$17-Parameters!$C$15)*(Parameters!$C$18-Parameters!$C$16),MIN(Parameters!$C$20,Parameters!$C$18+(H38-Parameters!$C$17)/(Parameters!$C$19-Parameters!$C$17)*(Parameters!$C$20-Parameters!$C$18)))))</f>
        <v/>
      </c>
      <c r="J38" s="100">
        <f>IFERROR(INDEX(Target_FY!$X$6:$AA$80,MATCH($A38&amp;"|K2",Target_FY!$A$6:$A$80,0),$E38),0)</f>
        <v/>
      </c>
      <c r="K38" s="100">
        <f>IFERROR(INDEX(Actual_Monthly!$X$6:$AA$80,MATCH($A38&amp;"|K2",Actual_Monthly!$A$6:$A$80,0),$E38),0)</f>
        <v/>
      </c>
      <c r="L38" s="101">
        <f>IF(J38&lt;=0,0,K38/J38)</f>
        <v/>
      </c>
      <c r="M38" s="102">
        <f>IF(J38&lt;=0,0,IF(L38&lt;Parameters!$C$15,0,IF(L38&lt;=Parameters!$C$17,Parameters!$C$16+(L38-Parameters!$C$15)/(Parameters!$C$17-Parameters!$C$15)*(Parameters!$C$18-Parameters!$C$16),MIN(Parameters!$C$20,Parameters!$C$18+(L38-Parameters!$C$17)/(Parameters!$C$19-Parameters!$C$17)*(Parameters!$C$20-Parameters!$C$18)))))</f>
        <v/>
      </c>
      <c r="N38" s="69">
        <f>IF((KPI_Framework!$F$6+KPI_Framework!$F$7)=0,0,(KPI_Framework!$F$6*I38+KPI_Framework!$F$7*M38)/(KPI_Framework!$F$6+KPI_Framework!$F$7))</f>
        <v/>
      </c>
      <c r="O38" s="103">
        <f>IFERROR(INDEX(Target_FY!$X$6:$AA$80,MATCH($A38&amp;"|K3",Target_FY!$A$6:$A$80,0),$E38),0)</f>
        <v/>
      </c>
      <c r="P38" s="103">
        <f>IFERROR(INDEX(Actual_Monthly!$X$6:$AA$80,MATCH($A38&amp;"|K3",Actual_Monthly!$A$6:$A$80,0),$E38),0)</f>
        <v/>
      </c>
      <c r="Q38" s="104">
        <f>IF(O38&lt;=0,0,P38/O38)</f>
        <v/>
      </c>
      <c r="R38" s="103">
        <f>IFERROR(INDEX(Target_FY!$X$6:$AA$80,MATCH($A38&amp;"|K4",Target_FY!$A$6:$A$80,0),$E38),0)</f>
        <v/>
      </c>
      <c r="S38" s="103">
        <f>IFERROR(INDEX(Actual_Monthly!$X$6:$AA$80,MATCH($A38&amp;"|K4",Actual_Monthly!$A$6:$A$80,0),$E38),0)</f>
        <v/>
      </c>
      <c r="T38" s="104">
        <f>IF(R38&lt;=0,0,S38/R38)</f>
        <v/>
      </c>
      <c r="U38" s="104">
        <f>IF((KPI_Framework!$F$8+KPI_Framework!$F$9)=0,0,(KPI_Framework!$F$8*Q38+KPI_Framework!$F$9*T38)/(KPI_Framework!$F$8+KPI_Framework!$F$9))</f>
        <v/>
      </c>
      <c r="V38" s="104">
        <f>IF((KPI_Framework!$F$8+KPI_Framework!$F$9)=0,0,(KPI_Framework!$F$8*IF(O38&lt;=0,0,IF(Q38&lt;Parameters!$C$15,0,IF(Q38&lt;=Parameters!$C$17,Parameters!$C$16+(Q38-Parameters!$C$15)/(Parameters!$C$17-Parameters!$C$15)*(Parameters!$C$18-Parameters!$C$16),MIN(Parameters!$C$20,Parameters!$C$18+(Q38-Parameters!$C$17)/(Parameters!$C$19-Parameters!$C$17)*(Parameters!$C$20-Parameters!$C$18)))))+KPI_Framework!$F$9*IF(R38&lt;=0,0,IF(T38&lt;Parameters!$C$15,0,IF(T38&lt;=Parameters!$C$17,Parameters!$C$16+(T38-Parameters!$C$15)/(Parameters!$C$17-Parameters!$C$15)*(Parameters!$C$18-Parameters!$C$16),MIN(Parameters!$C$20,Parameters!$C$18+(T38-Parameters!$C$17)/(Parameters!$C$19-Parameters!$C$17)*(Parameters!$C$20-Parameters!$C$18))))))/(KPI_Framework!$F$8+KPI_Framework!$F$9))</f>
        <v/>
      </c>
      <c r="W38" s="105">
        <f>IF(Parameters!$C$23="OFF",1,IF(U38&gt;=Parameters!$B$25,Parameters!$C$25,IF(U38&gt;=Parameters!$B$26,Parameters!$C$26,IF(U38&gt;=Parameters!$B$27,Parameters!$C$27,Parameters!$C$28))))</f>
        <v/>
      </c>
      <c r="X38" s="69">
        <f>N38*W38</f>
        <v/>
      </c>
      <c r="Y38" s="106">
        <f>IF($A38="","",IF(F38&lt;=0,"No target",IF(X38&gt;=1,"On track",IF(X38&gt;=0.8,"Watch","Behind"))))</f>
        <v/>
      </c>
      <c r="Z38" s="107">
        <f>IFERROR(INDEX(Target_FY!$X$6:$AA$80,MATCH($A38&amp;"|K5",Target_FY!$A$6:$A$80,0),$E38),0)</f>
        <v/>
      </c>
      <c r="AA38" s="107">
        <f>IFERROR(INDEX(Actual_Monthly!$X$6:$AA$80,MATCH($A38&amp;"|K5",Actual_Monthly!$A$6:$A$80,0),$E38),0)</f>
        <v/>
      </c>
      <c r="AB38" s="108">
        <f>IF(Z38&lt;=0,0,AA38/Z38)</f>
        <v/>
      </c>
    </row>
    <row r="39">
      <c r="A39" s="82">
        <f>IFERROR(INDEX(Team_Master!$C$6:$C$20,INT((ROW()-6)/4)+1),"")</f>
        <v/>
      </c>
      <c r="B39" s="83">
        <f>IFERROR(INDEX(Team_Master!$G$6:$G$20,INT((ROW()-6)/4)+1),"")</f>
        <v/>
      </c>
      <c r="C39" s="82">
        <f>IFERROR(INDEX(Team_Master!$E$6:$E$20,INT((ROW()-6)/4)+1),"")</f>
        <v/>
      </c>
      <c r="D39" s="93">
        <f>"Q"&amp;E39</f>
        <v/>
      </c>
      <c r="E39" s="99">
        <f>MOD(ROW()-6,4)+1</f>
        <v/>
      </c>
      <c r="F39" s="100">
        <f>IFERROR(INDEX(Target_FY!$X$6:$AA$80,MATCH($A39&amp;"|K1",Target_FY!$A$6:$A$80,0),$E39),0)</f>
        <v/>
      </c>
      <c r="G39" s="100">
        <f>IFERROR(INDEX(Actual_Monthly!$X$6:$AA$80,MATCH($A39&amp;"|K1",Actual_Monthly!$A$6:$A$80,0),$E39),0)</f>
        <v/>
      </c>
      <c r="H39" s="101">
        <f>IF(F39&lt;=0,0,G39/F39)</f>
        <v/>
      </c>
      <c r="I39" s="102">
        <f>IF(F39&lt;=0,0,IF(H39&lt;Parameters!$C$15,0,IF(H39&lt;=Parameters!$C$17,Parameters!$C$16+(H39-Parameters!$C$15)/(Parameters!$C$17-Parameters!$C$15)*(Parameters!$C$18-Parameters!$C$16),MIN(Parameters!$C$20,Parameters!$C$18+(H39-Parameters!$C$17)/(Parameters!$C$19-Parameters!$C$17)*(Parameters!$C$20-Parameters!$C$18)))))</f>
        <v/>
      </c>
      <c r="J39" s="100">
        <f>IFERROR(INDEX(Target_FY!$X$6:$AA$80,MATCH($A39&amp;"|K2",Target_FY!$A$6:$A$80,0),$E39),0)</f>
        <v/>
      </c>
      <c r="K39" s="100">
        <f>IFERROR(INDEX(Actual_Monthly!$X$6:$AA$80,MATCH($A39&amp;"|K2",Actual_Monthly!$A$6:$A$80,0),$E39),0)</f>
        <v/>
      </c>
      <c r="L39" s="101">
        <f>IF(J39&lt;=0,0,K39/J39)</f>
        <v/>
      </c>
      <c r="M39" s="102">
        <f>IF(J39&lt;=0,0,IF(L39&lt;Parameters!$C$15,0,IF(L39&lt;=Parameters!$C$17,Parameters!$C$16+(L39-Parameters!$C$15)/(Parameters!$C$17-Parameters!$C$15)*(Parameters!$C$18-Parameters!$C$16),MIN(Parameters!$C$20,Parameters!$C$18+(L39-Parameters!$C$17)/(Parameters!$C$19-Parameters!$C$17)*(Parameters!$C$20-Parameters!$C$18)))))</f>
        <v/>
      </c>
      <c r="N39" s="69">
        <f>IF((KPI_Framework!$F$6+KPI_Framework!$F$7)=0,0,(KPI_Framework!$F$6*I39+KPI_Framework!$F$7*M39)/(KPI_Framework!$F$6+KPI_Framework!$F$7))</f>
        <v/>
      </c>
      <c r="O39" s="103">
        <f>IFERROR(INDEX(Target_FY!$X$6:$AA$80,MATCH($A39&amp;"|K3",Target_FY!$A$6:$A$80,0),$E39),0)</f>
        <v/>
      </c>
      <c r="P39" s="103">
        <f>IFERROR(INDEX(Actual_Monthly!$X$6:$AA$80,MATCH($A39&amp;"|K3",Actual_Monthly!$A$6:$A$80,0),$E39),0)</f>
        <v/>
      </c>
      <c r="Q39" s="104">
        <f>IF(O39&lt;=0,0,P39/O39)</f>
        <v/>
      </c>
      <c r="R39" s="103">
        <f>IFERROR(INDEX(Target_FY!$X$6:$AA$80,MATCH($A39&amp;"|K4",Target_FY!$A$6:$A$80,0),$E39),0)</f>
        <v/>
      </c>
      <c r="S39" s="103">
        <f>IFERROR(INDEX(Actual_Monthly!$X$6:$AA$80,MATCH($A39&amp;"|K4",Actual_Monthly!$A$6:$A$80,0),$E39),0)</f>
        <v/>
      </c>
      <c r="T39" s="104">
        <f>IF(R39&lt;=0,0,S39/R39)</f>
        <v/>
      </c>
      <c r="U39" s="104">
        <f>IF((KPI_Framework!$F$8+KPI_Framework!$F$9)=0,0,(KPI_Framework!$F$8*Q39+KPI_Framework!$F$9*T39)/(KPI_Framework!$F$8+KPI_Framework!$F$9))</f>
        <v/>
      </c>
      <c r="V39" s="104">
        <f>IF((KPI_Framework!$F$8+KPI_Framework!$F$9)=0,0,(KPI_Framework!$F$8*IF(O39&lt;=0,0,IF(Q39&lt;Parameters!$C$15,0,IF(Q39&lt;=Parameters!$C$17,Parameters!$C$16+(Q39-Parameters!$C$15)/(Parameters!$C$17-Parameters!$C$15)*(Parameters!$C$18-Parameters!$C$16),MIN(Parameters!$C$20,Parameters!$C$18+(Q39-Parameters!$C$17)/(Parameters!$C$19-Parameters!$C$17)*(Parameters!$C$20-Parameters!$C$18)))))+KPI_Framework!$F$9*IF(R39&lt;=0,0,IF(T39&lt;Parameters!$C$15,0,IF(T39&lt;=Parameters!$C$17,Parameters!$C$16+(T39-Parameters!$C$15)/(Parameters!$C$17-Parameters!$C$15)*(Parameters!$C$18-Parameters!$C$16),MIN(Parameters!$C$20,Parameters!$C$18+(T39-Parameters!$C$17)/(Parameters!$C$19-Parameters!$C$17)*(Parameters!$C$20-Parameters!$C$18))))))/(KPI_Framework!$F$8+KPI_Framework!$F$9))</f>
        <v/>
      </c>
      <c r="W39" s="105">
        <f>IF(Parameters!$C$23="OFF",1,IF(U39&gt;=Parameters!$B$25,Parameters!$C$25,IF(U39&gt;=Parameters!$B$26,Parameters!$C$26,IF(U39&gt;=Parameters!$B$27,Parameters!$C$27,Parameters!$C$28))))</f>
        <v/>
      </c>
      <c r="X39" s="69">
        <f>N39*W39</f>
        <v/>
      </c>
      <c r="Y39" s="106">
        <f>IF($A39="","",IF(F39&lt;=0,"No target",IF(X39&gt;=1,"On track",IF(X39&gt;=0.8,"Watch","Behind"))))</f>
        <v/>
      </c>
      <c r="Z39" s="107">
        <f>IFERROR(INDEX(Target_FY!$X$6:$AA$80,MATCH($A39&amp;"|K5",Target_FY!$A$6:$A$80,0),$E39),0)</f>
        <v/>
      </c>
      <c r="AA39" s="107">
        <f>IFERROR(INDEX(Actual_Monthly!$X$6:$AA$80,MATCH($A39&amp;"|K5",Actual_Monthly!$A$6:$A$80,0),$E39),0)</f>
        <v/>
      </c>
      <c r="AB39" s="108">
        <f>IF(Z39&lt;=0,0,AA39/Z39)</f>
        <v/>
      </c>
    </row>
    <row r="40">
      <c r="A40" s="82">
        <f>IFERROR(INDEX(Team_Master!$C$6:$C$20,INT((ROW()-6)/4)+1),"")</f>
        <v/>
      </c>
      <c r="B40" s="83">
        <f>IFERROR(INDEX(Team_Master!$G$6:$G$20,INT((ROW()-6)/4)+1),"")</f>
        <v/>
      </c>
      <c r="C40" s="82">
        <f>IFERROR(INDEX(Team_Master!$E$6:$E$20,INT((ROW()-6)/4)+1),"")</f>
        <v/>
      </c>
      <c r="D40" s="93">
        <f>"Q"&amp;E40</f>
        <v/>
      </c>
      <c r="E40" s="99">
        <f>MOD(ROW()-6,4)+1</f>
        <v/>
      </c>
      <c r="F40" s="100">
        <f>IFERROR(INDEX(Target_FY!$X$6:$AA$80,MATCH($A40&amp;"|K1",Target_FY!$A$6:$A$80,0),$E40),0)</f>
        <v/>
      </c>
      <c r="G40" s="100">
        <f>IFERROR(INDEX(Actual_Monthly!$X$6:$AA$80,MATCH($A40&amp;"|K1",Actual_Monthly!$A$6:$A$80,0),$E40),0)</f>
        <v/>
      </c>
      <c r="H40" s="101">
        <f>IF(F40&lt;=0,0,G40/F40)</f>
        <v/>
      </c>
      <c r="I40" s="102">
        <f>IF(F40&lt;=0,0,IF(H40&lt;Parameters!$C$15,0,IF(H40&lt;=Parameters!$C$17,Parameters!$C$16+(H40-Parameters!$C$15)/(Parameters!$C$17-Parameters!$C$15)*(Parameters!$C$18-Parameters!$C$16),MIN(Parameters!$C$20,Parameters!$C$18+(H40-Parameters!$C$17)/(Parameters!$C$19-Parameters!$C$17)*(Parameters!$C$20-Parameters!$C$18)))))</f>
        <v/>
      </c>
      <c r="J40" s="100">
        <f>IFERROR(INDEX(Target_FY!$X$6:$AA$80,MATCH($A40&amp;"|K2",Target_FY!$A$6:$A$80,0),$E40),0)</f>
        <v/>
      </c>
      <c r="K40" s="100">
        <f>IFERROR(INDEX(Actual_Monthly!$X$6:$AA$80,MATCH($A40&amp;"|K2",Actual_Monthly!$A$6:$A$80,0),$E40),0)</f>
        <v/>
      </c>
      <c r="L40" s="101">
        <f>IF(J40&lt;=0,0,K40/J40)</f>
        <v/>
      </c>
      <c r="M40" s="102">
        <f>IF(J40&lt;=0,0,IF(L40&lt;Parameters!$C$15,0,IF(L40&lt;=Parameters!$C$17,Parameters!$C$16+(L40-Parameters!$C$15)/(Parameters!$C$17-Parameters!$C$15)*(Parameters!$C$18-Parameters!$C$16),MIN(Parameters!$C$20,Parameters!$C$18+(L40-Parameters!$C$17)/(Parameters!$C$19-Parameters!$C$17)*(Parameters!$C$20-Parameters!$C$18)))))</f>
        <v/>
      </c>
      <c r="N40" s="69">
        <f>IF((KPI_Framework!$F$6+KPI_Framework!$F$7)=0,0,(KPI_Framework!$F$6*I40+KPI_Framework!$F$7*M40)/(KPI_Framework!$F$6+KPI_Framework!$F$7))</f>
        <v/>
      </c>
      <c r="O40" s="103">
        <f>IFERROR(INDEX(Target_FY!$X$6:$AA$80,MATCH($A40&amp;"|K3",Target_FY!$A$6:$A$80,0),$E40),0)</f>
        <v/>
      </c>
      <c r="P40" s="103">
        <f>IFERROR(INDEX(Actual_Monthly!$X$6:$AA$80,MATCH($A40&amp;"|K3",Actual_Monthly!$A$6:$A$80,0),$E40),0)</f>
        <v/>
      </c>
      <c r="Q40" s="104">
        <f>IF(O40&lt;=0,0,P40/O40)</f>
        <v/>
      </c>
      <c r="R40" s="103">
        <f>IFERROR(INDEX(Target_FY!$X$6:$AA$80,MATCH($A40&amp;"|K4",Target_FY!$A$6:$A$80,0),$E40),0)</f>
        <v/>
      </c>
      <c r="S40" s="103">
        <f>IFERROR(INDEX(Actual_Monthly!$X$6:$AA$80,MATCH($A40&amp;"|K4",Actual_Monthly!$A$6:$A$80,0),$E40),0)</f>
        <v/>
      </c>
      <c r="T40" s="104">
        <f>IF(R40&lt;=0,0,S40/R40)</f>
        <v/>
      </c>
      <c r="U40" s="104">
        <f>IF((KPI_Framework!$F$8+KPI_Framework!$F$9)=0,0,(KPI_Framework!$F$8*Q40+KPI_Framework!$F$9*T40)/(KPI_Framework!$F$8+KPI_Framework!$F$9))</f>
        <v/>
      </c>
      <c r="V40" s="104">
        <f>IF((KPI_Framework!$F$8+KPI_Framework!$F$9)=0,0,(KPI_Framework!$F$8*IF(O40&lt;=0,0,IF(Q40&lt;Parameters!$C$15,0,IF(Q40&lt;=Parameters!$C$17,Parameters!$C$16+(Q40-Parameters!$C$15)/(Parameters!$C$17-Parameters!$C$15)*(Parameters!$C$18-Parameters!$C$16),MIN(Parameters!$C$20,Parameters!$C$18+(Q40-Parameters!$C$17)/(Parameters!$C$19-Parameters!$C$17)*(Parameters!$C$20-Parameters!$C$18)))))+KPI_Framework!$F$9*IF(R40&lt;=0,0,IF(T40&lt;Parameters!$C$15,0,IF(T40&lt;=Parameters!$C$17,Parameters!$C$16+(T40-Parameters!$C$15)/(Parameters!$C$17-Parameters!$C$15)*(Parameters!$C$18-Parameters!$C$16),MIN(Parameters!$C$20,Parameters!$C$18+(T40-Parameters!$C$17)/(Parameters!$C$19-Parameters!$C$17)*(Parameters!$C$20-Parameters!$C$18))))))/(KPI_Framework!$F$8+KPI_Framework!$F$9))</f>
        <v/>
      </c>
      <c r="W40" s="105">
        <f>IF(Parameters!$C$23="OFF",1,IF(U40&gt;=Parameters!$B$25,Parameters!$C$25,IF(U40&gt;=Parameters!$B$26,Parameters!$C$26,IF(U40&gt;=Parameters!$B$27,Parameters!$C$27,Parameters!$C$28))))</f>
        <v/>
      </c>
      <c r="X40" s="69">
        <f>N40*W40</f>
        <v/>
      </c>
      <c r="Y40" s="106">
        <f>IF($A40="","",IF(F40&lt;=0,"No target",IF(X40&gt;=1,"On track",IF(X40&gt;=0.8,"Watch","Behind"))))</f>
        <v/>
      </c>
      <c r="Z40" s="107">
        <f>IFERROR(INDEX(Target_FY!$X$6:$AA$80,MATCH($A40&amp;"|K5",Target_FY!$A$6:$A$80,0),$E40),0)</f>
        <v/>
      </c>
      <c r="AA40" s="107">
        <f>IFERROR(INDEX(Actual_Monthly!$X$6:$AA$80,MATCH($A40&amp;"|K5",Actual_Monthly!$A$6:$A$80,0),$E40),0)</f>
        <v/>
      </c>
      <c r="AB40" s="108">
        <f>IF(Z40&lt;=0,0,AA40/Z40)</f>
        <v/>
      </c>
    </row>
    <row r="41">
      <c r="A41" s="82">
        <f>IFERROR(INDEX(Team_Master!$C$6:$C$20,INT((ROW()-6)/4)+1),"")</f>
        <v/>
      </c>
      <c r="B41" s="83">
        <f>IFERROR(INDEX(Team_Master!$G$6:$G$20,INT((ROW()-6)/4)+1),"")</f>
        <v/>
      </c>
      <c r="C41" s="82">
        <f>IFERROR(INDEX(Team_Master!$E$6:$E$20,INT((ROW()-6)/4)+1),"")</f>
        <v/>
      </c>
      <c r="D41" s="93">
        <f>"Q"&amp;E41</f>
        <v/>
      </c>
      <c r="E41" s="99">
        <f>MOD(ROW()-6,4)+1</f>
        <v/>
      </c>
      <c r="F41" s="100">
        <f>IFERROR(INDEX(Target_FY!$X$6:$AA$80,MATCH($A41&amp;"|K1",Target_FY!$A$6:$A$80,0),$E41),0)</f>
        <v/>
      </c>
      <c r="G41" s="100">
        <f>IFERROR(INDEX(Actual_Monthly!$X$6:$AA$80,MATCH($A41&amp;"|K1",Actual_Monthly!$A$6:$A$80,0),$E41),0)</f>
        <v/>
      </c>
      <c r="H41" s="101">
        <f>IF(F41&lt;=0,0,G41/F41)</f>
        <v/>
      </c>
      <c r="I41" s="102">
        <f>IF(F41&lt;=0,0,IF(H41&lt;Parameters!$C$15,0,IF(H41&lt;=Parameters!$C$17,Parameters!$C$16+(H41-Parameters!$C$15)/(Parameters!$C$17-Parameters!$C$15)*(Parameters!$C$18-Parameters!$C$16),MIN(Parameters!$C$20,Parameters!$C$18+(H41-Parameters!$C$17)/(Parameters!$C$19-Parameters!$C$17)*(Parameters!$C$20-Parameters!$C$18)))))</f>
        <v/>
      </c>
      <c r="J41" s="100">
        <f>IFERROR(INDEX(Target_FY!$X$6:$AA$80,MATCH($A41&amp;"|K2",Target_FY!$A$6:$A$80,0),$E41),0)</f>
        <v/>
      </c>
      <c r="K41" s="100">
        <f>IFERROR(INDEX(Actual_Monthly!$X$6:$AA$80,MATCH($A41&amp;"|K2",Actual_Monthly!$A$6:$A$80,0),$E41),0)</f>
        <v/>
      </c>
      <c r="L41" s="101">
        <f>IF(J41&lt;=0,0,K41/J41)</f>
        <v/>
      </c>
      <c r="M41" s="102">
        <f>IF(J41&lt;=0,0,IF(L41&lt;Parameters!$C$15,0,IF(L41&lt;=Parameters!$C$17,Parameters!$C$16+(L41-Parameters!$C$15)/(Parameters!$C$17-Parameters!$C$15)*(Parameters!$C$18-Parameters!$C$16),MIN(Parameters!$C$20,Parameters!$C$18+(L41-Parameters!$C$17)/(Parameters!$C$19-Parameters!$C$17)*(Parameters!$C$20-Parameters!$C$18)))))</f>
        <v/>
      </c>
      <c r="N41" s="69">
        <f>IF((KPI_Framework!$F$6+KPI_Framework!$F$7)=0,0,(KPI_Framework!$F$6*I41+KPI_Framework!$F$7*M41)/(KPI_Framework!$F$6+KPI_Framework!$F$7))</f>
        <v/>
      </c>
      <c r="O41" s="103">
        <f>IFERROR(INDEX(Target_FY!$X$6:$AA$80,MATCH($A41&amp;"|K3",Target_FY!$A$6:$A$80,0),$E41),0)</f>
        <v/>
      </c>
      <c r="P41" s="103">
        <f>IFERROR(INDEX(Actual_Monthly!$X$6:$AA$80,MATCH($A41&amp;"|K3",Actual_Monthly!$A$6:$A$80,0),$E41),0)</f>
        <v/>
      </c>
      <c r="Q41" s="104">
        <f>IF(O41&lt;=0,0,P41/O41)</f>
        <v/>
      </c>
      <c r="R41" s="103">
        <f>IFERROR(INDEX(Target_FY!$X$6:$AA$80,MATCH($A41&amp;"|K4",Target_FY!$A$6:$A$80,0),$E41),0)</f>
        <v/>
      </c>
      <c r="S41" s="103">
        <f>IFERROR(INDEX(Actual_Monthly!$X$6:$AA$80,MATCH($A41&amp;"|K4",Actual_Monthly!$A$6:$A$80,0),$E41),0)</f>
        <v/>
      </c>
      <c r="T41" s="104">
        <f>IF(R41&lt;=0,0,S41/R41)</f>
        <v/>
      </c>
      <c r="U41" s="104">
        <f>IF((KPI_Framework!$F$8+KPI_Framework!$F$9)=0,0,(KPI_Framework!$F$8*Q41+KPI_Framework!$F$9*T41)/(KPI_Framework!$F$8+KPI_Framework!$F$9))</f>
        <v/>
      </c>
      <c r="V41" s="104">
        <f>IF((KPI_Framework!$F$8+KPI_Framework!$F$9)=0,0,(KPI_Framework!$F$8*IF(O41&lt;=0,0,IF(Q41&lt;Parameters!$C$15,0,IF(Q41&lt;=Parameters!$C$17,Parameters!$C$16+(Q41-Parameters!$C$15)/(Parameters!$C$17-Parameters!$C$15)*(Parameters!$C$18-Parameters!$C$16),MIN(Parameters!$C$20,Parameters!$C$18+(Q41-Parameters!$C$17)/(Parameters!$C$19-Parameters!$C$17)*(Parameters!$C$20-Parameters!$C$18)))))+KPI_Framework!$F$9*IF(R41&lt;=0,0,IF(T41&lt;Parameters!$C$15,0,IF(T41&lt;=Parameters!$C$17,Parameters!$C$16+(T41-Parameters!$C$15)/(Parameters!$C$17-Parameters!$C$15)*(Parameters!$C$18-Parameters!$C$16),MIN(Parameters!$C$20,Parameters!$C$18+(T41-Parameters!$C$17)/(Parameters!$C$19-Parameters!$C$17)*(Parameters!$C$20-Parameters!$C$18))))))/(KPI_Framework!$F$8+KPI_Framework!$F$9))</f>
        <v/>
      </c>
      <c r="W41" s="105">
        <f>IF(Parameters!$C$23="OFF",1,IF(U41&gt;=Parameters!$B$25,Parameters!$C$25,IF(U41&gt;=Parameters!$B$26,Parameters!$C$26,IF(U41&gt;=Parameters!$B$27,Parameters!$C$27,Parameters!$C$28))))</f>
        <v/>
      </c>
      <c r="X41" s="69">
        <f>N41*W41</f>
        <v/>
      </c>
      <c r="Y41" s="106">
        <f>IF($A41="","",IF(F41&lt;=0,"No target",IF(X41&gt;=1,"On track",IF(X41&gt;=0.8,"Watch","Behind"))))</f>
        <v/>
      </c>
      <c r="Z41" s="107">
        <f>IFERROR(INDEX(Target_FY!$X$6:$AA$80,MATCH($A41&amp;"|K5",Target_FY!$A$6:$A$80,0),$E41),0)</f>
        <v/>
      </c>
      <c r="AA41" s="107">
        <f>IFERROR(INDEX(Actual_Monthly!$X$6:$AA$80,MATCH($A41&amp;"|K5",Actual_Monthly!$A$6:$A$80,0),$E41),0)</f>
        <v/>
      </c>
      <c r="AB41" s="108">
        <f>IF(Z41&lt;=0,0,AA41/Z41)</f>
        <v/>
      </c>
    </row>
    <row r="42">
      <c r="A42" s="88">
        <f>IFERROR(INDEX(Team_Master!$C$6:$C$20,INT((ROW()-6)/4)+1),"")</f>
        <v/>
      </c>
      <c r="B42" s="89">
        <f>IFERROR(INDEX(Team_Master!$G$6:$G$20,INT((ROW()-6)/4)+1),"")</f>
        <v/>
      </c>
      <c r="C42" s="88">
        <f>IFERROR(INDEX(Team_Master!$E$6:$E$20,INT((ROW()-6)/4)+1),"")</f>
        <v/>
      </c>
      <c r="D42" s="109">
        <f>"Q"&amp;E42</f>
        <v/>
      </c>
      <c r="E42" s="110">
        <f>MOD(ROW()-6,4)+1</f>
        <v/>
      </c>
      <c r="F42" s="100">
        <f>IFERROR(INDEX(Target_FY!$X$6:$AA$80,MATCH($A42&amp;"|K1",Target_FY!$A$6:$A$80,0),$E42),0)</f>
        <v/>
      </c>
      <c r="G42" s="100">
        <f>IFERROR(INDEX(Actual_Monthly!$X$6:$AA$80,MATCH($A42&amp;"|K1",Actual_Monthly!$A$6:$A$80,0),$E42),0)</f>
        <v/>
      </c>
      <c r="H42" s="101">
        <f>IF(F42&lt;=0,0,G42/F42)</f>
        <v/>
      </c>
      <c r="I42" s="102">
        <f>IF(F42&lt;=0,0,IF(H42&lt;Parameters!$C$15,0,IF(H42&lt;=Parameters!$C$17,Parameters!$C$16+(H42-Parameters!$C$15)/(Parameters!$C$17-Parameters!$C$15)*(Parameters!$C$18-Parameters!$C$16),MIN(Parameters!$C$20,Parameters!$C$18+(H42-Parameters!$C$17)/(Parameters!$C$19-Parameters!$C$17)*(Parameters!$C$20-Parameters!$C$18)))))</f>
        <v/>
      </c>
      <c r="J42" s="100">
        <f>IFERROR(INDEX(Target_FY!$X$6:$AA$80,MATCH($A42&amp;"|K2",Target_FY!$A$6:$A$80,0),$E42),0)</f>
        <v/>
      </c>
      <c r="K42" s="100">
        <f>IFERROR(INDEX(Actual_Monthly!$X$6:$AA$80,MATCH($A42&amp;"|K2",Actual_Monthly!$A$6:$A$80,0),$E42),0)</f>
        <v/>
      </c>
      <c r="L42" s="101">
        <f>IF(J42&lt;=0,0,K42/J42)</f>
        <v/>
      </c>
      <c r="M42" s="102">
        <f>IF(J42&lt;=0,0,IF(L42&lt;Parameters!$C$15,0,IF(L42&lt;=Parameters!$C$17,Parameters!$C$16+(L42-Parameters!$C$15)/(Parameters!$C$17-Parameters!$C$15)*(Parameters!$C$18-Parameters!$C$16),MIN(Parameters!$C$20,Parameters!$C$18+(L42-Parameters!$C$17)/(Parameters!$C$19-Parameters!$C$17)*(Parameters!$C$20-Parameters!$C$18)))))</f>
        <v/>
      </c>
      <c r="N42" s="69">
        <f>IF((KPI_Framework!$F$6+KPI_Framework!$F$7)=0,0,(KPI_Framework!$F$6*I42+KPI_Framework!$F$7*M42)/(KPI_Framework!$F$6+KPI_Framework!$F$7))</f>
        <v/>
      </c>
      <c r="O42" s="103">
        <f>IFERROR(INDEX(Target_FY!$X$6:$AA$80,MATCH($A42&amp;"|K3",Target_FY!$A$6:$A$80,0),$E42),0)</f>
        <v/>
      </c>
      <c r="P42" s="103">
        <f>IFERROR(INDEX(Actual_Monthly!$X$6:$AA$80,MATCH($A42&amp;"|K3",Actual_Monthly!$A$6:$A$80,0),$E42),0)</f>
        <v/>
      </c>
      <c r="Q42" s="104">
        <f>IF(O42&lt;=0,0,P42/O42)</f>
        <v/>
      </c>
      <c r="R42" s="103">
        <f>IFERROR(INDEX(Target_FY!$X$6:$AA$80,MATCH($A42&amp;"|K4",Target_FY!$A$6:$A$80,0),$E42),0)</f>
        <v/>
      </c>
      <c r="S42" s="103">
        <f>IFERROR(INDEX(Actual_Monthly!$X$6:$AA$80,MATCH($A42&amp;"|K4",Actual_Monthly!$A$6:$A$80,0),$E42),0)</f>
        <v/>
      </c>
      <c r="T42" s="104">
        <f>IF(R42&lt;=0,0,S42/R42)</f>
        <v/>
      </c>
      <c r="U42" s="104">
        <f>IF((KPI_Framework!$F$8+KPI_Framework!$F$9)=0,0,(KPI_Framework!$F$8*Q42+KPI_Framework!$F$9*T42)/(KPI_Framework!$F$8+KPI_Framework!$F$9))</f>
        <v/>
      </c>
      <c r="V42" s="104">
        <f>IF((KPI_Framework!$F$8+KPI_Framework!$F$9)=0,0,(KPI_Framework!$F$8*IF(O42&lt;=0,0,IF(Q42&lt;Parameters!$C$15,0,IF(Q42&lt;=Parameters!$C$17,Parameters!$C$16+(Q42-Parameters!$C$15)/(Parameters!$C$17-Parameters!$C$15)*(Parameters!$C$18-Parameters!$C$16),MIN(Parameters!$C$20,Parameters!$C$18+(Q42-Parameters!$C$17)/(Parameters!$C$19-Parameters!$C$17)*(Parameters!$C$20-Parameters!$C$18)))))+KPI_Framework!$F$9*IF(R42&lt;=0,0,IF(T42&lt;Parameters!$C$15,0,IF(T42&lt;=Parameters!$C$17,Parameters!$C$16+(T42-Parameters!$C$15)/(Parameters!$C$17-Parameters!$C$15)*(Parameters!$C$18-Parameters!$C$16),MIN(Parameters!$C$20,Parameters!$C$18+(T42-Parameters!$C$17)/(Parameters!$C$19-Parameters!$C$17)*(Parameters!$C$20-Parameters!$C$18))))))/(KPI_Framework!$F$8+KPI_Framework!$F$9))</f>
        <v/>
      </c>
      <c r="W42" s="105">
        <f>IF(Parameters!$C$23="OFF",1,IF(U42&gt;=Parameters!$B$25,Parameters!$C$25,IF(U42&gt;=Parameters!$B$26,Parameters!$C$26,IF(U42&gt;=Parameters!$B$27,Parameters!$C$27,Parameters!$C$28))))</f>
        <v/>
      </c>
      <c r="X42" s="69">
        <f>N42*W42</f>
        <v/>
      </c>
      <c r="Y42" s="106">
        <f>IF($A42="","",IF(F42&lt;=0,"No target",IF(X42&gt;=1,"On track",IF(X42&gt;=0.8,"Watch","Behind"))))</f>
        <v/>
      </c>
      <c r="Z42" s="107">
        <f>IFERROR(INDEX(Target_FY!$X$6:$AA$80,MATCH($A42&amp;"|K5",Target_FY!$A$6:$A$80,0),$E42),0)</f>
        <v/>
      </c>
      <c r="AA42" s="107">
        <f>IFERROR(INDEX(Actual_Monthly!$X$6:$AA$80,MATCH($A42&amp;"|K5",Actual_Monthly!$A$6:$A$80,0),$E42),0)</f>
        <v/>
      </c>
      <c r="AB42" s="108">
        <f>IF(Z42&lt;=0,0,AA42/Z42)</f>
        <v/>
      </c>
    </row>
    <row r="43">
      <c r="A43" s="88">
        <f>IFERROR(INDEX(Team_Master!$C$6:$C$20,INT((ROW()-6)/4)+1),"")</f>
        <v/>
      </c>
      <c r="B43" s="89">
        <f>IFERROR(INDEX(Team_Master!$G$6:$G$20,INT((ROW()-6)/4)+1),"")</f>
        <v/>
      </c>
      <c r="C43" s="88">
        <f>IFERROR(INDEX(Team_Master!$E$6:$E$20,INT((ROW()-6)/4)+1),"")</f>
        <v/>
      </c>
      <c r="D43" s="109">
        <f>"Q"&amp;E43</f>
        <v/>
      </c>
      <c r="E43" s="110">
        <f>MOD(ROW()-6,4)+1</f>
        <v/>
      </c>
      <c r="F43" s="100">
        <f>IFERROR(INDEX(Target_FY!$X$6:$AA$80,MATCH($A43&amp;"|K1",Target_FY!$A$6:$A$80,0),$E43),0)</f>
        <v/>
      </c>
      <c r="G43" s="100">
        <f>IFERROR(INDEX(Actual_Monthly!$X$6:$AA$80,MATCH($A43&amp;"|K1",Actual_Monthly!$A$6:$A$80,0),$E43),0)</f>
        <v/>
      </c>
      <c r="H43" s="101">
        <f>IF(F43&lt;=0,0,G43/F43)</f>
        <v/>
      </c>
      <c r="I43" s="102">
        <f>IF(F43&lt;=0,0,IF(H43&lt;Parameters!$C$15,0,IF(H43&lt;=Parameters!$C$17,Parameters!$C$16+(H43-Parameters!$C$15)/(Parameters!$C$17-Parameters!$C$15)*(Parameters!$C$18-Parameters!$C$16),MIN(Parameters!$C$20,Parameters!$C$18+(H43-Parameters!$C$17)/(Parameters!$C$19-Parameters!$C$17)*(Parameters!$C$20-Parameters!$C$18)))))</f>
        <v/>
      </c>
      <c r="J43" s="100">
        <f>IFERROR(INDEX(Target_FY!$X$6:$AA$80,MATCH($A43&amp;"|K2",Target_FY!$A$6:$A$80,0),$E43),0)</f>
        <v/>
      </c>
      <c r="K43" s="100">
        <f>IFERROR(INDEX(Actual_Monthly!$X$6:$AA$80,MATCH($A43&amp;"|K2",Actual_Monthly!$A$6:$A$80,0),$E43),0)</f>
        <v/>
      </c>
      <c r="L43" s="101">
        <f>IF(J43&lt;=0,0,K43/J43)</f>
        <v/>
      </c>
      <c r="M43" s="102">
        <f>IF(J43&lt;=0,0,IF(L43&lt;Parameters!$C$15,0,IF(L43&lt;=Parameters!$C$17,Parameters!$C$16+(L43-Parameters!$C$15)/(Parameters!$C$17-Parameters!$C$15)*(Parameters!$C$18-Parameters!$C$16),MIN(Parameters!$C$20,Parameters!$C$18+(L43-Parameters!$C$17)/(Parameters!$C$19-Parameters!$C$17)*(Parameters!$C$20-Parameters!$C$18)))))</f>
        <v/>
      </c>
      <c r="N43" s="69">
        <f>IF((KPI_Framework!$F$6+KPI_Framework!$F$7)=0,0,(KPI_Framework!$F$6*I43+KPI_Framework!$F$7*M43)/(KPI_Framework!$F$6+KPI_Framework!$F$7))</f>
        <v/>
      </c>
      <c r="O43" s="103">
        <f>IFERROR(INDEX(Target_FY!$X$6:$AA$80,MATCH($A43&amp;"|K3",Target_FY!$A$6:$A$80,0),$E43),0)</f>
        <v/>
      </c>
      <c r="P43" s="103">
        <f>IFERROR(INDEX(Actual_Monthly!$X$6:$AA$80,MATCH($A43&amp;"|K3",Actual_Monthly!$A$6:$A$80,0),$E43),0)</f>
        <v/>
      </c>
      <c r="Q43" s="104">
        <f>IF(O43&lt;=0,0,P43/O43)</f>
        <v/>
      </c>
      <c r="R43" s="103">
        <f>IFERROR(INDEX(Target_FY!$X$6:$AA$80,MATCH($A43&amp;"|K4",Target_FY!$A$6:$A$80,0),$E43),0)</f>
        <v/>
      </c>
      <c r="S43" s="103">
        <f>IFERROR(INDEX(Actual_Monthly!$X$6:$AA$80,MATCH($A43&amp;"|K4",Actual_Monthly!$A$6:$A$80,0),$E43),0)</f>
        <v/>
      </c>
      <c r="T43" s="104">
        <f>IF(R43&lt;=0,0,S43/R43)</f>
        <v/>
      </c>
      <c r="U43" s="104">
        <f>IF((KPI_Framework!$F$8+KPI_Framework!$F$9)=0,0,(KPI_Framework!$F$8*Q43+KPI_Framework!$F$9*T43)/(KPI_Framework!$F$8+KPI_Framework!$F$9))</f>
        <v/>
      </c>
      <c r="V43" s="104">
        <f>IF((KPI_Framework!$F$8+KPI_Framework!$F$9)=0,0,(KPI_Framework!$F$8*IF(O43&lt;=0,0,IF(Q43&lt;Parameters!$C$15,0,IF(Q43&lt;=Parameters!$C$17,Parameters!$C$16+(Q43-Parameters!$C$15)/(Parameters!$C$17-Parameters!$C$15)*(Parameters!$C$18-Parameters!$C$16),MIN(Parameters!$C$20,Parameters!$C$18+(Q43-Parameters!$C$17)/(Parameters!$C$19-Parameters!$C$17)*(Parameters!$C$20-Parameters!$C$18)))))+KPI_Framework!$F$9*IF(R43&lt;=0,0,IF(T43&lt;Parameters!$C$15,0,IF(T43&lt;=Parameters!$C$17,Parameters!$C$16+(T43-Parameters!$C$15)/(Parameters!$C$17-Parameters!$C$15)*(Parameters!$C$18-Parameters!$C$16),MIN(Parameters!$C$20,Parameters!$C$18+(T43-Parameters!$C$17)/(Parameters!$C$19-Parameters!$C$17)*(Parameters!$C$20-Parameters!$C$18))))))/(KPI_Framework!$F$8+KPI_Framework!$F$9))</f>
        <v/>
      </c>
      <c r="W43" s="105">
        <f>IF(Parameters!$C$23="OFF",1,IF(U43&gt;=Parameters!$B$25,Parameters!$C$25,IF(U43&gt;=Parameters!$B$26,Parameters!$C$26,IF(U43&gt;=Parameters!$B$27,Parameters!$C$27,Parameters!$C$28))))</f>
        <v/>
      </c>
      <c r="X43" s="69">
        <f>N43*W43</f>
        <v/>
      </c>
      <c r="Y43" s="106">
        <f>IF($A43="","",IF(F43&lt;=0,"No target",IF(X43&gt;=1,"On track",IF(X43&gt;=0.8,"Watch","Behind"))))</f>
        <v/>
      </c>
      <c r="Z43" s="107">
        <f>IFERROR(INDEX(Target_FY!$X$6:$AA$80,MATCH($A43&amp;"|K5",Target_FY!$A$6:$A$80,0),$E43),0)</f>
        <v/>
      </c>
      <c r="AA43" s="107">
        <f>IFERROR(INDEX(Actual_Monthly!$X$6:$AA$80,MATCH($A43&amp;"|K5",Actual_Monthly!$A$6:$A$80,0),$E43),0)</f>
        <v/>
      </c>
      <c r="AB43" s="108">
        <f>IF(Z43&lt;=0,0,AA43/Z43)</f>
        <v/>
      </c>
    </row>
    <row r="44">
      <c r="A44" s="88">
        <f>IFERROR(INDEX(Team_Master!$C$6:$C$20,INT((ROW()-6)/4)+1),"")</f>
        <v/>
      </c>
      <c r="B44" s="89">
        <f>IFERROR(INDEX(Team_Master!$G$6:$G$20,INT((ROW()-6)/4)+1),"")</f>
        <v/>
      </c>
      <c r="C44" s="88">
        <f>IFERROR(INDEX(Team_Master!$E$6:$E$20,INT((ROW()-6)/4)+1),"")</f>
        <v/>
      </c>
      <c r="D44" s="109">
        <f>"Q"&amp;E44</f>
        <v/>
      </c>
      <c r="E44" s="110">
        <f>MOD(ROW()-6,4)+1</f>
        <v/>
      </c>
      <c r="F44" s="100">
        <f>IFERROR(INDEX(Target_FY!$X$6:$AA$80,MATCH($A44&amp;"|K1",Target_FY!$A$6:$A$80,0),$E44),0)</f>
        <v/>
      </c>
      <c r="G44" s="100">
        <f>IFERROR(INDEX(Actual_Monthly!$X$6:$AA$80,MATCH($A44&amp;"|K1",Actual_Monthly!$A$6:$A$80,0),$E44),0)</f>
        <v/>
      </c>
      <c r="H44" s="101">
        <f>IF(F44&lt;=0,0,G44/F44)</f>
        <v/>
      </c>
      <c r="I44" s="102">
        <f>IF(F44&lt;=0,0,IF(H44&lt;Parameters!$C$15,0,IF(H44&lt;=Parameters!$C$17,Parameters!$C$16+(H44-Parameters!$C$15)/(Parameters!$C$17-Parameters!$C$15)*(Parameters!$C$18-Parameters!$C$16),MIN(Parameters!$C$20,Parameters!$C$18+(H44-Parameters!$C$17)/(Parameters!$C$19-Parameters!$C$17)*(Parameters!$C$20-Parameters!$C$18)))))</f>
        <v/>
      </c>
      <c r="J44" s="100">
        <f>IFERROR(INDEX(Target_FY!$X$6:$AA$80,MATCH($A44&amp;"|K2",Target_FY!$A$6:$A$80,0),$E44),0)</f>
        <v/>
      </c>
      <c r="K44" s="100">
        <f>IFERROR(INDEX(Actual_Monthly!$X$6:$AA$80,MATCH($A44&amp;"|K2",Actual_Monthly!$A$6:$A$80,0),$E44),0)</f>
        <v/>
      </c>
      <c r="L44" s="101">
        <f>IF(J44&lt;=0,0,K44/J44)</f>
        <v/>
      </c>
      <c r="M44" s="102">
        <f>IF(J44&lt;=0,0,IF(L44&lt;Parameters!$C$15,0,IF(L44&lt;=Parameters!$C$17,Parameters!$C$16+(L44-Parameters!$C$15)/(Parameters!$C$17-Parameters!$C$15)*(Parameters!$C$18-Parameters!$C$16),MIN(Parameters!$C$20,Parameters!$C$18+(L44-Parameters!$C$17)/(Parameters!$C$19-Parameters!$C$17)*(Parameters!$C$20-Parameters!$C$18)))))</f>
        <v/>
      </c>
      <c r="N44" s="69">
        <f>IF((KPI_Framework!$F$6+KPI_Framework!$F$7)=0,0,(KPI_Framework!$F$6*I44+KPI_Framework!$F$7*M44)/(KPI_Framework!$F$6+KPI_Framework!$F$7))</f>
        <v/>
      </c>
      <c r="O44" s="103">
        <f>IFERROR(INDEX(Target_FY!$X$6:$AA$80,MATCH($A44&amp;"|K3",Target_FY!$A$6:$A$80,0),$E44),0)</f>
        <v/>
      </c>
      <c r="P44" s="103">
        <f>IFERROR(INDEX(Actual_Monthly!$X$6:$AA$80,MATCH($A44&amp;"|K3",Actual_Monthly!$A$6:$A$80,0),$E44),0)</f>
        <v/>
      </c>
      <c r="Q44" s="104">
        <f>IF(O44&lt;=0,0,P44/O44)</f>
        <v/>
      </c>
      <c r="R44" s="103">
        <f>IFERROR(INDEX(Target_FY!$X$6:$AA$80,MATCH($A44&amp;"|K4",Target_FY!$A$6:$A$80,0),$E44),0)</f>
        <v/>
      </c>
      <c r="S44" s="103">
        <f>IFERROR(INDEX(Actual_Monthly!$X$6:$AA$80,MATCH($A44&amp;"|K4",Actual_Monthly!$A$6:$A$80,0),$E44),0)</f>
        <v/>
      </c>
      <c r="T44" s="104">
        <f>IF(R44&lt;=0,0,S44/R44)</f>
        <v/>
      </c>
      <c r="U44" s="104">
        <f>IF((KPI_Framework!$F$8+KPI_Framework!$F$9)=0,0,(KPI_Framework!$F$8*Q44+KPI_Framework!$F$9*T44)/(KPI_Framework!$F$8+KPI_Framework!$F$9))</f>
        <v/>
      </c>
      <c r="V44" s="104">
        <f>IF((KPI_Framework!$F$8+KPI_Framework!$F$9)=0,0,(KPI_Framework!$F$8*IF(O44&lt;=0,0,IF(Q44&lt;Parameters!$C$15,0,IF(Q44&lt;=Parameters!$C$17,Parameters!$C$16+(Q44-Parameters!$C$15)/(Parameters!$C$17-Parameters!$C$15)*(Parameters!$C$18-Parameters!$C$16),MIN(Parameters!$C$20,Parameters!$C$18+(Q44-Parameters!$C$17)/(Parameters!$C$19-Parameters!$C$17)*(Parameters!$C$20-Parameters!$C$18)))))+KPI_Framework!$F$9*IF(R44&lt;=0,0,IF(T44&lt;Parameters!$C$15,0,IF(T44&lt;=Parameters!$C$17,Parameters!$C$16+(T44-Parameters!$C$15)/(Parameters!$C$17-Parameters!$C$15)*(Parameters!$C$18-Parameters!$C$16),MIN(Parameters!$C$20,Parameters!$C$18+(T44-Parameters!$C$17)/(Parameters!$C$19-Parameters!$C$17)*(Parameters!$C$20-Parameters!$C$18))))))/(KPI_Framework!$F$8+KPI_Framework!$F$9))</f>
        <v/>
      </c>
      <c r="W44" s="105">
        <f>IF(Parameters!$C$23="OFF",1,IF(U44&gt;=Parameters!$B$25,Parameters!$C$25,IF(U44&gt;=Parameters!$B$26,Parameters!$C$26,IF(U44&gt;=Parameters!$B$27,Parameters!$C$27,Parameters!$C$28))))</f>
        <v/>
      </c>
      <c r="X44" s="69">
        <f>N44*W44</f>
        <v/>
      </c>
      <c r="Y44" s="106">
        <f>IF($A44="","",IF(F44&lt;=0,"No target",IF(X44&gt;=1,"On track",IF(X44&gt;=0.8,"Watch","Behind"))))</f>
        <v/>
      </c>
      <c r="Z44" s="107">
        <f>IFERROR(INDEX(Target_FY!$X$6:$AA$80,MATCH($A44&amp;"|K5",Target_FY!$A$6:$A$80,0),$E44),0)</f>
        <v/>
      </c>
      <c r="AA44" s="107">
        <f>IFERROR(INDEX(Actual_Monthly!$X$6:$AA$80,MATCH($A44&amp;"|K5",Actual_Monthly!$A$6:$A$80,0),$E44),0)</f>
        <v/>
      </c>
      <c r="AB44" s="108">
        <f>IF(Z44&lt;=0,0,AA44/Z44)</f>
        <v/>
      </c>
    </row>
    <row r="45">
      <c r="A45" s="88">
        <f>IFERROR(INDEX(Team_Master!$C$6:$C$20,INT((ROW()-6)/4)+1),"")</f>
        <v/>
      </c>
      <c r="B45" s="89">
        <f>IFERROR(INDEX(Team_Master!$G$6:$G$20,INT((ROW()-6)/4)+1),"")</f>
        <v/>
      </c>
      <c r="C45" s="88">
        <f>IFERROR(INDEX(Team_Master!$E$6:$E$20,INT((ROW()-6)/4)+1),"")</f>
        <v/>
      </c>
      <c r="D45" s="109">
        <f>"Q"&amp;E45</f>
        <v/>
      </c>
      <c r="E45" s="110">
        <f>MOD(ROW()-6,4)+1</f>
        <v/>
      </c>
      <c r="F45" s="100">
        <f>IFERROR(INDEX(Target_FY!$X$6:$AA$80,MATCH($A45&amp;"|K1",Target_FY!$A$6:$A$80,0),$E45),0)</f>
        <v/>
      </c>
      <c r="G45" s="100">
        <f>IFERROR(INDEX(Actual_Monthly!$X$6:$AA$80,MATCH($A45&amp;"|K1",Actual_Monthly!$A$6:$A$80,0),$E45),0)</f>
        <v/>
      </c>
      <c r="H45" s="101">
        <f>IF(F45&lt;=0,0,G45/F45)</f>
        <v/>
      </c>
      <c r="I45" s="102">
        <f>IF(F45&lt;=0,0,IF(H45&lt;Parameters!$C$15,0,IF(H45&lt;=Parameters!$C$17,Parameters!$C$16+(H45-Parameters!$C$15)/(Parameters!$C$17-Parameters!$C$15)*(Parameters!$C$18-Parameters!$C$16),MIN(Parameters!$C$20,Parameters!$C$18+(H45-Parameters!$C$17)/(Parameters!$C$19-Parameters!$C$17)*(Parameters!$C$20-Parameters!$C$18)))))</f>
        <v/>
      </c>
      <c r="J45" s="100">
        <f>IFERROR(INDEX(Target_FY!$X$6:$AA$80,MATCH($A45&amp;"|K2",Target_FY!$A$6:$A$80,0),$E45),0)</f>
        <v/>
      </c>
      <c r="K45" s="100">
        <f>IFERROR(INDEX(Actual_Monthly!$X$6:$AA$80,MATCH($A45&amp;"|K2",Actual_Monthly!$A$6:$A$80,0),$E45),0)</f>
        <v/>
      </c>
      <c r="L45" s="101">
        <f>IF(J45&lt;=0,0,K45/J45)</f>
        <v/>
      </c>
      <c r="M45" s="102">
        <f>IF(J45&lt;=0,0,IF(L45&lt;Parameters!$C$15,0,IF(L45&lt;=Parameters!$C$17,Parameters!$C$16+(L45-Parameters!$C$15)/(Parameters!$C$17-Parameters!$C$15)*(Parameters!$C$18-Parameters!$C$16),MIN(Parameters!$C$20,Parameters!$C$18+(L45-Parameters!$C$17)/(Parameters!$C$19-Parameters!$C$17)*(Parameters!$C$20-Parameters!$C$18)))))</f>
        <v/>
      </c>
      <c r="N45" s="69">
        <f>IF((KPI_Framework!$F$6+KPI_Framework!$F$7)=0,0,(KPI_Framework!$F$6*I45+KPI_Framework!$F$7*M45)/(KPI_Framework!$F$6+KPI_Framework!$F$7))</f>
        <v/>
      </c>
      <c r="O45" s="103">
        <f>IFERROR(INDEX(Target_FY!$X$6:$AA$80,MATCH($A45&amp;"|K3",Target_FY!$A$6:$A$80,0),$E45),0)</f>
        <v/>
      </c>
      <c r="P45" s="103">
        <f>IFERROR(INDEX(Actual_Monthly!$X$6:$AA$80,MATCH($A45&amp;"|K3",Actual_Monthly!$A$6:$A$80,0),$E45),0)</f>
        <v/>
      </c>
      <c r="Q45" s="104">
        <f>IF(O45&lt;=0,0,P45/O45)</f>
        <v/>
      </c>
      <c r="R45" s="103">
        <f>IFERROR(INDEX(Target_FY!$X$6:$AA$80,MATCH($A45&amp;"|K4",Target_FY!$A$6:$A$80,0),$E45),0)</f>
        <v/>
      </c>
      <c r="S45" s="103">
        <f>IFERROR(INDEX(Actual_Monthly!$X$6:$AA$80,MATCH($A45&amp;"|K4",Actual_Monthly!$A$6:$A$80,0),$E45),0)</f>
        <v/>
      </c>
      <c r="T45" s="104">
        <f>IF(R45&lt;=0,0,S45/R45)</f>
        <v/>
      </c>
      <c r="U45" s="104">
        <f>IF((KPI_Framework!$F$8+KPI_Framework!$F$9)=0,0,(KPI_Framework!$F$8*Q45+KPI_Framework!$F$9*T45)/(KPI_Framework!$F$8+KPI_Framework!$F$9))</f>
        <v/>
      </c>
      <c r="V45" s="104">
        <f>IF((KPI_Framework!$F$8+KPI_Framework!$F$9)=0,0,(KPI_Framework!$F$8*IF(O45&lt;=0,0,IF(Q45&lt;Parameters!$C$15,0,IF(Q45&lt;=Parameters!$C$17,Parameters!$C$16+(Q45-Parameters!$C$15)/(Parameters!$C$17-Parameters!$C$15)*(Parameters!$C$18-Parameters!$C$16),MIN(Parameters!$C$20,Parameters!$C$18+(Q45-Parameters!$C$17)/(Parameters!$C$19-Parameters!$C$17)*(Parameters!$C$20-Parameters!$C$18)))))+KPI_Framework!$F$9*IF(R45&lt;=0,0,IF(T45&lt;Parameters!$C$15,0,IF(T45&lt;=Parameters!$C$17,Parameters!$C$16+(T45-Parameters!$C$15)/(Parameters!$C$17-Parameters!$C$15)*(Parameters!$C$18-Parameters!$C$16),MIN(Parameters!$C$20,Parameters!$C$18+(T45-Parameters!$C$17)/(Parameters!$C$19-Parameters!$C$17)*(Parameters!$C$20-Parameters!$C$18))))))/(KPI_Framework!$F$8+KPI_Framework!$F$9))</f>
        <v/>
      </c>
      <c r="W45" s="105">
        <f>IF(Parameters!$C$23="OFF",1,IF(U45&gt;=Parameters!$B$25,Parameters!$C$25,IF(U45&gt;=Parameters!$B$26,Parameters!$C$26,IF(U45&gt;=Parameters!$B$27,Parameters!$C$27,Parameters!$C$28))))</f>
        <v/>
      </c>
      <c r="X45" s="69">
        <f>N45*W45</f>
        <v/>
      </c>
      <c r="Y45" s="106">
        <f>IF($A45="","",IF(F45&lt;=0,"No target",IF(X45&gt;=1,"On track",IF(X45&gt;=0.8,"Watch","Behind"))))</f>
        <v/>
      </c>
      <c r="Z45" s="107">
        <f>IFERROR(INDEX(Target_FY!$X$6:$AA$80,MATCH($A45&amp;"|K5",Target_FY!$A$6:$A$80,0),$E45),0)</f>
        <v/>
      </c>
      <c r="AA45" s="107">
        <f>IFERROR(INDEX(Actual_Monthly!$X$6:$AA$80,MATCH($A45&amp;"|K5",Actual_Monthly!$A$6:$A$80,0),$E45),0)</f>
        <v/>
      </c>
      <c r="AB45" s="108">
        <f>IF(Z45&lt;=0,0,AA45/Z45)</f>
        <v/>
      </c>
    </row>
    <row r="46">
      <c r="A46" s="82">
        <f>IFERROR(INDEX(Team_Master!$C$6:$C$20,INT((ROW()-6)/4)+1),"")</f>
        <v/>
      </c>
      <c r="B46" s="83">
        <f>IFERROR(INDEX(Team_Master!$G$6:$G$20,INT((ROW()-6)/4)+1),"")</f>
        <v/>
      </c>
      <c r="C46" s="82">
        <f>IFERROR(INDEX(Team_Master!$E$6:$E$20,INT((ROW()-6)/4)+1),"")</f>
        <v/>
      </c>
      <c r="D46" s="93">
        <f>"Q"&amp;E46</f>
        <v/>
      </c>
      <c r="E46" s="99">
        <f>MOD(ROW()-6,4)+1</f>
        <v/>
      </c>
      <c r="F46" s="100">
        <f>IFERROR(INDEX(Target_FY!$X$6:$AA$80,MATCH($A46&amp;"|K1",Target_FY!$A$6:$A$80,0),$E46),0)</f>
        <v/>
      </c>
      <c r="G46" s="100">
        <f>IFERROR(INDEX(Actual_Monthly!$X$6:$AA$80,MATCH($A46&amp;"|K1",Actual_Monthly!$A$6:$A$80,0),$E46),0)</f>
        <v/>
      </c>
      <c r="H46" s="101">
        <f>IF(F46&lt;=0,0,G46/F46)</f>
        <v/>
      </c>
      <c r="I46" s="102">
        <f>IF(F46&lt;=0,0,IF(H46&lt;Parameters!$C$15,0,IF(H46&lt;=Parameters!$C$17,Parameters!$C$16+(H46-Parameters!$C$15)/(Parameters!$C$17-Parameters!$C$15)*(Parameters!$C$18-Parameters!$C$16),MIN(Parameters!$C$20,Parameters!$C$18+(H46-Parameters!$C$17)/(Parameters!$C$19-Parameters!$C$17)*(Parameters!$C$20-Parameters!$C$18)))))</f>
        <v/>
      </c>
      <c r="J46" s="100">
        <f>IFERROR(INDEX(Target_FY!$X$6:$AA$80,MATCH($A46&amp;"|K2",Target_FY!$A$6:$A$80,0),$E46),0)</f>
        <v/>
      </c>
      <c r="K46" s="100">
        <f>IFERROR(INDEX(Actual_Monthly!$X$6:$AA$80,MATCH($A46&amp;"|K2",Actual_Monthly!$A$6:$A$80,0),$E46),0)</f>
        <v/>
      </c>
      <c r="L46" s="101">
        <f>IF(J46&lt;=0,0,K46/J46)</f>
        <v/>
      </c>
      <c r="M46" s="102">
        <f>IF(J46&lt;=0,0,IF(L46&lt;Parameters!$C$15,0,IF(L46&lt;=Parameters!$C$17,Parameters!$C$16+(L46-Parameters!$C$15)/(Parameters!$C$17-Parameters!$C$15)*(Parameters!$C$18-Parameters!$C$16),MIN(Parameters!$C$20,Parameters!$C$18+(L46-Parameters!$C$17)/(Parameters!$C$19-Parameters!$C$17)*(Parameters!$C$20-Parameters!$C$18)))))</f>
        <v/>
      </c>
      <c r="N46" s="69">
        <f>IF((KPI_Framework!$F$6+KPI_Framework!$F$7)=0,0,(KPI_Framework!$F$6*I46+KPI_Framework!$F$7*M46)/(KPI_Framework!$F$6+KPI_Framework!$F$7))</f>
        <v/>
      </c>
      <c r="O46" s="103">
        <f>IFERROR(INDEX(Target_FY!$X$6:$AA$80,MATCH($A46&amp;"|K3",Target_FY!$A$6:$A$80,0),$E46),0)</f>
        <v/>
      </c>
      <c r="P46" s="103">
        <f>IFERROR(INDEX(Actual_Monthly!$X$6:$AA$80,MATCH($A46&amp;"|K3",Actual_Monthly!$A$6:$A$80,0),$E46),0)</f>
        <v/>
      </c>
      <c r="Q46" s="104">
        <f>IF(O46&lt;=0,0,P46/O46)</f>
        <v/>
      </c>
      <c r="R46" s="103">
        <f>IFERROR(INDEX(Target_FY!$X$6:$AA$80,MATCH($A46&amp;"|K4",Target_FY!$A$6:$A$80,0),$E46),0)</f>
        <v/>
      </c>
      <c r="S46" s="103">
        <f>IFERROR(INDEX(Actual_Monthly!$X$6:$AA$80,MATCH($A46&amp;"|K4",Actual_Monthly!$A$6:$A$80,0),$E46),0)</f>
        <v/>
      </c>
      <c r="T46" s="104">
        <f>IF(R46&lt;=0,0,S46/R46)</f>
        <v/>
      </c>
      <c r="U46" s="104">
        <f>IF((KPI_Framework!$F$8+KPI_Framework!$F$9)=0,0,(KPI_Framework!$F$8*Q46+KPI_Framework!$F$9*T46)/(KPI_Framework!$F$8+KPI_Framework!$F$9))</f>
        <v/>
      </c>
      <c r="V46" s="104">
        <f>IF((KPI_Framework!$F$8+KPI_Framework!$F$9)=0,0,(KPI_Framework!$F$8*IF(O46&lt;=0,0,IF(Q46&lt;Parameters!$C$15,0,IF(Q46&lt;=Parameters!$C$17,Parameters!$C$16+(Q46-Parameters!$C$15)/(Parameters!$C$17-Parameters!$C$15)*(Parameters!$C$18-Parameters!$C$16),MIN(Parameters!$C$20,Parameters!$C$18+(Q46-Parameters!$C$17)/(Parameters!$C$19-Parameters!$C$17)*(Parameters!$C$20-Parameters!$C$18)))))+KPI_Framework!$F$9*IF(R46&lt;=0,0,IF(T46&lt;Parameters!$C$15,0,IF(T46&lt;=Parameters!$C$17,Parameters!$C$16+(T46-Parameters!$C$15)/(Parameters!$C$17-Parameters!$C$15)*(Parameters!$C$18-Parameters!$C$16),MIN(Parameters!$C$20,Parameters!$C$18+(T46-Parameters!$C$17)/(Parameters!$C$19-Parameters!$C$17)*(Parameters!$C$20-Parameters!$C$18))))))/(KPI_Framework!$F$8+KPI_Framework!$F$9))</f>
        <v/>
      </c>
      <c r="W46" s="105">
        <f>IF(Parameters!$C$23="OFF",1,IF(U46&gt;=Parameters!$B$25,Parameters!$C$25,IF(U46&gt;=Parameters!$B$26,Parameters!$C$26,IF(U46&gt;=Parameters!$B$27,Parameters!$C$27,Parameters!$C$28))))</f>
        <v/>
      </c>
      <c r="X46" s="69">
        <f>N46*W46</f>
        <v/>
      </c>
      <c r="Y46" s="106">
        <f>IF($A46="","",IF(F46&lt;=0,"No target",IF(X46&gt;=1,"On track",IF(X46&gt;=0.8,"Watch","Behind"))))</f>
        <v/>
      </c>
      <c r="Z46" s="107">
        <f>IFERROR(INDEX(Target_FY!$X$6:$AA$80,MATCH($A46&amp;"|K5",Target_FY!$A$6:$A$80,0),$E46),0)</f>
        <v/>
      </c>
      <c r="AA46" s="107">
        <f>IFERROR(INDEX(Actual_Monthly!$X$6:$AA$80,MATCH($A46&amp;"|K5",Actual_Monthly!$A$6:$A$80,0),$E46),0)</f>
        <v/>
      </c>
      <c r="AB46" s="108">
        <f>IF(Z46&lt;=0,0,AA46/Z46)</f>
        <v/>
      </c>
    </row>
    <row r="47">
      <c r="A47" s="82">
        <f>IFERROR(INDEX(Team_Master!$C$6:$C$20,INT((ROW()-6)/4)+1),"")</f>
        <v/>
      </c>
      <c r="B47" s="83">
        <f>IFERROR(INDEX(Team_Master!$G$6:$G$20,INT((ROW()-6)/4)+1),"")</f>
        <v/>
      </c>
      <c r="C47" s="82">
        <f>IFERROR(INDEX(Team_Master!$E$6:$E$20,INT((ROW()-6)/4)+1),"")</f>
        <v/>
      </c>
      <c r="D47" s="93">
        <f>"Q"&amp;E47</f>
        <v/>
      </c>
      <c r="E47" s="99">
        <f>MOD(ROW()-6,4)+1</f>
        <v/>
      </c>
      <c r="F47" s="100">
        <f>IFERROR(INDEX(Target_FY!$X$6:$AA$80,MATCH($A47&amp;"|K1",Target_FY!$A$6:$A$80,0),$E47),0)</f>
        <v/>
      </c>
      <c r="G47" s="100">
        <f>IFERROR(INDEX(Actual_Monthly!$X$6:$AA$80,MATCH($A47&amp;"|K1",Actual_Monthly!$A$6:$A$80,0),$E47),0)</f>
        <v/>
      </c>
      <c r="H47" s="101">
        <f>IF(F47&lt;=0,0,G47/F47)</f>
        <v/>
      </c>
      <c r="I47" s="102">
        <f>IF(F47&lt;=0,0,IF(H47&lt;Parameters!$C$15,0,IF(H47&lt;=Parameters!$C$17,Parameters!$C$16+(H47-Parameters!$C$15)/(Parameters!$C$17-Parameters!$C$15)*(Parameters!$C$18-Parameters!$C$16),MIN(Parameters!$C$20,Parameters!$C$18+(H47-Parameters!$C$17)/(Parameters!$C$19-Parameters!$C$17)*(Parameters!$C$20-Parameters!$C$18)))))</f>
        <v/>
      </c>
      <c r="J47" s="100">
        <f>IFERROR(INDEX(Target_FY!$X$6:$AA$80,MATCH($A47&amp;"|K2",Target_FY!$A$6:$A$80,0),$E47),0)</f>
        <v/>
      </c>
      <c r="K47" s="100">
        <f>IFERROR(INDEX(Actual_Monthly!$X$6:$AA$80,MATCH($A47&amp;"|K2",Actual_Monthly!$A$6:$A$80,0),$E47),0)</f>
        <v/>
      </c>
      <c r="L47" s="101">
        <f>IF(J47&lt;=0,0,K47/J47)</f>
        <v/>
      </c>
      <c r="M47" s="102">
        <f>IF(J47&lt;=0,0,IF(L47&lt;Parameters!$C$15,0,IF(L47&lt;=Parameters!$C$17,Parameters!$C$16+(L47-Parameters!$C$15)/(Parameters!$C$17-Parameters!$C$15)*(Parameters!$C$18-Parameters!$C$16),MIN(Parameters!$C$20,Parameters!$C$18+(L47-Parameters!$C$17)/(Parameters!$C$19-Parameters!$C$17)*(Parameters!$C$20-Parameters!$C$18)))))</f>
        <v/>
      </c>
      <c r="N47" s="69">
        <f>IF((KPI_Framework!$F$6+KPI_Framework!$F$7)=0,0,(KPI_Framework!$F$6*I47+KPI_Framework!$F$7*M47)/(KPI_Framework!$F$6+KPI_Framework!$F$7))</f>
        <v/>
      </c>
      <c r="O47" s="103">
        <f>IFERROR(INDEX(Target_FY!$X$6:$AA$80,MATCH($A47&amp;"|K3",Target_FY!$A$6:$A$80,0),$E47),0)</f>
        <v/>
      </c>
      <c r="P47" s="103">
        <f>IFERROR(INDEX(Actual_Monthly!$X$6:$AA$80,MATCH($A47&amp;"|K3",Actual_Monthly!$A$6:$A$80,0),$E47),0)</f>
        <v/>
      </c>
      <c r="Q47" s="104">
        <f>IF(O47&lt;=0,0,P47/O47)</f>
        <v/>
      </c>
      <c r="R47" s="103">
        <f>IFERROR(INDEX(Target_FY!$X$6:$AA$80,MATCH($A47&amp;"|K4",Target_FY!$A$6:$A$80,0),$E47),0)</f>
        <v/>
      </c>
      <c r="S47" s="103">
        <f>IFERROR(INDEX(Actual_Monthly!$X$6:$AA$80,MATCH($A47&amp;"|K4",Actual_Monthly!$A$6:$A$80,0),$E47),0)</f>
        <v/>
      </c>
      <c r="T47" s="104">
        <f>IF(R47&lt;=0,0,S47/R47)</f>
        <v/>
      </c>
      <c r="U47" s="104">
        <f>IF((KPI_Framework!$F$8+KPI_Framework!$F$9)=0,0,(KPI_Framework!$F$8*Q47+KPI_Framework!$F$9*T47)/(KPI_Framework!$F$8+KPI_Framework!$F$9))</f>
        <v/>
      </c>
      <c r="V47" s="104">
        <f>IF((KPI_Framework!$F$8+KPI_Framework!$F$9)=0,0,(KPI_Framework!$F$8*IF(O47&lt;=0,0,IF(Q47&lt;Parameters!$C$15,0,IF(Q47&lt;=Parameters!$C$17,Parameters!$C$16+(Q47-Parameters!$C$15)/(Parameters!$C$17-Parameters!$C$15)*(Parameters!$C$18-Parameters!$C$16),MIN(Parameters!$C$20,Parameters!$C$18+(Q47-Parameters!$C$17)/(Parameters!$C$19-Parameters!$C$17)*(Parameters!$C$20-Parameters!$C$18)))))+KPI_Framework!$F$9*IF(R47&lt;=0,0,IF(T47&lt;Parameters!$C$15,0,IF(T47&lt;=Parameters!$C$17,Parameters!$C$16+(T47-Parameters!$C$15)/(Parameters!$C$17-Parameters!$C$15)*(Parameters!$C$18-Parameters!$C$16),MIN(Parameters!$C$20,Parameters!$C$18+(T47-Parameters!$C$17)/(Parameters!$C$19-Parameters!$C$17)*(Parameters!$C$20-Parameters!$C$18))))))/(KPI_Framework!$F$8+KPI_Framework!$F$9))</f>
        <v/>
      </c>
      <c r="W47" s="105">
        <f>IF(Parameters!$C$23="OFF",1,IF(U47&gt;=Parameters!$B$25,Parameters!$C$25,IF(U47&gt;=Parameters!$B$26,Parameters!$C$26,IF(U47&gt;=Parameters!$B$27,Parameters!$C$27,Parameters!$C$28))))</f>
        <v/>
      </c>
      <c r="X47" s="69">
        <f>N47*W47</f>
        <v/>
      </c>
      <c r="Y47" s="106">
        <f>IF($A47="","",IF(F47&lt;=0,"No target",IF(X47&gt;=1,"On track",IF(X47&gt;=0.8,"Watch","Behind"))))</f>
        <v/>
      </c>
      <c r="Z47" s="107">
        <f>IFERROR(INDEX(Target_FY!$X$6:$AA$80,MATCH($A47&amp;"|K5",Target_FY!$A$6:$A$80,0),$E47),0)</f>
        <v/>
      </c>
      <c r="AA47" s="107">
        <f>IFERROR(INDEX(Actual_Monthly!$X$6:$AA$80,MATCH($A47&amp;"|K5",Actual_Monthly!$A$6:$A$80,0),$E47),0)</f>
        <v/>
      </c>
      <c r="AB47" s="108">
        <f>IF(Z47&lt;=0,0,AA47/Z47)</f>
        <v/>
      </c>
    </row>
    <row r="48">
      <c r="A48" s="82">
        <f>IFERROR(INDEX(Team_Master!$C$6:$C$20,INT((ROW()-6)/4)+1),"")</f>
        <v/>
      </c>
      <c r="B48" s="83">
        <f>IFERROR(INDEX(Team_Master!$G$6:$G$20,INT((ROW()-6)/4)+1),"")</f>
        <v/>
      </c>
      <c r="C48" s="82">
        <f>IFERROR(INDEX(Team_Master!$E$6:$E$20,INT((ROW()-6)/4)+1),"")</f>
        <v/>
      </c>
      <c r="D48" s="93">
        <f>"Q"&amp;E48</f>
        <v/>
      </c>
      <c r="E48" s="99">
        <f>MOD(ROW()-6,4)+1</f>
        <v/>
      </c>
      <c r="F48" s="100">
        <f>IFERROR(INDEX(Target_FY!$X$6:$AA$80,MATCH($A48&amp;"|K1",Target_FY!$A$6:$A$80,0),$E48),0)</f>
        <v/>
      </c>
      <c r="G48" s="100">
        <f>IFERROR(INDEX(Actual_Monthly!$X$6:$AA$80,MATCH($A48&amp;"|K1",Actual_Monthly!$A$6:$A$80,0),$E48),0)</f>
        <v/>
      </c>
      <c r="H48" s="101">
        <f>IF(F48&lt;=0,0,G48/F48)</f>
        <v/>
      </c>
      <c r="I48" s="102">
        <f>IF(F48&lt;=0,0,IF(H48&lt;Parameters!$C$15,0,IF(H48&lt;=Parameters!$C$17,Parameters!$C$16+(H48-Parameters!$C$15)/(Parameters!$C$17-Parameters!$C$15)*(Parameters!$C$18-Parameters!$C$16),MIN(Parameters!$C$20,Parameters!$C$18+(H48-Parameters!$C$17)/(Parameters!$C$19-Parameters!$C$17)*(Parameters!$C$20-Parameters!$C$18)))))</f>
        <v/>
      </c>
      <c r="J48" s="100">
        <f>IFERROR(INDEX(Target_FY!$X$6:$AA$80,MATCH($A48&amp;"|K2",Target_FY!$A$6:$A$80,0),$E48),0)</f>
        <v/>
      </c>
      <c r="K48" s="100">
        <f>IFERROR(INDEX(Actual_Monthly!$X$6:$AA$80,MATCH($A48&amp;"|K2",Actual_Monthly!$A$6:$A$80,0),$E48),0)</f>
        <v/>
      </c>
      <c r="L48" s="101">
        <f>IF(J48&lt;=0,0,K48/J48)</f>
        <v/>
      </c>
      <c r="M48" s="102">
        <f>IF(J48&lt;=0,0,IF(L48&lt;Parameters!$C$15,0,IF(L48&lt;=Parameters!$C$17,Parameters!$C$16+(L48-Parameters!$C$15)/(Parameters!$C$17-Parameters!$C$15)*(Parameters!$C$18-Parameters!$C$16),MIN(Parameters!$C$20,Parameters!$C$18+(L48-Parameters!$C$17)/(Parameters!$C$19-Parameters!$C$17)*(Parameters!$C$20-Parameters!$C$18)))))</f>
        <v/>
      </c>
      <c r="N48" s="69">
        <f>IF((KPI_Framework!$F$6+KPI_Framework!$F$7)=0,0,(KPI_Framework!$F$6*I48+KPI_Framework!$F$7*M48)/(KPI_Framework!$F$6+KPI_Framework!$F$7))</f>
        <v/>
      </c>
      <c r="O48" s="103">
        <f>IFERROR(INDEX(Target_FY!$X$6:$AA$80,MATCH($A48&amp;"|K3",Target_FY!$A$6:$A$80,0),$E48),0)</f>
        <v/>
      </c>
      <c r="P48" s="103">
        <f>IFERROR(INDEX(Actual_Monthly!$X$6:$AA$80,MATCH($A48&amp;"|K3",Actual_Monthly!$A$6:$A$80,0),$E48),0)</f>
        <v/>
      </c>
      <c r="Q48" s="104">
        <f>IF(O48&lt;=0,0,P48/O48)</f>
        <v/>
      </c>
      <c r="R48" s="103">
        <f>IFERROR(INDEX(Target_FY!$X$6:$AA$80,MATCH($A48&amp;"|K4",Target_FY!$A$6:$A$80,0),$E48),0)</f>
        <v/>
      </c>
      <c r="S48" s="103">
        <f>IFERROR(INDEX(Actual_Monthly!$X$6:$AA$80,MATCH($A48&amp;"|K4",Actual_Monthly!$A$6:$A$80,0),$E48),0)</f>
        <v/>
      </c>
      <c r="T48" s="104">
        <f>IF(R48&lt;=0,0,S48/R48)</f>
        <v/>
      </c>
      <c r="U48" s="104">
        <f>IF((KPI_Framework!$F$8+KPI_Framework!$F$9)=0,0,(KPI_Framework!$F$8*Q48+KPI_Framework!$F$9*T48)/(KPI_Framework!$F$8+KPI_Framework!$F$9))</f>
        <v/>
      </c>
      <c r="V48" s="104">
        <f>IF((KPI_Framework!$F$8+KPI_Framework!$F$9)=0,0,(KPI_Framework!$F$8*IF(O48&lt;=0,0,IF(Q48&lt;Parameters!$C$15,0,IF(Q48&lt;=Parameters!$C$17,Parameters!$C$16+(Q48-Parameters!$C$15)/(Parameters!$C$17-Parameters!$C$15)*(Parameters!$C$18-Parameters!$C$16),MIN(Parameters!$C$20,Parameters!$C$18+(Q48-Parameters!$C$17)/(Parameters!$C$19-Parameters!$C$17)*(Parameters!$C$20-Parameters!$C$18)))))+KPI_Framework!$F$9*IF(R48&lt;=0,0,IF(T48&lt;Parameters!$C$15,0,IF(T48&lt;=Parameters!$C$17,Parameters!$C$16+(T48-Parameters!$C$15)/(Parameters!$C$17-Parameters!$C$15)*(Parameters!$C$18-Parameters!$C$16),MIN(Parameters!$C$20,Parameters!$C$18+(T48-Parameters!$C$17)/(Parameters!$C$19-Parameters!$C$17)*(Parameters!$C$20-Parameters!$C$18))))))/(KPI_Framework!$F$8+KPI_Framework!$F$9))</f>
        <v/>
      </c>
      <c r="W48" s="105">
        <f>IF(Parameters!$C$23="OFF",1,IF(U48&gt;=Parameters!$B$25,Parameters!$C$25,IF(U48&gt;=Parameters!$B$26,Parameters!$C$26,IF(U48&gt;=Parameters!$B$27,Parameters!$C$27,Parameters!$C$28))))</f>
        <v/>
      </c>
      <c r="X48" s="69">
        <f>N48*W48</f>
        <v/>
      </c>
      <c r="Y48" s="106">
        <f>IF($A48="","",IF(F48&lt;=0,"No target",IF(X48&gt;=1,"On track",IF(X48&gt;=0.8,"Watch","Behind"))))</f>
        <v/>
      </c>
      <c r="Z48" s="107">
        <f>IFERROR(INDEX(Target_FY!$X$6:$AA$80,MATCH($A48&amp;"|K5",Target_FY!$A$6:$A$80,0),$E48),0)</f>
        <v/>
      </c>
      <c r="AA48" s="107">
        <f>IFERROR(INDEX(Actual_Monthly!$X$6:$AA$80,MATCH($A48&amp;"|K5",Actual_Monthly!$A$6:$A$80,0),$E48),0)</f>
        <v/>
      </c>
      <c r="AB48" s="108">
        <f>IF(Z48&lt;=0,0,AA48/Z48)</f>
        <v/>
      </c>
    </row>
    <row r="49">
      <c r="A49" s="82">
        <f>IFERROR(INDEX(Team_Master!$C$6:$C$20,INT((ROW()-6)/4)+1),"")</f>
        <v/>
      </c>
      <c r="B49" s="83">
        <f>IFERROR(INDEX(Team_Master!$G$6:$G$20,INT((ROW()-6)/4)+1),"")</f>
        <v/>
      </c>
      <c r="C49" s="82">
        <f>IFERROR(INDEX(Team_Master!$E$6:$E$20,INT((ROW()-6)/4)+1),"")</f>
        <v/>
      </c>
      <c r="D49" s="93">
        <f>"Q"&amp;E49</f>
        <v/>
      </c>
      <c r="E49" s="99">
        <f>MOD(ROW()-6,4)+1</f>
        <v/>
      </c>
      <c r="F49" s="100">
        <f>IFERROR(INDEX(Target_FY!$X$6:$AA$80,MATCH($A49&amp;"|K1",Target_FY!$A$6:$A$80,0),$E49),0)</f>
        <v/>
      </c>
      <c r="G49" s="100">
        <f>IFERROR(INDEX(Actual_Monthly!$X$6:$AA$80,MATCH($A49&amp;"|K1",Actual_Monthly!$A$6:$A$80,0),$E49),0)</f>
        <v/>
      </c>
      <c r="H49" s="101">
        <f>IF(F49&lt;=0,0,G49/F49)</f>
        <v/>
      </c>
      <c r="I49" s="102">
        <f>IF(F49&lt;=0,0,IF(H49&lt;Parameters!$C$15,0,IF(H49&lt;=Parameters!$C$17,Parameters!$C$16+(H49-Parameters!$C$15)/(Parameters!$C$17-Parameters!$C$15)*(Parameters!$C$18-Parameters!$C$16),MIN(Parameters!$C$20,Parameters!$C$18+(H49-Parameters!$C$17)/(Parameters!$C$19-Parameters!$C$17)*(Parameters!$C$20-Parameters!$C$18)))))</f>
        <v/>
      </c>
      <c r="J49" s="100">
        <f>IFERROR(INDEX(Target_FY!$X$6:$AA$80,MATCH($A49&amp;"|K2",Target_FY!$A$6:$A$80,0),$E49),0)</f>
        <v/>
      </c>
      <c r="K49" s="100">
        <f>IFERROR(INDEX(Actual_Monthly!$X$6:$AA$80,MATCH($A49&amp;"|K2",Actual_Monthly!$A$6:$A$80,0),$E49),0)</f>
        <v/>
      </c>
      <c r="L49" s="101">
        <f>IF(J49&lt;=0,0,K49/J49)</f>
        <v/>
      </c>
      <c r="M49" s="102">
        <f>IF(J49&lt;=0,0,IF(L49&lt;Parameters!$C$15,0,IF(L49&lt;=Parameters!$C$17,Parameters!$C$16+(L49-Parameters!$C$15)/(Parameters!$C$17-Parameters!$C$15)*(Parameters!$C$18-Parameters!$C$16),MIN(Parameters!$C$20,Parameters!$C$18+(L49-Parameters!$C$17)/(Parameters!$C$19-Parameters!$C$17)*(Parameters!$C$20-Parameters!$C$18)))))</f>
        <v/>
      </c>
      <c r="N49" s="69">
        <f>IF((KPI_Framework!$F$6+KPI_Framework!$F$7)=0,0,(KPI_Framework!$F$6*I49+KPI_Framework!$F$7*M49)/(KPI_Framework!$F$6+KPI_Framework!$F$7))</f>
        <v/>
      </c>
      <c r="O49" s="103">
        <f>IFERROR(INDEX(Target_FY!$X$6:$AA$80,MATCH($A49&amp;"|K3",Target_FY!$A$6:$A$80,0),$E49),0)</f>
        <v/>
      </c>
      <c r="P49" s="103">
        <f>IFERROR(INDEX(Actual_Monthly!$X$6:$AA$80,MATCH($A49&amp;"|K3",Actual_Monthly!$A$6:$A$80,0),$E49),0)</f>
        <v/>
      </c>
      <c r="Q49" s="104">
        <f>IF(O49&lt;=0,0,P49/O49)</f>
        <v/>
      </c>
      <c r="R49" s="103">
        <f>IFERROR(INDEX(Target_FY!$X$6:$AA$80,MATCH($A49&amp;"|K4",Target_FY!$A$6:$A$80,0),$E49),0)</f>
        <v/>
      </c>
      <c r="S49" s="103">
        <f>IFERROR(INDEX(Actual_Monthly!$X$6:$AA$80,MATCH($A49&amp;"|K4",Actual_Monthly!$A$6:$A$80,0),$E49),0)</f>
        <v/>
      </c>
      <c r="T49" s="104">
        <f>IF(R49&lt;=0,0,S49/R49)</f>
        <v/>
      </c>
      <c r="U49" s="104">
        <f>IF((KPI_Framework!$F$8+KPI_Framework!$F$9)=0,0,(KPI_Framework!$F$8*Q49+KPI_Framework!$F$9*T49)/(KPI_Framework!$F$8+KPI_Framework!$F$9))</f>
        <v/>
      </c>
      <c r="V49" s="104">
        <f>IF((KPI_Framework!$F$8+KPI_Framework!$F$9)=0,0,(KPI_Framework!$F$8*IF(O49&lt;=0,0,IF(Q49&lt;Parameters!$C$15,0,IF(Q49&lt;=Parameters!$C$17,Parameters!$C$16+(Q49-Parameters!$C$15)/(Parameters!$C$17-Parameters!$C$15)*(Parameters!$C$18-Parameters!$C$16),MIN(Parameters!$C$20,Parameters!$C$18+(Q49-Parameters!$C$17)/(Parameters!$C$19-Parameters!$C$17)*(Parameters!$C$20-Parameters!$C$18)))))+KPI_Framework!$F$9*IF(R49&lt;=0,0,IF(T49&lt;Parameters!$C$15,0,IF(T49&lt;=Parameters!$C$17,Parameters!$C$16+(T49-Parameters!$C$15)/(Parameters!$C$17-Parameters!$C$15)*(Parameters!$C$18-Parameters!$C$16),MIN(Parameters!$C$20,Parameters!$C$18+(T49-Parameters!$C$17)/(Parameters!$C$19-Parameters!$C$17)*(Parameters!$C$20-Parameters!$C$18))))))/(KPI_Framework!$F$8+KPI_Framework!$F$9))</f>
        <v/>
      </c>
      <c r="W49" s="105">
        <f>IF(Parameters!$C$23="OFF",1,IF(U49&gt;=Parameters!$B$25,Parameters!$C$25,IF(U49&gt;=Parameters!$B$26,Parameters!$C$26,IF(U49&gt;=Parameters!$B$27,Parameters!$C$27,Parameters!$C$28))))</f>
        <v/>
      </c>
      <c r="X49" s="69">
        <f>N49*W49</f>
        <v/>
      </c>
      <c r="Y49" s="106">
        <f>IF($A49="","",IF(F49&lt;=0,"No target",IF(X49&gt;=1,"On track",IF(X49&gt;=0.8,"Watch","Behind"))))</f>
        <v/>
      </c>
      <c r="Z49" s="107">
        <f>IFERROR(INDEX(Target_FY!$X$6:$AA$80,MATCH($A49&amp;"|K5",Target_FY!$A$6:$A$80,0),$E49),0)</f>
        <v/>
      </c>
      <c r="AA49" s="107">
        <f>IFERROR(INDEX(Actual_Monthly!$X$6:$AA$80,MATCH($A49&amp;"|K5",Actual_Monthly!$A$6:$A$80,0),$E49),0)</f>
        <v/>
      </c>
      <c r="AB49" s="108">
        <f>IF(Z49&lt;=0,0,AA49/Z49)</f>
        <v/>
      </c>
    </row>
    <row r="50">
      <c r="A50" s="88">
        <f>IFERROR(INDEX(Team_Master!$C$6:$C$20,INT((ROW()-6)/4)+1),"")</f>
        <v/>
      </c>
      <c r="B50" s="89">
        <f>IFERROR(INDEX(Team_Master!$G$6:$G$20,INT((ROW()-6)/4)+1),"")</f>
        <v/>
      </c>
      <c r="C50" s="88">
        <f>IFERROR(INDEX(Team_Master!$E$6:$E$20,INT((ROW()-6)/4)+1),"")</f>
        <v/>
      </c>
      <c r="D50" s="109">
        <f>"Q"&amp;E50</f>
        <v/>
      </c>
      <c r="E50" s="110">
        <f>MOD(ROW()-6,4)+1</f>
        <v/>
      </c>
      <c r="F50" s="100">
        <f>IFERROR(INDEX(Target_FY!$X$6:$AA$80,MATCH($A50&amp;"|K1",Target_FY!$A$6:$A$80,0),$E50),0)</f>
        <v/>
      </c>
      <c r="G50" s="100">
        <f>IFERROR(INDEX(Actual_Monthly!$X$6:$AA$80,MATCH($A50&amp;"|K1",Actual_Monthly!$A$6:$A$80,0),$E50),0)</f>
        <v/>
      </c>
      <c r="H50" s="101">
        <f>IF(F50&lt;=0,0,G50/F50)</f>
        <v/>
      </c>
      <c r="I50" s="102">
        <f>IF(F50&lt;=0,0,IF(H50&lt;Parameters!$C$15,0,IF(H50&lt;=Parameters!$C$17,Parameters!$C$16+(H50-Parameters!$C$15)/(Parameters!$C$17-Parameters!$C$15)*(Parameters!$C$18-Parameters!$C$16),MIN(Parameters!$C$20,Parameters!$C$18+(H50-Parameters!$C$17)/(Parameters!$C$19-Parameters!$C$17)*(Parameters!$C$20-Parameters!$C$18)))))</f>
        <v/>
      </c>
      <c r="J50" s="100">
        <f>IFERROR(INDEX(Target_FY!$X$6:$AA$80,MATCH($A50&amp;"|K2",Target_FY!$A$6:$A$80,0),$E50),0)</f>
        <v/>
      </c>
      <c r="K50" s="100">
        <f>IFERROR(INDEX(Actual_Monthly!$X$6:$AA$80,MATCH($A50&amp;"|K2",Actual_Monthly!$A$6:$A$80,0),$E50),0)</f>
        <v/>
      </c>
      <c r="L50" s="101">
        <f>IF(J50&lt;=0,0,K50/J50)</f>
        <v/>
      </c>
      <c r="M50" s="102">
        <f>IF(J50&lt;=0,0,IF(L50&lt;Parameters!$C$15,0,IF(L50&lt;=Parameters!$C$17,Parameters!$C$16+(L50-Parameters!$C$15)/(Parameters!$C$17-Parameters!$C$15)*(Parameters!$C$18-Parameters!$C$16),MIN(Parameters!$C$20,Parameters!$C$18+(L50-Parameters!$C$17)/(Parameters!$C$19-Parameters!$C$17)*(Parameters!$C$20-Parameters!$C$18)))))</f>
        <v/>
      </c>
      <c r="N50" s="69">
        <f>IF((KPI_Framework!$F$6+KPI_Framework!$F$7)=0,0,(KPI_Framework!$F$6*I50+KPI_Framework!$F$7*M50)/(KPI_Framework!$F$6+KPI_Framework!$F$7))</f>
        <v/>
      </c>
      <c r="O50" s="103">
        <f>IFERROR(INDEX(Target_FY!$X$6:$AA$80,MATCH($A50&amp;"|K3",Target_FY!$A$6:$A$80,0),$E50),0)</f>
        <v/>
      </c>
      <c r="P50" s="103">
        <f>IFERROR(INDEX(Actual_Monthly!$X$6:$AA$80,MATCH($A50&amp;"|K3",Actual_Monthly!$A$6:$A$80,0),$E50),0)</f>
        <v/>
      </c>
      <c r="Q50" s="104">
        <f>IF(O50&lt;=0,0,P50/O50)</f>
        <v/>
      </c>
      <c r="R50" s="103">
        <f>IFERROR(INDEX(Target_FY!$X$6:$AA$80,MATCH($A50&amp;"|K4",Target_FY!$A$6:$A$80,0),$E50),0)</f>
        <v/>
      </c>
      <c r="S50" s="103">
        <f>IFERROR(INDEX(Actual_Monthly!$X$6:$AA$80,MATCH($A50&amp;"|K4",Actual_Monthly!$A$6:$A$80,0),$E50),0)</f>
        <v/>
      </c>
      <c r="T50" s="104">
        <f>IF(R50&lt;=0,0,S50/R50)</f>
        <v/>
      </c>
      <c r="U50" s="104">
        <f>IF((KPI_Framework!$F$8+KPI_Framework!$F$9)=0,0,(KPI_Framework!$F$8*Q50+KPI_Framework!$F$9*T50)/(KPI_Framework!$F$8+KPI_Framework!$F$9))</f>
        <v/>
      </c>
      <c r="V50" s="104">
        <f>IF((KPI_Framework!$F$8+KPI_Framework!$F$9)=0,0,(KPI_Framework!$F$8*IF(O50&lt;=0,0,IF(Q50&lt;Parameters!$C$15,0,IF(Q50&lt;=Parameters!$C$17,Parameters!$C$16+(Q50-Parameters!$C$15)/(Parameters!$C$17-Parameters!$C$15)*(Parameters!$C$18-Parameters!$C$16),MIN(Parameters!$C$20,Parameters!$C$18+(Q50-Parameters!$C$17)/(Parameters!$C$19-Parameters!$C$17)*(Parameters!$C$20-Parameters!$C$18)))))+KPI_Framework!$F$9*IF(R50&lt;=0,0,IF(T50&lt;Parameters!$C$15,0,IF(T50&lt;=Parameters!$C$17,Parameters!$C$16+(T50-Parameters!$C$15)/(Parameters!$C$17-Parameters!$C$15)*(Parameters!$C$18-Parameters!$C$16),MIN(Parameters!$C$20,Parameters!$C$18+(T50-Parameters!$C$17)/(Parameters!$C$19-Parameters!$C$17)*(Parameters!$C$20-Parameters!$C$18))))))/(KPI_Framework!$F$8+KPI_Framework!$F$9))</f>
        <v/>
      </c>
      <c r="W50" s="105">
        <f>IF(Parameters!$C$23="OFF",1,IF(U50&gt;=Parameters!$B$25,Parameters!$C$25,IF(U50&gt;=Parameters!$B$26,Parameters!$C$26,IF(U50&gt;=Parameters!$B$27,Parameters!$C$27,Parameters!$C$28))))</f>
        <v/>
      </c>
      <c r="X50" s="69">
        <f>N50*W50</f>
        <v/>
      </c>
      <c r="Y50" s="106">
        <f>IF($A50="","",IF(F50&lt;=0,"No target",IF(X50&gt;=1,"On track",IF(X50&gt;=0.8,"Watch","Behind"))))</f>
        <v/>
      </c>
      <c r="Z50" s="107">
        <f>IFERROR(INDEX(Target_FY!$X$6:$AA$80,MATCH($A50&amp;"|K5",Target_FY!$A$6:$A$80,0),$E50),0)</f>
        <v/>
      </c>
      <c r="AA50" s="107">
        <f>IFERROR(INDEX(Actual_Monthly!$X$6:$AA$80,MATCH($A50&amp;"|K5",Actual_Monthly!$A$6:$A$80,0),$E50),0)</f>
        <v/>
      </c>
      <c r="AB50" s="108">
        <f>IF(Z50&lt;=0,0,AA50/Z50)</f>
        <v/>
      </c>
    </row>
    <row r="51">
      <c r="A51" s="88">
        <f>IFERROR(INDEX(Team_Master!$C$6:$C$20,INT((ROW()-6)/4)+1),"")</f>
        <v/>
      </c>
      <c r="B51" s="89">
        <f>IFERROR(INDEX(Team_Master!$G$6:$G$20,INT((ROW()-6)/4)+1),"")</f>
        <v/>
      </c>
      <c r="C51" s="88">
        <f>IFERROR(INDEX(Team_Master!$E$6:$E$20,INT((ROW()-6)/4)+1),"")</f>
        <v/>
      </c>
      <c r="D51" s="109">
        <f>"Q"&amp;E51</f>
        <v/>
      </c>
      <c r="E51" s="110">
        <f>MOD(ROW()-6,4)+1</f>
        <v/>
      </c>
      <c r="F51" s="100">
        <f>IFERROR(INDEX(Target_FY!$X$6:$AA$80,MATCH($A51&amp;"|K1",Target_FY!$A$6:$A$80,0),$E51),0)</f>
        <v/>
      </c>
      <c r="G51" s="100">
        <f>IFERROR(INDEX(Actual_Monthly!$X$6:$AA$80,MATCH($A51&amp;"|K1",Actual_Monthly!$A$6:$A$80,0),$E51),0)</f>
        <v/>
      </c>
      <c r="H51" s="101">
        <f>IF(F51&lt;=0,0,G51/F51)</f>
        <v/>
      </c>
      <c r="I51" s="102">
        <f>IF(F51&lt;=0,0,IF(H51&lt;Parameters!$C$15,0,IF(H51&lt;=Parameters!$C$17,Parameters!$C$16+(H51-Parameters!$C$15)/(Parameters!$C$17-Parameters!$C$15)*(Parameters!$C$18-Parameters!$C$16),MIN(Parameters!$C$20,Parameters!$C$18+(H51-Parameters!$C$17)/(Parameters!$C$19-Parameters!$C$17)*(Parameters!$C$20-Parameters!$C$18)))))</f>
        <v/>
      </c>
      <c r="J51" s="100">
        <f>IFERROR(INDEX(Target_FY!$X$6:$AA$80,MATCH($A51&amp;"|K2",Target_FY!$A$6:$A$80,0),$E51),0)</f>
        <v/>
      </c>
      <c r="K51" s="100">
        <f>IFERROR(INDEX(Actual_Monthly!$X$6:$AA$80,MATCH($A51&amp;"|K2",Actual_Monthly!$A$6:$A$80,0),$E51),0)</f>
        <v/>
      </c>
      <c r="L51" s="101">
        <f>IF(J51&lt;=0,0,K51/J51)</f>
        <v/>
      </c>
      <c r="M51" s="102">
        <f>IF(J51&lt;=0,0,IF(L51&lt;Parameters!$C$15,0,IF(L51&lt;=Parameters!$C$17,Parameters!$C$16+(L51-Parameters!$C$15)/(Parameters!$C$17-Parameters!$C$15)*(Parameters!$C$18-Parameters!$C$16),MIN(Parameters!$C$20,Parameters!$C$18+(L51-Parameters!$C$17)/(Parameters!$C$19-Parameters!$C$17)*(Parameters!$C$20-Parameters!$C$18)))))</f>
        <v/>
      </c>
      <c r="N51" s="69">
        <f>IF((KPI_Framework!$F$6+KPI_Framework!$F$7)=0,0,(KPI_Framework!$F$6*I51+KPI_Framework!$F$7*M51)/(KPI_Framework!$F$6+KPI_Framework!$F$7))</f>
        <v/>
      </c>
      <c r="O51" s="103">
        <f>IFERROR(INDEX(Target_FY!$X$6:$AA$80,MATCH($A51&amp;"|K3",Target_FY!$A$6:$A$80,0),$E51),0)</f>
        <v/>
      </c>
      <c r="P51" s="103">
        <f>IFERROR(INDEX(Actual_Monthly!$X$6:$AA$80,MATCH($A51&amp;"|K3",Actual_Monthly!$A$6:$A$80,0),$E51),0)</f>
        <v/>
      </c>
      <c r="Q51" s="104">
        <f>IF(O51&lt;=0,0,P51/O51)</f>
        <v/>
      </c>
      <c r="R51" s="103">
        <f>IFERROR(INDEX(Target_FY!$X$6:$AA$80,MATCH($A51&amp;"|K4",Target_FY!$A$6:$A$80,0),$E51),0)</f>
        <v/>
      </c>
      <c r="S51" s="103">
        <f>IFERROR(INDEX(Actual_Monthly!$X$6:$AA$80,MATCH($A51&amp;"|K4",Actual_Monthly!$A$6:$A$80,0),$E51),0)</f>
        <v/>
      </c>
      <c r="T51" s="104">
        <f>IF(R51&lt;=0,0,S51/R51)</f>
        <v/>
      </c>
      <c r="U51" s="104">
        <f>IF((KPI_Framework!$F$8+KPI_Framework!$F$9)=0,0,(KPI_Framework!$F$8*Q51+KPI_Framework!$F$9*T51)/(KPI_Framework!$F$8+KPI_Framework!$F$9))</f>
        <v/>
      </c>
      <c r="V51" s="104">
        <f>IF((KPI_Framework!$F$8+KPI_Framework!$F$9)=0,0,(KPI_Framework!$F$8*IF(O51&lt;=0,0,IF(Q51&lt;Parameters!$C$15,0,IF(Q51&lt;=Parameters!$C$17,Parameters!$C$16+(Q51-Parameters!$C$15)/(Parameters!$C$17-Parameters!$C$15)*(Parameters!$C$18-Parameters!$C$16),MIN(Parameters!$C$20,Parameters!$C$18+(Q51-Parameters!$C$17)/(Parameters!$C$19-Parameters!$C$17)*(Parameters!$C$20-Parameters!$C$18)))))+KPI_Framework!$F$9*IF(R51&lt;=0,0,IF(T51&lt;Parameters!$C$15,0,IF(T51&lt;=Parameters!$C$17,Parameters!$C$16+(T51-Parameters!$C$15)/(Parameters!$C$17-Parameters!$C$15)*(Parameters!$C$18-Parameters!$C$16),MIN(Parameters!$C$20,Parameters!$C$18+(T51-Parameters!$C$17)/(Parameters!$C$19-Parameters!$C$17)*(Parameters!$C$20-Parameters!$C$18))))))/(KPI_Framework!$F$8+KPI_Framework!$F$9))</f>
        <v/>
      </c>
      <c r="W51" s="105">
        <f>IF(Parameters!$C$23="OFF",1,IF(U51&gt;=Parameters!$B$25,Parameters!$C$25,IF(U51&gt;=Parameters!$B$26,Parameters!$C$26,IF(U51&gt;=Parameters!$B$27,Parameters!$C$27,Parameters!$C$28))))</f>
        <v/>
      </c>
      <c r="X51" s="69">
        <f>N51*W51</f>
        <v/>
      </c>
      <c r="Y51" s="106">
        <f>IF($A51="","",IF(F51&lt;=0,"No target",IF(X51&gt;=1,"On track",IF(X51&gt;=0.8,"Watch","Behind"))))</f>
        <v/>
      </c>
      <c r="Z51" s="107">
        <f>IFERROR(INDEX(Target_FY!$X$6:$AA$80,MATCH($A51&amp;"|K5",Target_FY!$A$6:$A$80,0),$E51),0)</f>
        <v/>
      </c>
      <c r="AA51" s="107">
        <f>IFERROR(INDEX(Actual_Monthly!$X$6:$AA$80,MATCH($A51&amp;"|K5",Actual_Monthly!$A$6:$A$80,0),$E51),0)</f>
        <v/>
      </c>
      <c r="AB51" s="108">
        <f>IF(Z51&lt;=0,0,AA51/Z51)</f>
        <v/>
      </c>
    </row>
    <row r="52">
      <c r="A52" s="88">
        <f>IFERROR(INDEX(Team_Master!$C$6:$C$20,INT((ROW()-6)/4)+1),"")</f>
        <v/>
      </c>
      <c r="B52" s="89">
        <f>IFERROR(INDEX(Team_Master!$G$6:$G$20,INT((ROW()-6)/4)+1),"")</f>
        <v/>
      </c>
      <c r="C52" s="88">
        <f>IFERROR(INDEX(Team_Master!$E$6:$E$20,INT((ROW()-6)/4)+1),"")</f>
        <v/>
      </c>
      <c r="D52" s="109">
        <f>"Q"&amp;E52</f>
        <v/>
      </c>
      <c r="E52" s="110">
        <f>MOD(ROW()-6,4)+1</f>
        <v/>
      </c>
      <c r="F52" s="100">
        <f>IFERROR(INDEX(Target_FY!$X$6:$AA$80,MATCH($A52&amp;"|K1",Target_FY!$A$6:$A$80,0),$E52),0)</f>
        <v/>
      </c>
      <c r="G52" s="100">
        <f>IFERROR(INDEX(Actual_Monthly!$X$6:$AA$80,MATCH($A52&amp;"|K1",Actual_Monthly!$A$6:$A$80,0),$E52),0)</f>
        <v/>
      </c>
      <c r="H52" s="101">
        <f>IF(F52&lt;=0,0,G52/F52)</f>
        <v/>
      </c>
      <c r="I52" s="102">
        <f>IF(F52&lt;=0,0,IF(H52&lt;Parameters!$C$15,0,IF(H52&lt;=Parameters!$C$17,Parameters!$C$16+(H52-Parameters!$C$15)/(Parameters!$C$17-Parameters!$C$15)*(Parameters!$C$18-Parameters!$C$16),MIN(Parameters!$C$20,Parameters!$C$18+(H52-Parameters!$C$17)/(Parameters!$C$19-Parameters!$C$17)*(Parameters!$C$20-Parameters!$C$18)))))</f>
        <v/>
      </c>
      <c r="J52" s="100">
        <f>IFERROR(INDEX(Target_FY!$X$6:$AA$80,MATCH($A52&amp;"|K2",Target_FY!$A$6:$A$80,0),$E52),0)</f>
        <v/>
      </c>
      <c r="K52" s="100">
        <f>IFERROR(INDEX(Actual_Monthly!$X$6:$AA$80,MATCH($A52&amp;"|K2",Actual_Monthly!$A$6:$A$80,0),$E52),0)</f>
        <v/>
      </c>
      <c r="L52" s="101">
        <f>IF(J52&lt;=0,0,K52/J52)</f>
        <v/>
      </c>
      <c r="M52" s="102">
        <f>IF(J52&lt;=0,0,IF(L52&lt;Parameters!$C$15,0,IF(L52&lt;=Parameters!$C$17,Parameters!$C$16+(L52-Parameters!$C$15)/(Parameters!$C$17-Parameters!$C$15)*(Parameters!$C$18-Parameters!$C$16),MIN(Parameters!$C$20,Parameters!$C$18+(L52-Parameters!$C$17)/(Parameters!$C$19-Parameters!$C$17)*(Parameters!$C$20-Parameters!$C$18)))))</f>
        <v/>
      </c>
      <c r="N52" s="69">
        <f>IF((KPI_Framework!$F$6+KPI_Framework!$F$7)=0,0,(KPI_Framework!$F$6*I52+KPI_Framework!$F$7*M52)/(KPI_Framework!$F$6+KPI_Framework!$F$7))</f>
        <v/>
      </c>
      <c r="O52" s="103">
        <f>IFERROR(INDEX(Target_FY!$X$6:$AA$80,MATCH($A52&amp;"|K3",Target_FY!$A$6:$A$80,0),$E52),0)</f>
        <v/>
      </c>
      <c r="P52" s="103">
        <f>IFERROR(INDEX(Actual_Monthly!$X$6:$AA$80,MATCH($A52&amp;"|K3",Actual_Monthly!$A$6:$A$80,0),$E52),0)</f>
        <v/>
      </c>
      <c r="Q52" s="104">
        <f>IF(O52&lt;=0,0,P52/O52)</f>
        <v/>
      </c>
      <c r="R52" s="103">
        <f>IFERROR(INDEX(Target_FY!$X$6:$AA$80,MATCH($A52&amp;"|K4",Target_FY!$A$6:$A$80,0),$E52),0)</f>
        <v/>
      </c>
      <c r="S52" s="103">
        <f>IFERROR(INDEX(Actual_Monthly!$X$6:$AA$80,MATCH($A52&amp;"|K4",Actual_Monthly!$A$6:$A$80,0),$E52),0)</f>
        <v/>
      </c>
      <c r="T52" s="104">
        <f>IF(R52&lt;=0,0,S52/R52)</f>
        <v/>
      </c>
      <c r="U52" s="104">
        <f>IF((KPI_Framework!$F$8+KPI_Framework!$F$9)=0,0,(KPI_Framework!$F$8*Q52+KPI_Framework!$F$9*T52)/(KPI_Framework!$F$8+KPI_Framework!$F$9))</f>
        <v/>
      </c>
      <c r="V52" s="104">
        <f>IF((KPI_Framework!$F$8+KPI_Framework!$F$9)=0,0,(KPI_Framework!$F$8*IF(O52&lt;=0,0,IF(Q52&lt;Parameters!$C$15,0,IF(Q52&lt;=Parameters!$C$17,Parameters!$C$16+(Q52-Parameters!$C$15)/(Parameters!$C$17-Parameters!$C$15)*(Parameters!$C$18-Parameters!$C$16),MIN(Parameters!$C$20,Parameters!$C$18+(Q52-Parameters!$C$17)/(Parameters!$C$19-Parameters!$C$17)*(Parameters!$C$20-Parameters!$C$18)))))+KPI_Framework!$F$9*IF(R52&lt;=0,0,IF(T52&lt;Parameters!$C$15,0,IF(T52&lt;=Parameters!$C$17,Parameters!$C$16+(T52-Parameters!$C$15)/(Parameters!$C$17-Parameters!$C$15)*(Parameters!$C$18-Parameters!$C$16),MIN(Parameters!$C$20,Parameters!$C$18+(T52-Parameters!$C$17)/(Parameters!$C$19-Parameters!$C$17)*(Parameters!$C$20-Parameters!$C$18))))))/(KPI_Framework!$F$8+KPI_Framework!$F$9))</f>
        <v/>
      </c>
      <c r="W52" s="105">
        <f>IF(Parameters!$C$23="OFF",1,IF(U52&gt;=Parameters!$B$25,Parameters!$C$25,IF(U52&gt;=Parameters!$B$26,Parameters!$C$26,IF(U52&gt;=Parameters!$B$27,Parameters!$C$27,Parameters!$C$28))))</f>
        <v/>
      </c>
      <c r="X52" s="69">
        <f>N52*W52</f>
        <v/>
      </c>
      <c r="Y52" s="106">
        <f>IF($A52="","",IF(F52&lt;=0,"No target",IF(X52&gt;=1,"On track",IF(X52&gt;=0.8,"Watch","Behind"))))</f>
        <v/>
      </c>
      <c r="Z52" s="107">
        <f>IFERROR(INDEX(Target_FY!$X$6:$AA$80,MATCH($A52&amp;"|K5",Target_FY!$A$6:$A$80,0),$E52),0)</f>
        <v/>
      </c>
      <c r="AA52" s="107">
        <f>IFERROR(INDEX(Actual_Monthly!$X$6:$AA$80,MATCH($A52&amp;"|K5",Actual_Monthly!$A$6:$A$80,0),$E52),0)</f>
        <v/>
      </c>
      <c r="AB52" s="108">
        <f>IF(Z52&lt;=0,0,AA52/Z52)</f>
        <v/>
      </c>
    </row>
    <row r="53">
      <c r="A53" s="88">
        <f>IFERROR(INDEX(Team_Master!$C$6:$C$20,INT((ROW()-6)/4)+1),"")</f>
        <v/>
      </c>
      <c r="B53" s="89">
        <f>IFERROR(INDEX(Team_Master!$G$6:$G$20,INT((ROW()-6)/4)+1),"")</f>
        <v/>
      </c>
      <c r="C53" s="88">
        <f>IFERROR(INDEX(Team_Master!$E$6:$E$20,INT((ROW()-6)/4)+1),"")</f>
        <v/>
      </c>
      <c r="D53" s="109">
        <f>"Q"&amp;E53</f>
        <v/>
      </c>
      <c r="E53" s="110">
        <f>MOD(ROW()-6,4)+1</f>
        <v/>
      </c>
      <c r="F53" s="100">
        <f>IFERROR(INDEX(Target_FY!$X$6:$AA$80,MATCH($A53&amp;"|K1",Target_FY!$A$6:$A$80,0),$E53),0)</f>
        <v/>
      </c>
      <c r="G53" s="100">
        <f>IFERROR(INDEX(Actual_Monthly!$X$6:$AA$80,MATCH($A53&amp;"|K1",Actual_Monthly!$A$6:$A$80,0),$E53),0)</f>
        <v/>
      </c>
      <c r="H53" s="101">
        <f>IF(F53&lt;=0,0,G53/F53)</f>
        <v/>
      </c>
      <c r="I53" s="102">
        <f>IF(F53&lt;=0,0,IF(H53&lt;Parameters!$C$15,0,IF(H53&lt;=Parameters!$C$17,Parameters!$C$16+(H53-Parameters!$C$15)/(Parameters!$C$17-Parameters!$C$15)*(Parameters!$C$18-Parameters!$C$16),MIN(Parameters!$C$20,Parameters!$C$18+(H53-Parameters!$C$17)/(Parameters!$C$19-Parameters!$C$17)*(Parameters!$C$20-Parameters!$C$18)))))</f>
        <v/>
      </c>
      <c r="J53" s="100">
        <f>IFERROR(INDEX(Target_FY!$X$6:$AA$80,MATCH($A53&amp;"|K2",Target_FY!$A$6:$A$80,0),$E53),0)</f>
        <v/>
      </c>
      <c r="K53" s="100">
        <f>IFERROR(INDEX(Actual_Monthly!$X$6:$AA$80,MATCH($A53&amp;"|K2",Actual_Monthly!$A$6:$A$80,0),$E53),0)</f>
        <v/>
      </c>
      <c r="L53" s="101">
        <f>IF(J53&lt;=0,0,K53/J53)</f>
        <v/>
      </c>
      <c r="M53" s="102">
        <f>IF(J53&lt;=0,0,IF(L53&lt;Parameters!$C$15,0,IF(L53&lt;=Parameters!$C$17,Parameters!$C$16+(L53-Parameters!$C$15)/(Parameters!$C$17-Parameters!$C$15)*(Parameters!$C$18-Parameters!$C$16),MIN(Parameters!$C$20,Parameters!$C$18+(L53-Parameters!$C$17)/(Parameters!$C$19-Parameters!$C$17)*(Parameters!$C$20-Parameters!$C$18)))))</f>
        <v/>
      </c>
      <c r="N53" s="69">
        <f>IF((KPI_Framework!$F$6+KPI_Framework!$F$7)=0,0,(KPI_Framework!$F$6*I53+KPI_Framework!$F$7*M53)/(KPI_Framework!$F$6+KPI_Framework!$F$7))</f>
        <v/>
      </c>
      <c r="O53" s="103">
        <f>IFERROR(INDEX(Target_FY!$X$6:$AA$80,MATCH($A53&amp;"|K3",Target_FY!$A$6:$A$80,0),$E53),0)</f>
        <v/>
      </c>
      <c r="P53" s="103">
        <f>IFERROR(INDEX(Actual_Monthly!$X$6:$AA$80,MATCH($A53&amp;"|K3",Actual_Monthly!$A$6:$A$80,0),$E53),0)</f>
        <v/>
      </c>
      <c r="Q53" s="104">
        <f>IF(O53&lt;=0,0,P53/O53)</f>
        <v/>
      </c>
      <c r="R53" s="103">
        <f>IFERROR(INDEX(Target_FY!$X$6:$AA$80,MATCH($A53&amp;"|K4",Target_FY!$A$6:$A$80,0),$E53),0)</f>
        <v/>
      </c>
      <c r="S53" s="103">
        <f>IFERROR(INDEX(Actual_Monthly!$X$6:$AA$80,MATCH($A53&amp;"|K4",Actual_Monthly!$A$6:$A$80,0),$E53),0)</f>
        <v/>
      </c>
      <c r="T53" s="104">
        <f>IF(R53&lt;=0,0,S53/R53)</f>
        <v/>
      </c>
      <c r="U53" s="104">
        <f>IF((KPI_Framework!$F$8+KPI_Framework!$F$9)=0,0,(KPI_Framework!$F$8*Q53+KPI_Framework!$F$9*T53)/(KPI_Framework!$F$8+KPI_Framework!$F$9))</f>
        <v/>
      </c>
      <c r="V53" s="104">
        <f>IF((KPI_Framework!$F$8+KPI_Framework!$F$9)=0,0,(KPI_Framework!$F$8*IF(O53&lt;=0,0,IF(Q53&lt;Parameters!$C$15,0,IF(Q53&lt;=Parameters!$C$17,Parameters!$C$16+(Q53-Parameters!$C$15)/(Parameters!$C$17-Parameters!$C$15)*(Parameters!$C$18-Parameters!$C$16),MIN(Parameters!$C$20,Parameters!$C$18+(Q53-Parameters!$C$17)/(Parameters!$C$19-Parameters!$C$17)*(Parameters!$C$20-Parameters!$C$18)))))+KPI_Framework!$F$9*IF(R53&lt;=0,0,IF(T53&lt;Parameters!$C$15,0,IF(T53&lt;=Parameters!$C$17,Parameters!$C$16+(T53-Parameters!$C$15)/(Parameters!$C$17-Parameters!$C$15)*(Parameters!$C$18-Parameters!$C$16),MIN(Parameters!$C$20,Parameters!$C$18+(T53-Parameters!$C$17)/(Parameters!$C$19-Parameters!$C$17)*(Parameters!$C$20-Parameters!$C$18))))))/(KPI_Framework!$F$8+KPI_Framework!$F$9))</f>
        <v/>
      </c>
      <c r="W53" s="105">
        <f>IF(Parameters!$C$23="OFF",1,IF(U53&gt;=Parameters!$B$25,Parameters!$C$25,IF(U53&gt;=Parameters!$B$26,Parameters!$C$26,IF(U53&gt;=Parameters!$B$27,Parameters!$C$27,Parameters!$C$28))))</f>
        <v/>
      </c>
      <c r="X53" s="69">
        <f>N53*W53</f>
        <v/>
      </c>
      <c r="Y53" s="106">
        <f>IF($A53="","",IF(F53&lt;=0,"No target",IF(X53&gt;=1,"On track",IF(X53&gt;=0.8,"Watch","Behind"))))</f>
        <v/>
      </c>
      <c r="Z53" s="107">
        <f>IFERROR(INDEX(Target_FY!$X$6:$AA$80,MATCH($A53&amp;"|K5",Target_FY!$A$6:$A$80,0),$E53),0)</f>
        <v/>
      </c>
      <c r="AA53" s="107">
        <f>IFERROR(INDEX(Actual_Monthly!$X$6:$AA$80,MATCH($A53&amp;"|K5",Actual_Monthly!$A$6:$A$80,0),$E53),0)</f>
        <v/>
      </c>
      <c r="AB53" s="108">
        <f>IF(Z53&lt;=0,0,AA53/Z53)</f>
        <v/>
      </c>
    </row>
    <row r="54">
      <c r="A54" s="82">
        <f>IFERROR(INDEX(Team_Master!$C$6:$C$20,INT((ROW()-6)/4)+1),"")</f>
        <v/>
      </c>
      <c r="B54" s="83">
        <f>IFERROR(INDEX(Team_Master!$G$6:$G$20,INT((ROW()-6)/4)+1),"")</f>
        <v/>
      </c>
      <c r="C54" s="82">
        <f>IFERROR(INDEX(Team_Master!$E$6:$E$20,INT((ROW()-6)/4)+1),"")</f>
        <v/>
      </c>
      <c r="D54" s="93">
        <f>"Q"&amp;E54</f>
        <v/>
      </c>
      <c r="E54" s="99">
        <f>MOD(ROW()-6,4)+1</f>
        <v/>
      </c>
      <c r="F54" s="100">
        <f>IFERROR(INDEX(Target_FY!$X$6:$AA$80,MATCH($A54&amp;"|K1",Target_FY!$A$6:$A$80,0),$E54),0)</f>
        <v/>
      </c>
      <c r="G54" s="100">
        <f>IFERROR(INDEX(Actual_Monthly!$X$6:$AA$80,MATCH($A54&amp;"|K1",Actual_Monthly!$A$6:$A$80,0),$E54),0)</f>
        <v/>
      </c>
      <c r="H54" s="101">
        <f>IF(F54&lt;=0,0,G54/F54)</f>
        <v/>
      </c>
      <c r="I54" s="102">
        <f>IF(F54&lt;=0,0,IF(H54&lt;Parameters!$C$15,0,IF(H54&lt;=Parameters!$C$17,Parameters!$C$16+(H54-Parameters!$C$15)/(Parameters!$C$17-Parameters!$C$15)*(Parameters!$C$18-Parameters!$C$16),MIN(Parameters!$C$20,Parameters!$C$18+(H54-Parameters!$C$17)/(Parameters!$C$19-Parameters!$C$17)*(Parameters!$C$20-Parameters!$C$18)))))</f>
        <v/>
      </c>
      <c r="J54" s="100">
        <f>IFERROR(INDEX(Target_FY!$X$6:$AA$80,MATCH($A54&amp;"|K2",Target_FY!$A$6:$A$80,0),$E54),0)</f>
        <v/>
      </c>
      <c r="K54" s="100">
        <f>IFERROR(INDEX(Actual_Monthly!$X$6:$AA$80,MATCH($A54&amp;"|K2",Actual_Monthly!$A$6:$A$80,0),$E54),0)</f>
        <v/>
      </c>
      <c r="L54" s="101">
        <f>IF(J54&lt;=0,0,K54/J54)</f>
        <v/>
      </c>
      <c r="M54" s="102">
        <f>IF(J54&lt;=0,0,IF(L54&lt;Parameters!$C$15,0,IF(L54&lt;=Parameters!$C$17,Parameters!$C$16+(L54-Parameters!$C$15)/(Parameters!$C$17-Parameters!$C$15)*(Parameters!$C$18-Parameters!$C$16),MIN(Parameters!$C$20,Parameters!$C$18+(L54-Parameters!$C$17)/(Parameters!$C$19-Parameters!$C$17)*(Parameters!$C$20-Parameters!$C$18)))))</f>
        <v/>
      </c>
      <c r="N54" s="69">
        <f>IF((KPI_Framework!$F$6+KPI_Framework!$F$7)=0,0,(KPI_Framework!$F$6*I54+KPI_Framework!$F$7*M54)/(KPI_Framework!$F$6+KPI_Framework!$F$7))</f>
        <v/>
      </c>
      <c r="O54" s="103">
        <f>IFERROR(INDEX(Target_FY!$X$6:$AA$80,MATCH($A54&amp;"|K3",Target_FY!$A$6:$A$80,0),$E54),0)</f>
        <v/>
      </c>
      <c r="P54" s="103">
        <f>IFERROR(INDEX(Actual_Monthly!$X$6:$AA$80,MATCH($A54&amp;"|K3",Actual_Monthly!$A$6:$A$80,0),$E54),0)</f>
        <v/>
      </c>
      <c r="Q54" s="104">
        <f>IF(O54&lt;=0,0,P54/O54)</f>
        <v/>
      </c>
      <c r="R54" s="103">
        <f>IFERROR(INDEX(Target_FY!$X$6:$AA$80,MATCH($A54&amp;"|K4",Target_FY!$A$6:$A$80,0),$E54),0)</f>
        <v/>
      </c>
      <c r="S54" s="103">
        <f>IFERROR(INDEX(Actual_Monthly!$X$6:$AA$80,MATCH($A54&amp;"|K4",Actual_Monthly!$A$6:$A$80,0),$E54),0)</f>
        <v/>
      </c>
      <c r="T54" s="104">
        <f>IF(R54&lt;=0,0,S54/R54)</f>
        <v/>
      </c>
      <c r="U54" s="104">
        <f>IF((KPI_Framework!$F$8+KPI_Framework!$F$9)=0,0,(KPI_Framework!$F$8*Q54+KPI_Framework!$F$9*T54)/(KPI_Framework!$F$8+KPI_Framework!$F$9))</f>
        <v/>
      </c>
      <c r="V54" s="104">
        <f>IF((KPI_Framework!$F$8+KPI_Framework!$F$9)=0,0,(KPI_Framework!$F$8*IF(O54&lt;=0,0,IF(Q54&lt;Parameters!$C$15,0,IF(Q54&lt;=Parameters!$C$17,Parameters!$C$16+(Q54-Parameters!$C$15)/(Parameters!$C$17-Parameters!$C$15)*(Parameters!$C$18-Parameters!$C$16),MIN(Parameters!$C$20,Parameters!$C$18+(Q54-Parameters!$C$17)/(Parameters!$C$19-Parameters!$C$17)*(Parameters!$C$20-Parameters!$C$18)))))+KPI_Framework!$F$9*IF(R54&lt;=0,0,IF(T54&lt;Parameters!$C$15,0,IF(T54&lt;=Parameters!$C$17,Parameters!$C$16+(T54-Parameters!$C$15)/(Parameters!$C$17-Parameters!$C$15)*(Parameters!$C$18-Parameters!$C$16),MIN(Parameters!$C$20,Parameters!$C$18+(T54-Parameters!$C$17)/(Parameters!$C$19-Parameters!$C$17)*(Parameters!$C$20-Parameters!$C$18))))))/(KPI_Framework!$F$8+KPI_Framework!$F$9))</f>
        <v/>
      </c>
      <c r="W54" s="105">
        <f>IF(Parameters!$C$23="OFF",1,IF(U54&gt;=Parameters!$B$25,Parameters!$C$25,IF(U54&gt;=Parameters!$B$26,Parameters!$C$26,IF(U54&gt;=Parameters!$B$27,Parameters!$C$27,Parameters!$C$28))))</f>
        <v/>
      </c>
      <c r="X54" s="69">
        <f>N54*W54</f>
        <v/>
      </c>
      <c r="Y54" s="106">
        <f>IF($A54="","",IF(F54&lt;=0,"No target",IF(X54&gt;=1,"On track",IF(X54&gt;=0.8,"Watch","Behind"))))</f>
        <v/>
      </c>
      <c r="Z54" s="107">
        <f>IFERROR(INDEX(Target_FY!$X$6:$AA$80,MATCH($A54&amp;"|K5",Target_FY!$A$6:$A$80,0),$E54),0)</f>
        <v/>
      </c>
      <c r="AA54" s="107">
        <f>IFERROR(INDEX(Actual_Monthly!$X$6:$AA$80,MATCH($A54&amp;"|K5",Actual_Monthly!$A$6:$A$80,0),$E54),0)</f>
        <v/>
      </c>
      <c r="AB54" s="108">
        <f>IF(Z54&lt;=0,0,AA54/Z54)</f>
        <v/>
      </c>
    </row>
    <row r="55">
      <c r="A55" s="82">
        <f>IFERROR(INDEX(Team_Master!$C$6:$C$20,INT((ROW()-6)/4)+1),"")</f>
        <v/>
      </c>
      <c r="B55" s="83">
        <f>IFERROR(INDEX(Team_Master!$G$6:$G$20,INT((ROW()-6)/4)+1),"")</f>
        <v/>
      </c>
      <c r="C55" s="82">
        <f>IFERROR(INDEX(Team_Master!$E$6:$E$20,INT((ROW()-6)/4)+1),"")</f>
        <v/>
      </c>
      <c r="D55" s="93">
        <f>"Q"&amp;E55</f>
        <v/>
      </c>
      <c r="E55" s="99">
        <f>MOD(ROW()-6,4)+1</f>
        <v/>
      </c>
      <c r="F55" s="100">
        <f>IFERROR(INDEX(Target_FY!$X$6:$AA$80,MATCH($A55&amp;"|K1",Target_FY!$A$6:$A$80,0),$E55),0)</f>
        <v/>
      </c>
      <c r="G55" s="100">
        <f>IFERROR(INDEX(Actual_Monthly!$X$6:$AA$80,MATCH($A55&amp;"|K1",Actual_Monthly!$A$6:$A$80,0),$E55),0)</f>
        <v/>
      </c>
      <c r="H55" s="101">
        <f>IF(F55&lt;=0,0,G55/F55)</f>
        <v/>
      </c>
      <c r="I55" s="102">
        <f>IF(F55&lt;=0,0,IF(H55&lt;Parameters!$C$15,0,IF(H55&lt;=Parameters!$C$17,Parameters!$C$16+(H55-Parameters!$C$15)/(Parameters!$C$17-Parameters!$C$15)*(Parameters!$C$18-Parameters!$C$16),MIN(Parameters!$C$20,Parameters!$C$18+(H55-Parameters!$C$17)/(Parameters!$C$19-Parameters!$C$17)*(Parameters!$C$20-Parameters!$C$18)))))</f>
        <v/>
      </c>
      <c r="J55" s="100">
        <f>IFERROR(INDEX(Target_FY!$X$6:$AA$80,MATCH($A55&amp;"|K2",Target_FY!$A$6:$A$80,0),$E55),0)</f>
        <v/>
      </c>
      <c r="K55" s="100">
        <f>IFERROR(INDEX(Actual_Monthly!$X$6:$AA$80,MATCH($A55&amp;"|K2",Actual_Monthly!$A$6:$A$80,0),$E55),0)</f>
        <v/>
      </c>
      <c r="L55" s="101">
        <f>IF(J55&lt;=0,0,K55/J55)</f>
        <v/>
      </c>
      <c r="M55" s="102">
        <f>IF(J55&lt;=0,0,IF(L55&lt;Parameters!$C$15,0,IF(L55&lt;=Parameters!$C$17,Parameters!$C$16+(L55-Parameters!$C$15)/(Parameters!$C$17-Parameters!$C$15)*(Parameters!$C$18-Parameters!$C$16),MIN(Parameters!$C$20,Parameters!$C$18+(L55-Parameters!$C$17)/(Parameters!$C$19-Parameters!$C$17)*(Parameters!$C$20-Parameters!$C$18)))))</f>
        <v/>
      </c>
      <c r="N55" s="69">
        <f>IF((KPI_Framework!$F$6+KPI_Framework!$F$7)=0,0,(KPI_Framework!$F$6*I55+KPI_Framework!$F$7*M55)/(KPI_Framework!$F$6+KPI_Framework!$F$7))</f>
        <v/>
      </c>
      <c r="O55" s="103">
        <f>IFERROR(INDEX(Target_FY!$X$6:$AA$80,MATCH($A55&amp;"|K3",Target_FY!$A$6:$A$80,0),$E55),0)</f>
        <v/>
      </c>
      <c r="P55" s="103">
        <f>IFERROR(INDEX(Actual_Monthly!$X$6:$AA$80,MATCH($A55&amp;"|K3",Actual_Monthly!$A$6:$A$80,0),$E55),0)</f>
        <v/>
      </c>
      <c r="Q55" s="104">
        <f>IF(O55&lt;=0,0,P55/O55)</f>
        <v/>
      </c>
      <c r="R55" s="103">
        <f>IFERROR(INDEX(Target_FY!$X$6:$AA$80,MATCH($A55&amp;"|K4",Target_FY!$A$6:$A$80,0),$E55),0)</f>
        <v/>
      </c>
      <c r="S55" s="103">
        <f>IFERROR(INDEX(Actual_Monthly!$X$6:$AA$80,MATCH($A55&amp;"|K4",Actual_Monthly!$A$6:$A$80,0),$E55),0)</f>
        <v/>
      </c>
      <c r="T55" s="104">
        <f>IF(R55&lt;=0,0,S55/R55)</f>
        <v/>
      </c>
      <c r="U55" s="104">
        <f>IF((KPI_Framework!$F$8+KPI_Framework!$F$9)=0,0,(KPI_Framework!$F$8*Q55+KPI_Framework!$F$9*T55)/(KPI_Framework!$F$8+KPI_Framework!$F$9))</f>
        <v/>
      </c>
      <c r="V55" s="104">
        <f>IF((KPI_Framework!$F$8+KPI_Framework!$F$9)=0,0,(KPI_Framework!$F$8*IF(O55&lt;=0,0,IF(Q55&lt;Parameters!$C$15,0,IF(Q55&lt;=Parameters!$C$17,Parameters!$C$16+(Q55-Parameters!$C$15)/(Parameters!$C$17-Parameters!$C$15)*(Parameters!$C$18-Parameters!$C$16),MIN(Parameters!$C$20,Parameters!$C$18+(Q55-Parameters!$C$17)/(Parameters!$C$19-Parameters!$C$17)*(Parameters!$C$20-Parameters!$C$18)))))+KPI_Framework!$F$9*IF(R55&lt;=0,0,IF(T55&lt;Parameters!$C$15,0,IF(T55&lt;=Parameters!$C$17,Parameters!$C$16+(T55-Parameters!$C$15)/(Parameters!$C$17-Parameters!$C$15)*(Parameters!$C$18-Parameters!$C$16),MIN(Parameters!$C$20,Parameters!$C$18+(T55-Parameters!$C$17)/(Parameters!$C$19-Parameters!$C$17)*(Parameters!$C$20-Parameters!$C$18))))))/(KPI_Framework!$F$8+KPI_Framework!$F$9))</f>
        <v/>
      </c>
      <c r="W55" s="105">
        <f>IF(Parameters!$C$23="OFF",1,IF(U55&gt;=Parameters!$B$25,Parameters!$C$25,IF(U55&gt;=Parameters!$B$26,Parameters!$C$26,IF(U55&gt;=Parameters!$B$27,Parameters!$C$27,Parameters!$C$28))))</f>
        <v/>
      </c>
      <c r="X55" s="69">
        <f>N55*W55</f>
        <v/>
      </c>
      <c r="Y55" s="106">
        <f>IF($A55="","",IF(F55&lt;=0,"No target",IF(X55&gt;=1,"On track",IF(X55&gt;=0.8,"Watch","Behind"))))</f>
        <v/>
      </c>
      <c r="Z55" s="107">
        <f>IFERROR(INDEX(Target_FY!$X$6:$AA$80,MATCH($A55&amp;"|K5",Target_FY!$A$6:$A$80,0),$E55),0)</f>
        <v/>
      </c>
      <c r="AA55" s="107">
        <f>IFERROR(INDEX(Actual_Monthly!$X$6:$AA$80,MATCH($A55&amp;"|K5",Actual_Monthly!$A$6:$A$80,0),$E55),0)</f>
        <v/>
      </c>
      <c r="AB55" s="108">
        <f>IF(Z55&lt;=0,0,AA55/Z55)</f>
        <v/>
      </c>
    </row>
    <row r="56">
      <c r="A56" s="82">
        <f>IFERROR(INDEX(Team_Master!$C$6:$C$20,INT((ROW()-6)/4)+1),"")</f>
        <v/>
      </c>
      <c r="B56" s="83">
        <f>IFERROR(INDEX(Team_Master!$G$6:$G$20,INT((ROW()-6)/4)+1),"")</f>
        <v/>
      </c>
      <c r="C56" s="82">
        <f>IFERROR(INDEX(Team_Master!$E$6:$E$20,INT((ROW()-6)/4)+1),"")</f>
        <v/>
      </c>
      <c r="D56" s="93">
        <f>"Q"&amp;E56</f>
        <v/>
      </c>
      <c r="E56" s="99">
        <f>MOD(ROW()-6,4)+1</f>
        <v/>
      </c>
      <c r="F56" s="100">
        <f>IFERROR(INDEX(Target_FY!$X$6:$AA$80,MATCH($A56&amp;"|K1",Target_FY!$A$6:$A$80,0),$E56),0)</f>
        <v/>
      </c>
      <c r="G56" s="100">
        <f>IFERROR(INDEX(Actual_Monthly!$X$6:$AA$80,MATCH($A56&amp;"|K1",Actual_Monthly!$A$6:$A$80,0),$E56),0)</f>
        <v/>
      </c>
      <c r="H56" s="101">
        <f>IF(F56&lt;=0,0,G56/F56)</f>
        <v/>
      </c>
      <c r="I56" s="102">
        <f>IF(F56&lt;=0,0,IF(H56&lt;Parameters!$C$15,0,IF(H56&lt;=Parameters!$C$17,Parameters!$C$16+(H56-Parameters!$C$15)/(Parameters!$C$17-Parameters!$C$15)*(Parameters!$C$18-Parameters!$C$16),MIN(Parameters!$C$20,Parameters!$C$18+(H56-Parameters!$C$17)/(Parameters!$C$19-Parameters!$C$17)*(Parameters!$C$20-Parameters!$C$18)))))</f>
        <v/>
      </c>
      <c r="J56" s="100">
        <f>IFERROR(INDEX(Target_FY!$X$6:$AA$80,MATCH($A56&amp;"|K2",Target_FY!$A$6:$A$80,0),$E56),0)</f>
        <v/>
      </c>
      <c r="K56" s="100">
        <f>IFERROR(INDEX(Actual_Monthly!$X$6:$AA$80,MATCH($A56&amp;"|K2",Actual_Monthly!$A$6:$A$80,0),$E56),0)</f>
        <v/>
      </c>
      <c r="L56" s="101">
        <f>IF(J56&lt;=0,0,K56/J56)</f>
        <v/>
      </c>
      <c r="M56" s="102">
        <f>IF(J56&lt;=0,0,IF(L56&lt;Parameters!$C$15,0,IF(L56&lt;=Parameters!$C$17,Parameters!$C$16+(L56-Parameters!$C$15)/(Parameters!$C$17-Parameters!$C$15)*(Parameters!$C$18-Parameters!$C$16),MIN(Parameters!$C$20,Parameters!$C$18+(L56-Parameters!$C$17)/(Parameters!$C$19-Parameters!$C$17)*(Parameters!$C$20-Parameters!$C$18)))))</f>
        <v/>
      </c>
      <c r="N56" s="69">
        <f>IF((KPI_Framework!$F$6+KPI_Framework!$F$7)=0,0,(KPI_Framework!$F$6*I56+KPI_Framework!$F$7*M56)/(KPI_Framework!$F$6+KPI_Framework!$F$7))</f>
        <v/>
      </c>
      <c r="O56" s="103">
        <f>IFERROR(INDEX(Target_FY!$X$6:$AA$80,MATCH($A56&amp;"|K3",Target_FY!$A$6:$A$80,0),$E56),0)</f>
        <v/>
      </c>
      <c r="P56" s="103">
        <f>IFERROR(INDEX(Actual_Monthly!$X$6:$AA$80,MATCH($A56&amp;"|K3",Actual_Monthly!$A$6:$A$80,0),$E56),0)</f>
        <v/>
      </c>
      <c r="Q56" s="104">
        <f>IF(O56&lt;=0,0,P56/O56)</f>
        <v/>
      </c>
      <c r="R56" s="103">
        <f>IFERROR(INDEX(Target_FY!$X$6:$AA$80,MATCH($A56&amp;"|K4",Target_FY!$A$6:$A$80,0),$E56),0)</f>
        <v/>
      </c>
      <c r="S56" s="103">
        <f>IFERROR(INDEX(Actual_Monthly!$X$6:$AA$80,MATCH($A56&amp;"|K4",Actual_Monthly!$A$6:$A$80,0),$E56),0)</f>
        <v/>
      </c>
      <c r="T56" s="104">
        <f>IF(R56&lt;=0,0,S56/R56)</f>
        <v/>
      </c>
      <c r="U56" s="104">
        <f>IF((KPI_Framework!$F$8+KPI_Framework!$F$9)=0,0,(KPI_Framework!$F$8*Q56+KPI_Framework!$F$9*T56)/(KPI_Framework!$F$8+KPI_Framework!$F$9))</f>
        <v/>
      </c>
      <c r="V56" s="104">
        <f>IF((KPI_Framework!$F$8+KPI_Framework!$F$9)=0,0,(KPI_Framework!$F$8*IF(O56&lt;=0,0,IF(Q56&lt;Parameters!$C$15,0,IF(Q56&lt;=Parameters!$C$17,Parameters!$C$16+(Q56-Parameters!$C$15)/(Parameters!$C$17-Parameters!$C$15)*(Parameters!$C$18-Parameters!$C$16),MIN(Parameters!$C$20,Parameters!$C$18+(Q56-Parameters!$C$17)/(Parameters!$C$19-Parameters!$C$17)*(Parameters!$C$20-Parameters!$C$18)))))+KPI_Framework!$F$9*IF(R56&lt;=0,0,IF(T56&lt;Parameters!$C$15,0,IF(T56&lt;=Parameters!$C$17,Parameters!$C$16+(T56-Parameters!$C$15)/(Parameters!$C$17-Parameters!$C$15)*(Parameters!$C$18-Parameters!$C$16),MIN(Parameters!$C$20,Parameters!$C$18+(T56-Parameters!$C$17)/(Parameters!$C$19-Parameters!$C$17)*(Parameters!$C$20-Parameters!$C$18))))))/(KPI_Framework!$F$8+KPI_Framework!$F$9))</f>
        <v/>
      </c>
      <c r="W56" s="105">
        <f>IF(Parameters!$C$23="OFF",1,IF(U56&gt;=Parameters!$B$25,Parameters!$C$25,IF(U56&gt;=Parameters!$B$26,Parameters!$C$26,IF(U56&gt;=Parameters!$B$27,Parameters!$C$27,Parameters!$C$28))))</f>
        <v/>
      </c>
      <c r="X56" s="69">
        <f>N56*W56</f>
        <v/>
      </c>
      <c r="Y56" s="106">
        <f>IF($A56="","",IF(F56&lt;=0,"No target",IF(X56&gt;=1,"On track",IF(X56&gt;=0.8,"Watch","Behind"))))</f>
        <v/>
      </c>
      <c r="Z56" s="107">
        <f>IFERROR(INDEX(Target_FY!$X$6:$AA$80,MATCH($A56&amp;"|K5",Target_FY!$A$6:$A$80,0),$E56),0)</f>
        <v/>
      </c>
      <c r="AA56" s="107">
        <f>IFERROR(INDEX(Actual_Monthly!$X$6:$AA$80,MATCH($A56&amp;"|K5",Actual_Monthly!$A$6:$A$80,0),$E56),0)</f>
        <v/>
      </c>
      <c r="AB56" s="108">
        <f>IF(Z56&lt;=0,0,AA56/Z56)</f>
        <v/>
      </c>
    </row>
    <row r="57">
      <c r="A57" s="82">
        <f>IFERROR(INDEX(Team_Master!$C$6:$C$20,INT((ROW()-6)/4)+1),"")</f>
        <v/>
      </c>
      <c r="B57" s="83">
        <f>IFERROR(INDEX(Team_Master!$G$6:$G$20,INT((ROW()-6)/4)+1),"")</f>
        <v/>
      </c>
      <c r="C57" s="82">
        <f>IFERROR(INDEX(Team_Master!$E$6:$E$20,INT((ROW()-6)/4)+1),"")</f>
        <v/>
      </c>
      <c r="D57" s="93">
        <f>"Q"&amp;E57</f>
        <v/>
      </c>
      <c r="E57" s="99">
        <f>MOD(ROW()-6,4)+1</f>
        <v/>
      </c>
      <c r="F57" s="100">
        <f>IFERROR(INDEX(Target_FY!$X$6:$AA$80,MATCH($A57&amp;"|K1",Target_FY!$A$6:$A$80,0),$E57),0)</f>
        <v/>
      </c>
      <c r="G57" s="100">
        <f>IFERROR(INDEX(Actual_Monthly!$X$6:$AA$80,MATCH($A57&amp;"|K1",Actual_Monthly!$A$6:$A$80,0),$E57),0)</f>
        <v/>
      </c>
      <c r="H57" s="101">
        <f>IF(F57&lt;=0,0,G57/F57)</f>
        <v/>
      </c>
      <c r="I57" s="102">
        <f>IF(F57&lt;=0,0,IF(H57&lt;Parameters!$C$15,0,IF(H57&lt;=Parameters!$C$17,Parameters!$C$16+(H57-Parameters!$C$15)/(Parameters!$C$17-Parameters!$C$15)*(Parameters!$C$18-Parameters!$C$16),MIN(Parameters!$C$20,Parameters!$C$18+(H57-Parameters!$C$17)/(Parameters!$C$19-Parameters!$C$17)*(Parameters!$C$20-Parameters!$C$18)))))</f>
        <v/>
      </c>
      <c r="J57" s="100">
        <f>IFERROR(INDEX(Target_FY!$X$6:$AA$80,MATCH($A57&amp;"|K2",Target_FY!$A$6:$A$80,0),$E57),0)</f>
        <v/>
      </c>
      <c r="K57" s="100">
        <f>IFERROR(INDEX(Actual_Monthly!$X$6:$AA$80,MATCH($A57&amp;"|K2",Actual_Monthly!$A$6:$A$80,0),$E57),0)</f>
        <v/>
      </c>
      <c r="L57" s="101">
        <f>IF(J57&lt;=0,0,K57/J57)</f>
        <v/>
      </c>
      <c r="M57" s="102">
        <f>IF(J57&lt;=0,0,IF(L57&lt;Parameters!$C$15,0,IF(L57&lt;=Parameters!$C$17,Parameters!$C$16+(L57-Parameters!$C$15)/(Parameters!$C$17-Parameters!$C$15)*(Parameters!$C$18-Parameters!$C$16),MIN(Parameters!$C$20,Parameters!$C$18+(L57-Parameters!$C$17)/(Parameters!$C$19-Parameters!$C$17)*(Parameters!$C$20-Parameters!$C$18)))))</f>
        <v/>
      </c>
      <c r="N57" s="69">
        <f>IF((KPI_Framework!$F$6+KPI_Framework!$F$7)=0,0,(KPI_Framework!$F$6*I57+KPI_Framework!$F$7*M57)/(KPI_Framework!$F$6+KPI_Framework!$F$7))</f>
        <v/>
      </c>
      <c r="O57" s="103">
        <f>IFERROR(INDEX(Target_FY!$X$6:$AA$80,MATCH($A57&amp;"|K3",Target_FY!$A$6:$A$80,0),$E57),0)</f>
        <v/>
      </c>
      <c r="P57" s="103">
        <f>IFERROR(INDEX(Actual_Monthly!$X$6:$AA$80,MATCH($A57&amp;"|K3",Actual_Monthly!$A$6:$A$80,0),$E57),0)</f>
        <v/>
      </c>
      <c r="Q57" s="104">
        <f>IF(O57&lt;=0,0,P57/O57)</f>
        <v/>
      </c>
      <c r="R57" s="103">
        <f>IFERROR(INDEX(Target_FY!$X$6:$AA$80,MATCH($A57&amp;"|K4",Target_FY!$A$6:$A$80,0),$E57),0)</f>
        <v/>
      </c>
      <c r="S57" s="103">
        <f>IFERROR(INDEX(Actual_Monthly!$X$6:$AA$80,MATCH($A57&amp;"|K4",Actual_Monthly!$A$6:$A$80,0),$E57),0)</f>
        <v/>
      </c>
      <c r="T57" s="104">
        <f>IF(R57&lt;=0,0,S57/R57)</f>
        <v/>
      </c>
      <c r="U57" s="104">
        <f>IF((KPI_Framework!$F$8+KPI_Framework!$F$9)=0,0,(KPI_Framework!$F$8*Q57+KPI_Framework!$F$9*T57)/(KPI_Framework!$F$8+KPI_Framework!$F$9))</f>
        <v/>
      </c>
      <c r="V57" s="104">
        <f>IF((KPI_Framework!$F$8+KPI_Framework!$F$9)=0,0,(KPI_Framework!$F$8*IF(O57&lt;=0,0,IF(Q57&lt;Parameters!$C$15,0,IF(Q57&lt;=Parameters!$C$17,Parameters!$C$16+(Q57-Parameters!$C$15)/(Parameters!$C$17-Parameters!$C$15)*(Parameters!$C$18-Parameters!$C$16),MIN(Parameters!$C$20,Parameters!$C$18+(Q57-Parameters!$C$17)/(Parameters!$C$19-Parameters!$C$17)*(Parameters!$C$20-Parameters!$C$18)))))+KPI_Framework!$F$9*IF(R57&lt;=0,0,IF(T57&lt;Parameters!$C$15,0,IF(T57&lt;=Parameters!$C$17,Parameters!$C$16+(T57-Parameters!$C$15)/(Parameters!$C$17-Parameters!$C$15)*(Parameters!$C$18-Parameters!$C$16),MIN(Parameters!$C$20,Parameters!$C$18+(T57-Parameters!$C$17)/(Parameters!$C$19-Parameters!$C$17)*(Parameters!$C$20-Parameters!$C$18))))))/(KPI_Framework!$F$8+KPI_Framework!$F$9))</f>
        <v/>
      </c>
      <c r="W57" s="105">
        <f>IF(Parameters!$C$23="OFF",1,IF(U57&gt;=Parameters!$B$25,Parameters!$C$25,IF(U57&gt;=Parameters!$B$26,Parameters!$C$26,IF(U57&gt;=Parameters!$B$27,Parameters!$C$27,Parameters!$C$28))))</f>
        <v/>
      </c>
      <c r="X57" s="69">
        <f>N57*W57</f>
        <v/>
      </c>
      <c r="Y57" s="106">
        <f>IF($A57="","",IF(F57&lt;=0,"No target",IF(X57&gt;=1,"On track",IF(X57&gt;=0.8,"Watch","Behind"))))</f>
        <v/>
      </c>
      <c r="Z57" s="107">
        <f>IFERROR(INDEX(Target_FY!$X$6:$AA$80,MATCH($A57&amp;"|K5",Target_FY!$A$6:$A$80,0),$E57),0)</f>
        <v/>
      </c>
      <c r="AA57" s="107">
        <f>IFERROR(INDEX(Actual_Monthly!$X$6:$AA$80,MATCH($A57&amp;"|K5",Actual_Monthly!$A$6:$A$80,0),$E57),0)</f>
        <v/>
      </c>
      <c r="AB57" s="108">
        <f>IF(Z57&lt;=0,0,AA57/Z57)</f>
        <v/>
      </c>
    </row>
    <row r="58">
      <c r="A58" s="88">
        <f>IFERROR(INDEX(Team_Master!$C$6:$C$20,INT((ROW()-6)/4)+1),"")</f>
        <v/>
      </c>
      <c r="B58" s="89">
        <f>IFERROR(INDEX(Team_Master!$G$6:$G$20,INT((ROW()-6)/4)+1),"")</f>
        <v/>
      </c>
      <c r="C58" s="88">
        <f>IFERROR(INDEX(Team_Master!$E$6:$E$20,INT((ROW()-6)/4)+1),"")</f>
        <v/>
      </c>
      <c r="D58" s="109">
        <f>"Q"&amp;E58</f>
        <v/>
      </c>
      <c r="E58" s="110">
        <f>MOD(ROW()-6,4)+1</f>
        <v/>
      </c>
      <c r="F58" s="100">
        <f>IFERROR(INDEX(Target_FY!$X$6:$AA$80,MATCH($A58&amp;"|K1",Target_FY!$A$6:$A$80,0),$E58),0)</f>
        <v/>
      </c>
      <c r="G58" s="100">
        <f>IFERROR(INDEX(Actual_Monthly!$X$6:$AA$80,MATCH($A58&amp;"|K1",Actual_Monthly!$A$6:$A$80,0),$E58),0)</f>
        <v/>
      </c>
      <c r="H58" s="101">
        <f>IF(F58&lt;=0,0,G58/F58)</f>
        <v/>
      </c>
      <c r="I58" s="102">
        <f>IF(F58&lt;=0,0,IF(H58&lt;Parameters!$C$15,0,IF(H58&lt;=Parameters!$C$17,Parameters!$C$16+(H58-Parameters!$C$15)/(Parameters!$C$17-Parameters!$C$15)*(Parameters!$C$18-Parameters!$C$16),MIN(Parameters!$C$20,Parameters!$C$18+(H58-Parameters!$C$17)/(Parameters!$C$19-Parameters!$C$17)*(Parameters!$C$20-Parameters!$C$18)))))</f>
        <v/>
      </c>
      <c r="J58" s="100">
        <f>IFERROR(INDEX(Target_FY!$X$6:$AA$80,MATCH($A58&amp;"|K2",Target_FY!$A$6:$A$80,0),$E58),0)</f>
        <v/>
      </c>
      <c r="K58" s="100">
        <f>IFERROR(INDEX(Actual_Monthly!$X$6:$AA$80,MATCH($A58&amp;"|K2",Actual_Monthly!$A$6:$A$80,0),$E58),0)</f>
        <v/>
      </c>
      <c r="L58" s="101">
        <f>IF(J58&lt;=0,0,K58/J58)</f>
        <v/>
      </c>
      <c r="M58" s="102">
        <f>IF(J58&lt;=0,0,IF(L58&lt;Parameters!$C$15,0,IF(L58&lt;=Parameters!$C$17,Parameters!$C$16+(L58-Parameters!$C$15)/(Parameters!$C$17-Parameters!$C$15)*(Parameters!$C$18-Parameters!$C$16),MIN(Parameters!$C$20,Parameters!$C$18+(L58-Parameters!$C$17)/(Parameters!$C$19-Parameters!$C$17)*(Parameters!$C$20-Parameters!$C$18)))))</f>
        <v/>
      </c>
      <c r="N58" s="69">
        <f>IF((KPI_Framework!$F$6+KPI_Framework!$F$7)=0,0,(KPI_Framework!$F$6*I58+KPI_Framework!$F$7*M58)/(KPI_Framework!$F$6+KPI_Framework!$F$7))</f>
        <v/>
      </c>
      <c r="O58" s="103">
        <f>IFERROR(INDEX(Target_FY!$X$6:$AA$80,MATCH($A58&amp;"|K3",Target_FY!$A$6:$A$80,0),$E58),0)</f>
        <v/>
      </c>
      <c r="P58" s="103">
        <f>IFERROR(INDEX(Actual_Monthly!$X$6:$AA$80,MATCH($A58&amp;"|K3",Actual_Monthly!$A$6:$A$80,0),$E58),0)</f>
        <v/>
      </c>
      <c r="Q58" s="104">
        <f>IF(O58&lt;=0,0,P58/O58)</f>
        <v/>
      </c>
      <c r="R58" s="103">
        <f>IFERROR(INDEX(Target_FY!$X$6:$AA$80,MATCH($A58&amp;"|K4",Target_FY!$A$6:$A$80,0),$E58),0)</f>
        <v/>
      </c>
      <c r="S58" s="103">
        <f>IFERROR(INDEX(Actual_Monthly!$X$6:$AA$80,MATCH($A58&amp;"|K4",Actual_Monthly!$A$6:$A$80,0),$E58),0)</f>
        <v/>
      </c>
      <c r="T58" s="104">
        <f>IF(R58&lt;=0,0,S58/R58)</f>
        <v/>
      </c>
      <c r="U58" s="104">
        <f>IF((KPI_Framework!$F$8+KPI_Framework!$F$9)=0,0,(KPI_Framework!$F$8*Q58+KPI_Framework!$F$9*T58)/(KPI_Framework!$F$8+KPI_Framework!$F$9))</f>
        <v/>
      </c>
      <c r="V58" s="104">
        <f>IF((KPI_Framework!$F$8+KPI_Framework!$F$9)=0,0,(KPI_Framework!$F$8*IF(O58&lt;=0,0,IF(Q58&lt;Parameters!$C$15,0,IF(Q58&lt;=Parameters!$C$17,Parameters!$C$16+(Q58-Parameters!$C$15)/(Parameters!$C$17-Parameters!$C$15)*(Parameters!$C$18-Parameters!$C$16),MIN(Parameters!$C$20,Parameters!$C$18+(Q58-Parameters!$C$17)/(Parameters!$C$19-Parameters!$C$17)*(Parameters!$C$20-Parameters!$C$18)))))+KPI_Framework!$F$9*IF(R58&lt;=0,0,IF(T58&lt;Parameters!$C$15,0,IF(T58&lt;=Parameters!$C$17,Parameters!$C$16+(T58-Parameters!$C$15)/(Parameters!$C$17-Parameters!$C$15)*(Parameters!$C$18-Parameters!$C$16),MIN(Parameters!$C$20,Parameters!$C$18+(T58-Parameters!$C$17)/(Parameters!$C$19-Parameters!$C$17)*(Parameters!$C$20-Parameters!$C$18))))))/(KPI_Framework!$F$8+KPI_Framework!$F$9))</f>
        <v/>
      </c>
      <c r="W58" s="105">
        <f>IF(Parameters!$C$23="OFF",1,IF(U58&gt;=Parameters!$B$25,Parameters!$C$25,IF(U58&gt;=Parameters!$B$26,Parameters!$C$26,IF(U58&gt;=Parameters!$B$27,Parameters!$C$27,Parameters!$C$28))))</f>
        <v/>
      </c>
      <c r="X58" s="69">
        <f>N58*W58</f>
        <v/>
      </c>
      <c r="Y58" s="106">
        <f>IF($A58="","",IF(F58&lt;=0,"No target",IF(X58&gt;=1,"On track",IF(X58&gt;=0.8,"Watch","Behind"))))</f>
        <v/>
      </c>
      <c r="Z58" s="107">
        <f>IFERROR(INDEX(Target_FY!$X$6:$AA$80,MATCH($A58&amp;"|K5",Target_FY!$A$6:$A$80,0),$E58),0)</f>
        <v/>
      </c>
      <c r="AA58" s="107">
        <f>IFERROR(INDEX(Actual_Monthly!$X$6:$AA$80,MATCH($A58&amp;"|K5",Actual_Monthly!$A$6:$A$80,0),$E58),0)</f>
        <v/>
      </c>
      <c r="AB58" s="108">
        <f>IF(Z58&lt;=0,0,AA58/Z58)</f>
        <v/>
      </c>
    </row>
    <row r="59">
      <c r="A59" s="88">
        <f>IFERROR(INDEX(Team_Master!$C$6:$C$20,INT((ROW()-6)/4)+1),"")</f>
        <v/>
      </c>
      <c r="B59" s="89">
        <f>IFERROR(INDEX(Team_Master!$G$6:$G$20,INT((ROW()-6)/4)+1),"")</f>
        <v/>
      </c>
      <c r="C59" s="88">
        <f>IFERROR(INDEX(Team_Master!$E$6:$E$20,INT((ROW()-6)/4)+1),"")</f>
        <v/>
      </c>
      <c r="D59" s="109">
        <f>"Q"&amp;E59</f>
        <v/>
      </c>
      <c r="E59" s="110">
        <f>MOD(ROW()-6,4)+1</f>
        <v/>
      </c>
      <c r="F59" s="100">
        <f>IFERROR(INDEX(Target_FY!$X$6:$AA$80,MATCH($A59&amp;"|K1",Target_FY!$A$6:$A$80,0),$E59),0)</f>
        <v/>
      </c>
      <c r="G59" s="100">
        <f>IFERROR(INDEX(Actual_Monthly!$X$6:$AA$80,MATCH($A59&amp;"|K1",Actual_Monthly!$A$6:$A$80,0),$E59),0)</f>
        <v/>
      </c>
      <c r="H59" s="101">
        <f>IF(F59&lt;=0,0,G59/F59)</f>
        <v/>
      </c>
      <c r="I59" s="102">
        <f>IF(F59&lt;=0,0,IF(H59&lt;Parameters!$C$15,0,IF(H59&lt;=Parameters!$C$17,Parameters!$C$16+(H59-Parameters!$C$15)/(Parameters!$C$17-Parameters!$C$15)*(Parameters!$C$18-Parameters!$C$16),MIN(Parameters!$C$20,Parameters!$C$18+(H59-Parameters!$C$17)/(Parameters!$C$19-Parameters!$C$17)*(Parameters!$C$20-Parameters!$C$18)))))</f>
        <v/>
      </c>
      <c r="J59" s="100">
        <f>IFERROR(INDEX(Target_FY!$X$6:$AA$80,MATCH($A59&amp;"|K2",Target_FY!$A$6:$A$80,0),$E59),0)</f>
        <v/>
      </c>
      <c r="K59" s="100">
        <f>IFERROR(INDEX(Actual_Monthly!$X$6:$AA$80,MATCH($A59&amp;"|K2",Actual_Monthly!$A$6:$A$80,0),$E59),0)</f>
        <v/>
      </c>
      <c r="L59" s="101">
        <f>IF(J59&lt;=0,0,K59/J59)</f>
        <v/>
      </c>
      <c r="M59" s="102">
        <f>IF(J59&lt;=0,0,IF(L59&lt;Parameters!$C$15,0,IF(L59&lt;=Parameters!$C$17,Parameters!$C$16+(L59-Parameters!$C$15)/(Parameters!$C$17-Parameters!$C$15)*(Parameters!$C$18-Parameters!$C$16),MIN(Parameters!$C$20,Parameters!$C$18+(L59-Parameters!$C$17)/(Parameters!$C$19-Parameters!$C$17)*(Parameters!$C$20-Parameters!$C$18)))))</f>
        <v/>
      </c>
      <c r="N59" s="69">
        <f>IF((KPI_Framework!$F$6+KPI_Framework!$F$7)=0,0,(KPI_Framework!$F$6*I59+KPI_Framework!$F$7*M59)/(KPI_Framework!$F$6+KPI_Framework!$F$7))</f>
        <v/>
      </c>
      <c r="O59" s="103">
        <f>IFERROR(INDEX(Target_FY!$X$6:$AA$80,MATCH($A59&amp;"|K3",Target_FY!$A$6:$A$80,0),$E59),0)</f>
        <v/>
      </c>
      <c r="P59" s="103">
        <f>IFERROR(INDEX(Actual_Monthly!$X$6:$AA$80,MATCH($A59&amp;"|K3",Actual_Monthly!$A$6:$A$80,0),$E59),0)</f>
        <v/>
      </c>
      <c r="Q59" s="104">
        <f>IF(O59&lt;=0,0,P59/O59)</f>
        <v/>
      </c>
      <c r="R59" s="103">
        <f>IFERROR(INDEX(Target_FY!$X$6:$AA$80,MATCH($A59&amp;"|K4",Target_FY!$A$6:$A$80,0),$E59),0)</f>
        <v/>
      </c>
      <c r="S59" s="103">
        <f>IFERROR(INDEX(Actual_Monthly!$X$6:$AA$80,MATCH($A59&amp;"|K4",Actual_Monthly!$A$6:$A$80,0),$E59),0)</f>
        <v/>
      </c>
      <c r="T59" s="104">
        <f>IF(R59&lt;=0,0,S59/R59)</f>
        <v/>
      </c>
      <c r="U59" s="104">
        <f>IF((KPI_Framework!$F$8+KPI_Framework!$F$9)=0,0,(KPI_Framework!$F$8*Q59+KPI_Framework!$F$9*T59)/(KPI_Framework!$F$8+KPI_Framework!$F$9))</f>
        <v/>
      </c>
      <c r="V59" s="104">
        <f>IF((KPI_Framework!$F$8+KPI_Framework!$F$9)=0,0,(KPI_Framework!$F$8*IF(O59&lt;=0,0,IF(Q59&lt;Parameters!$C$15,0,IF(Q59&lt;=Parameters!$C$17,Parameters!$C$16+(Q59-Parameters!$C$15)/(Parameters!$C$17-Parameters!$C$15)*(Parameters!$C$18-Parameters!$C$16),MIN(Parameters!$C$20,Parameters!$C$18+(Q59-Parameters!$C$17)/(Parameters!$C$19-Parameters!$C$17)*(Parameters!$C$20-Parameters!$C$18)))))+KPI_Framework!$F$9*IF(R59&lt;=0,0,IF(T59&lt;Parameters!$C$15,0,IF(T59&lt;=Parameters!$C$17,Parameters!$C$16+(T59-Parameters!$C$15)/(Parameters!$C$17-Parameters!$C$15)*(Parameters!$C$18-Parameters!$C$16),MIN(Parameters!$C$20,Parameters!$C$18+(T59-Parameters!$C$17)/(Parameters!$C$19-Parameters!$C$17)*(Parameters!$C$20-Parameters!$C$18))))))/(KPI_Framework!$F$8+KPI_Framework!$F$9))</f>
        <v/>
      </c>
      <c r="W59" s="105">
        <f>IF(Parameters!$C$23="OFF",1,IF(U59&gt;=Parameters!$B$25,Parameters!$C$25,IF(U59&gt;=Parameters!$B$26,Parameters!$C$26,IF(U59&gt;=Parameters!$B$27,Parameters!$C$27,Parameters!$C$28))))</f>
        <v/>
      </c>
      <c r="X59" s="69">
        <f>N59*W59</f>
        <v/>
      </c>
      <c r="Y59" s="106">
        <f>IF($A59="","",IF(F59&lt;=0,"No target",IF(X59&gt;=1,"On track",IF(X59&gt;=0.8,"Watch","Behind"))))</f>
        <v/>
      </c>
      <c r="Z59" s="107">
        <f>IFERROR(INDEX(Target_FY!$X$6:$AA$80,MATCH($A59&amp;"|K5",Target_FY!$A$6:$A$80,0),$E59),0)</f>
        <v/>
      </c>
      <c r="AA59" s="107">
        <f>IFERROR(INDEX(Actual_Monthly!$X$6:$AA$80,MATCH($A59&amp;"|K5",Actual_Monthly!$A$6:$A$80,0),$E59),0)</f>
        <v/>
      </c>
      <c r="AB59" s="108">
        <f>IF(Z59&lt;=0,0,AA59/Z59)</f>
        <v/>
      </c>
    </row>
    <row r="60">
      <c r="A60" s="88">
        <f>IFERROR(INDEX(Team_Master!$C$6:$C$20,INT((ROW()-6)/4)+1),"")</f>
        <v/>
      </c>
      <c r="B60" s="89">
        <f>IFERROR(INDEX(Team_Master!$G$6:$G$20,INT((ROW()-6)/4)+1),"")</f>
        <v/>
      </c>
      <c r="C60" s="88">
        <f>IFERROR(INDEX(Team_Master!$E$6:$E$20,INT((ROW()-6)/4)+1),"")</f>
        <v/>
      </c>
      <c r="D60" s="109">
        <f>"Q"&amp;E60</f>
        <v/>
      </c>
      <c r="E60" s="110">
        <f>MOD(ROW()-6,4)+1</f>
        <v/>
      </c>
      <c r="F60" s="100">
        <f>IFERROR(INDEX(Target_FY!$X$6:$AA$80,MATCH($A60&amp;"|K1",Target_FY!$A$6:$A$80,0),$E60),0)</f>
        <v/>
      </c>
      <c r="G60" s="100">
        <f>IFERROR(INDEX(Actual_Monthly!$X$6:$AA$80,MATCH($A60&amp;"|K1",Actual_Monthly!$A$6:$A$80,0),$E60),0)</f>
        <v/>
      </c>
      <c r="H60" s="101">
        <f>IF(F60&lt;=0,0,G60/F60)</f>
        <v/>
      </c>
      <c r="I60" s="102">
        <f>IF(F60&lt;=0,0,IF(H60&lt;Parameters!$C$15,0,IF(H60&lt;=Parameters!$C$17,Parameters!$C$16+(H60-Parameters!$C$15)/(Parameters!$C$17-Parameters!$C$15)*(Parameters!$C$18-Parameters!$C$16),MIN(Parameters!$C$20,Parameters!$C$18+(H60-Parameters!$C$17)/(Parameters!$C$19-Parameters!$C$17)*(Parameters!$C$20-Parameters!$C$18)))))</f>
        <v/>
      </c>
      <c r="J60" s="100">
        <f>IFERROR(INDEX(Target_FY!$X$6:$AA$80,MATCH($A60&amp;"|K2",Target_FY!$A$6:$A$80,0),$E60),0)</f>
        <v/>
      </c>
      <c r="K60" s="100">
        <f>IFERROR(INDEX(Actual_Monthly!$X$6:$AA$80,MATCH($A60&amp;"|K2",Actual_Monthly!$A$6:$A$80,0),$E60),0)</f>
        <v/>
      </c>
      <c r="L60" s="101">
        <f>IF(J60&lt;=0,0,K60/J60)</f>
        <v/>
      </c>
      <c r="M60" s="102">
        <f>IF(J60&lt;=0,0,IF(L60&lt;Parameters!$C$15,0,IF(L60&lt;=Parameters!$C$17,Parameters!$C$16+(L60-Parameters!$C$15)/(Parameters!$C$17-Parameters!$C$15)*(Parameters!$C$18-Parameters!$C$16),MIN(Parameters!$C$20,Parameters!$C$18+(L60-Parameters!$C$17)/(Parameters!$C$19-Parameters!$C$17)*(Parameters!$C$20-Parameters!$C$18)))))</f>
        <v/>
      </c>
      <c r="N60" s="69">
        <f>IF((KPI_Framework!$F$6+KPI_Framework!$F$7)=0,0,(KPI_Framework!$F$6*I60+KPI_Framework!$F$7*M60)/(KPI_Framework!$F$6+KPI_Framework!$F$7))</f>
        <v/>
      </c>
      <c r="O60" s="103">
        <f>IFERROR(INDEX(Target_FY!$X$6:$AA$80,MATCH($A60&amp;"|K3",Target_FY!$A$6:$A$80,0),$E60),0)</f>
        <v/>
      </c>
      <c r="P60" s="103">
        <f>IFERROR(INDEX(Actual_Monthly!$X$6:$AA$80,MATCH($A60&amp;"|K3",Actual_Monthly!$A$6:$A$80,0),$E60),0)</f>
        <v/>
      </c>
      <c r="Q60" s="104">
        <f>IF(O60&lt;=0,0,P60/O60)</f>
        <v/>
      </c>
      <c r="R60" s="103">
        <f>IFERROR(INDEX(Target_FY!$X$6:$AA$80,MATCH($A60&amp;"|K4",Target_FY!$A$6:$A$80,0),$E60),0)</f>
        <v/>
      </c>
      <c r="S60" s="103">
        <f>IFERROR(INDEX(Actual_Monthly!$X$6:$AA$80,MATCH($A60&amp;"|K4",Actual_Monthly!$A$6:$A$80,0),$E60),0)</f>
        <v/>
      </c>
      <c r="T60" s="104">
        <f>IF(R60&lt;=0,0,S60/R60)</f>
        <v/>
      </c>
      <c r="U60" s="104">
        <f>IF((KPI_Framework!$F$8+KPI_Framework!$F$9)=0,0,(KPI_Framework!$F$8*Q60+KPI_Framework!$F$9*T60)/(KPI_Framework!$F$8+KPI_Framework!$F$9))</f>
        <v/>
      </c>
      <c r="V60" s="104">
        <f>IF((KPI_Framework!$F$8+KPI_Framework!$F$9)=0,0,(KPI_Framework!$F$8*IF(O60&lt;=0,0,IF(Q60&lt;Parameters!$C$15,0,IF(Q60&lt;=Parameters!$C$17,Parameters!$C$16+(Q60-Parameters!$C$15)/(Parameters!$C$17-Parameters!$C$15)*(Parameters!$C$18-Parameters!$C$16),MIN(Parameters!$C$20,Parameters!$C$18+(Q60-Parameters!$C$17)/(Parameters!$C$19-Parameters!$C$17)*(Parameters!$C$20-Parameters!$C$18)))))+KPI_Framework!$F$9*IF(R60&lt;=0,0,IF(T60&lt;Parameters!$C$15,0,IF(T60&lt;=Parameters!$C$17,Parameters!$C$16+(T60-Parameters!$C$15)/(Parameters!$C$17-Parameters!$C$15)*(Parameters!$C$18-Parameters!$C$16),MIN(Parameters!$C$20,Parameters!$C$18+(T60-Parameters!$C$17)/(Parameters!$C$19-Parameters!$C$17)*(Parameters!$C$20-Parameters!$C$18))))))/(KPI_Framework!$F$8+KPI_Framework!$F$9))</f>
        <v/>
      </c>
      <c r="W60" s="105">
        <f>IF(Parameters!$C$23="OFF",1,IF(U60&gt;=Parameters!$B$25,Parameters!$C$25,IF(U60&gt;=Parameters!$B$26,Parameters!$C$26,IF(U60&gt;=Parameters!$B$27,Parameters!$C$27,Parameters!$C$28))))</f>
        <v/>
      </c>
      <c r="X60" s="69">
        <f>N60*W60</f>
        <v/>
      </c>
      <c r="Y60" s="106">
        <f>IF($A60="","",IF(F60&lt;=0,"No target",IF(X60&gt;=1,"On track",IF(X60&gt;=0.8,"Watch","Behind"))))</f>
        <v/>
      </c>
      <c r="Z60" s="107">
        <f>IFERROR(INDEX(Target_FY!$X$6:$AA$80,MATCH($A60&amp;"|K5",Target_FY!$A$6:$A$80,0),$E60),0)</f>
        <v/>
      </c>
      <c r="AA60" s="107">
        <f>IFERROR(INDEX(Actual_Monthly!$X$6:$AA$80,MATCH($A60&amp;"|K5",Actual_Monthly!$A$6:$A$80,0),$E60),0)</f>
        <v/>
      </c>
      <c r="AB60" s="108">
        <f>IF(Z60&lt;=0,0,AA60/Z60)</f>
        <v/>
      </c>
    </row>
    <row r="61">
      <c r="A61" s="88">
        <f>IFERROR(INDEX(Team_Master!$C$6:$C$20,INT((ROW()-6)/4)+1),"")</f>
        <v/>
      </c>
      <c r="B61" s="89">
        <f>IFERROR(INDEX(Team_Master!$G$6:$G$20,INT((ROW()-6)/4)+1),"")</f>
        <v/>
      </c>
      <c r="C61" s="88">
        <f>IFERROR(INDEX(Team_Master!$E$6:$E$20,INT((ROW()-6)/4)+1),"")</f>
        <v/>
      </c>
      <c r="D61" s="109">
        <f>"Q"&amp;E61</f>
        <v/>
      </c>
      <c r="E61" s="110">
        <f>MOD(ROW()-6,4)+1</f>
        <v/>
      </c>
      <c r="F61" s="100">
        <f>IFERROR(INDEX(Target_FY!$X$6:$AA$80,MATCH($A61&amp;"|K1",Target_FY!$A$6:$A$80,0),$E61),0)</f>
        <v/>
      </c>
      <c r="G61" s="100">
        <f>IFERROR(INDEX(Actual_Monthly!$X$6:$AA$80,MATCH($A61&amp;"|K1",Actual_Monthly!$A$6:$A$80,0),$E61),0)</f>
        <v/>
      </c>
      <c r="H61" s="101">
        <f>IF(F61&lt;=0,0,G61/F61)</f>
        <v/>
      </c>
      <c r="I61" s="102">
        <f>IF(F61&lt;=0,0,IF(H61&lt;Parameters!$C$15,0,IF(H61&lt;=Parameters!$C$17,Parameters!$C$16+(H61-Parameters!$C$15)/(Parameters!$C$17-Parameters!$C$15)*(Parameters!$C$18-Parameters!$C$16),MIN(Parameters!$C$20,Parameters!$C$18+(H61-Parameters!$C$17)/(Parameters!$C$19-Parameters!$C$17)*(Parameters!$C$20-Parameters!$C$18)))))</f>
        <v/>
      </c>
      <c r="J61" s="100">
        <f>IFERROR(INDEX(Target_FY!$X$6:$AA$80,MATCH($A61&amp;"|K2",Target_FY!$A$6:$A$80,0),$E61),0)</f>
        <v/>
      </c>
      <c r="K61" s="100">
        <f>IFERROR(INDEX(Actual_Monthly!$X$6:$AA$80,MATCH($A61&amp;"|K2",Actual_Monthly!$A$6:$A$80,0),$E61),0)</f>
        <v/>
      </c>
      <c r="L61" s="101">
        <f>IF(J61&lt;=0,0,K61/J61)</f>
        <v/>
      </c>
      <c r="M61" s="102">
        <f>IF(J61&lt;=0,0,IF(L61&lt;Parameters!$C$15,0,IF(L61&lt;=Parameters!$C$17,Parameters!$C$16+(L61-Parameters!$C$15)/(Parameters!$C$17-Parameters!$C$15)*(Parameters!$C$18-Parameters!$C$16),MIN(Parameters!$C$20,Parameters!$C$18+(L61-Parameters!$C$17)/(Parameters!$C$19-Parameters!$C$17)*(Parameters!$C$20-Parameters!$C$18)))))</f>
        <v/>
      </c>
      <c r="N61" s="69">
        <f>IF((KPI_Framework!$F$6+KPI_Framework!$F$7)=0,0,(KPI_Framework!$F$6*I61+KPI_Framework!$F$7*M61)/(KPI_Framework!$F$6+KPI_Framework!$F$7))</f>
        <v/>
      </c>
      <c r="O61" s="103">
        <f>IFERROR(INDEX(Target_FY!$X$6:$AA$80,MATCH($A61&amp;"|K3",Target_FY!$A$6:$A$80,0),$E61),0)</f>
        <v/>
      </c>
      <c r="P61" s="103">
        <f>IFERROR(INDEX(Actual_Monthly!$X$6:$AA$80,MATCH($A61&amp;"|K3",Actual_Monthly!$A$6:$A$80,0),$E61),0)</f>
        <v/>
      </c>
      <c r="Q61" s="104">
        <f>IF(O61&lt;=0,0,P61/O61)</f>
        <v/>
      </c>
      <c r="R61" s="103">
        <f>IFERROR(INDEX(Target_FY!$X$6:$AA$80,MATCH($A61&amp;"|K4",Target_FY!$A$6:$A$80,0),$E61),0)</f>
        <v/>
      </c>
      <c r="S61" s="103">
        <f>IFERROR(INDEX(Actual_Monthly!$X$6:$AA$80,MATCH($A61&amp;"|K4",Actual_Monthly!$A$6:$A$80,0),$E61),0)</f>
        <v/>
      </c>
      <c r="T61" s="104">
        <f>IF(R61&lt;=0,0,S61/R61)</f>
        <v/>
      </c>
      <c r="U61" s="104">
        <f>IF((KPI_Framework!$F$8+KPI_Framework!$F$9)=0,0,(KPI_Framework!$F$8*Q61+KPI_Framework!$F$9*T61)/(KPI_Framework!$F$8+KPI_Framework!$F$9))</f>
        <v/>
      </c>
      <c r="V61" s="104">
        <f>IF((KPI_Framework!$F$8+KPI_Framework!$F$9)=0,0,(KPI_Framework!$F$8*IF(O61&lt;=0,0,IF(Q61&lt;Parameters!$C$15,0,IF(Q61&lt;=Parameters!$C$17,Parameters!$C$16+(Q61-Parameters!$C$15)/(Parameters!$C$17-Parameters!$C$15)*(Parameters!$C$18-Parameters!$C$16),MIN(Parameters!$C$20,Parameters!$C$18+(Q61-Parameters!$C$17)/(Parameters!$C$19-Parameters!$C$17)*(Parameters!$C$20-Parameters!$C$18)))))+KPI_Framework!$F$9*IF(R61&lt;=0,0,IF(T61&lt;Parameters!$C$15,0,IF(T61&lt;=Parameters!$C$17,Parameters!$C$16+(T61-Parameters!$C$15)/(Parameters!$C$17-Parameters!$C$15)*(Parameters!$C$18-Parameters!$C$16),MIN(Parameters!$C$20,Parameters!$C$18+(T61-Parameters!$C$17)/(Parameters!$C$19-Parameters!$C$17)*(Parameters!$C$20-Parameters!$C$18))))))/(KPI_Framework!$F$8+KPI_Framework!$F$9))</f>
        <v/>
      </c>
      <c r="W61" s="105">
        <f>IF(Parameters!$C$23="OFF",1,IF(U61&gt;=Parameters!$B$25,Parameters!$C$25,IF(U61&gt;=Parameters!$B$26,Parameters!$C$26,IF(U61&gt;=Parameters!$B$27,Parameters!$C$27,Parameters!$C$28))))</f>
        <v/>
      </c>
      <c r="X61" s="69">
        <f>N61*W61</f>
        <v/>
      </c>
      <c r="Y61" s="106">
        <f>IF($A61="","",IF(F61&lt;=0,"No target",IF(X61&gt;=1,"On track",IF(X61&gt;=0.8,"Watch","Behind"))))</f>
        <v/>
      </c>
      <c r="Z61" s="107">
        <f>IFERROR(INDEX(Target_FY!$X$6:$AA$80,MATCH($A61&amp;"|K5",Target_FY!$A$6:$A$80,0),$E61),0)</f>
        <v/>
      </c>
      <c r="AA61" s="107">
        <f>IFERROR(INDEX(Actual_Monthly!$X$6:$AA$80,MATCH($A61&amp;"|K5",Actual_Monthly!$A$6:$A$80,0),$E61),0)</f>
        <v/>
      </c>
      <c r="AB61" s="108">
        <f>IF(Z61&lt;=0,0,AA61/Z61)</f>
        <v/>
      </c>
    </row>
    <row r="62">
      <c r="A62" s="82">
        <f>IFERROR(INDEX(Team_Master!$C$6:$C$20,INT((ROW()-6)/4)+1),"")</f>
        <v/>
      </c>
      <c r="B62" s="83">
        <f>IFERROR(INDEX(Team_Master!$G$6:$G$20,INT((ROW()-6)/4)+1),"")</f>
        <v/>
      </c>
      <c r="C62" s="82">
        <f>IFERROR(INDEX(Team_Master!$E$6:$E$20,INT((ROW()-6)/4)+1),"")</f>
        <v/>
      </c>
      <c r="D62" s="93">
        <f>"Q"&amp;E62</f>
        <v/>
      </c>
      <c r="E62" s="99">
        <f>MOD(ROW()-6,4)+1</f>
        <v/>
      </c>
      <c r="F62" s="100">
        <f>IFERROR(INDEX(Target_FY!$X$6:$AA$80,MATCH($A62&amp;"|K1",Target_FY!$A$6:$A$80,0),$E62),0)</f>
        <v/>
      </c>
      <c r="G62" s="100">
        <f>IFERROR(INDEX(Actual_Monthly!$X$6:$AA$80,MATCH($A62&amp;"|K1",Actual_Monthly!$A$6:$A$80,0),$E62),0)</f>
        <v/>
      </c>
      <c r="H62" s="101">
        <f>IF(F62&lt;=0,0,G62/F62)</f>
        <v/>
      </c>
      <c r="I62" s="102">
        <f>IF(F62&lt;=0,0,IF(H62&lt;Parameters!$C$15,0,IF(H62&lt;=Parameters!$C$17,Parameters!$C$16+(H62-Parameters!$C$15)/(Parameters!$C$17-Parameters!$C$15)*(Parameters!$C$18-Parameters!$C$16),MIN(Parameters!$C$20,Parameters!$C$18+(H62-Parameters!$C$17)/(Parameters!$C$19-Parameters!$C$17)*(Parameters!$C$20-Parameters!$C$18)))))</f>
        <v/>
      </c>
      <c r="J62" s="100">
        <f>IFERROR(INDEX(Target_FY!$X$6:$AA$80,MATCH($A62&amp;"|K2",Target_FY!$A$6:$A$80,0),$E62),0)</f>
        <v/>
      </c>
      <c r="K62" s="100">
        <f>IFERROR(INDEX(Actual_Monthly!$X$6:$AA$80,MATCH($A62&amp;"|K2",Actual_Monthly!$A$6:$A$80,0),$E62),0)</f>
        <v/>
      </c>
      <c r="L62" s="101">
        <f>IF(J62&lt;=0,0,K62/J62)</f>
        <v/>
      </c>
      <c r="M62" s="102">
        <f>IF(J62&lt;=0,0,IF(L62&lt;Parameters!$C$15,0,IF(L62&lt;=Parameters!$C$17,Parameters!$C$16+(L62-Parameters!$C$15)/(Parameters!$C$17-Parameters!$C$15)*(Parameters!$C$18-Parameters!$C$16),MIN(Parameters!$C$20,Parameters!$C$18+(L62-Parameters!$C$17)/(Parameters!$C$19-Parameters!$C$17)*(Parameters!$C$20-Parameters!$C$18)))))</f>
        <v/>
      </c>
      <c r="N62" s="69">
        <f>IF((KPI_Framework!$F$6+KPI_Framework!$F$7)=0,0,(KPI_Framework!$F$6*I62+KPI_Framework!$F$7*M62)/(KPI_Framework!$F$6+KPI_Framework!$F$7))</f>
        <v/>
      </c>
      <c r="O62" s="103">
        <f>IFERROR(INDEX(Target_FY!$X$6:$AA$80,MATCH($A62&amp;"|K3",Target_FY!$A$6:$A$80,0),$E62),0)</f>
        <v/>
      </c>
      <c r="P62" s="103">
        <f>IFERROR(INDEX(Actual_Monthly!$X$6:$AA$80,MATCH($A62&amp;"|K3",Actual_Monthly!$A$6:$A$80,0),$E62),0)</f>
        <v/>
      </c>
      <c r="Q62" s="104">
        <f>IF(O62&lt;=0,0,P62/O62)</f>
        <v/>
      </c>
      <c r="R62" s="103">
        <f>IFERROR(INDEX(Target_FY!$X$6:$AA$80,MATCH($A62&amp;"|K4",Target_FY!$A$6:$A$80,0),$E62),0)</f>
        <v/>
      </c>
      <c r="S62" s="103">
        <f>IFERROR(INDEX(Actual_Monthly!$X$6:$AA$80,MATCH($A62&amp;"|K4",Actual_Monthly!$A$6:$A$80,0),$E62),0)</f>
        <v/>
      </c>
      <c r="T62" s="104">
        <f>IF(R62&lt;=0,0,S62/R62)</f>
        <v/>
      </c>
      <c r="U62" s="104">
        <f>IF((KPI_Framework!$F$8+KPI_Framework!$F$9)=0,0,(KPI_Framework!$F$8*Q62+KPI_Framework!$F$9*T62)/(KPI_Framework!$F$8+KPI_Framework!$F$9))</f>
        <v/>
      </c>
      <c r="V62" s="104">
        <f>IF((KPI_Framework!$F$8+KPI_Framework!$F$9)=0,0,(KPI_Framework!$F$8*IF(O62&lt;=0,0,IF(Q62&lt;Parameters!$C$15,0,IF(Q62&lt;=Parameters!$C$17,Parameters!$C$16+(Q62-Parameters!$C$15)/(Parameters!$C$17-Parameters!$C$15)*(Parameters!$C$18-Parameters!$C$16),MIN(Parameters!$C$20,Parameters!$C$18+(Q62-Parameters!$C$17)/(Parameters!$C$19-Parameters!$C$17)*(Parameters!$C$20-Parameters!$C$18)))))+KPI_Framework!$F$9*IF(R62&lt;=0,0,IF(T62&lt;Parameters!$C$15,0,IF(T62&lt;=Parameters!$C$17,Parameters!$C$16+(T62-Parameters!$C$15)/(Parameters!$C$17-Parameters!$C$15)*(Parameters!$C$18-Parameters!$C$16),MIN(Parameters!$C$20,Parameters!$C$18+(T62-Parameters!$C$17)/(Parameters!$C$19-Parameters!$C$17)*(Parameters!$C$20-Parameters!$C$18))))))/(KPI_Framework!$F$8+KPI_Framework!$F$9))</f>
        <v/>
      </c>
      <c r="W62" s="105">
        <f>IF(Parameters!$C$23="OFF",1,IF(U62&gt;=Parameters!$B$25,Parameters!$C$25,IF(U62&gt;=Parameters!$B$26,Parameters!$C$26,IF(U62&gt;=Parameters!$B$27,Parameters!$C$27,Parameters!$C$28))))</f>
        <v/>
      </c>
      <c r="X62" s="69">
        <f>N62*W62</f>
        <v/>
      </c>
      <c r="Y62" s="106">
        <f>IF($A62="","",IF(F62&lt;=0,"No target",IF(X62&gt;=1,"On track",IF(X62&gt;=0.8,"Watch","Behind"))))</f>
        <v/>
      </c>
      <c r="Z62" s="107">
        <f>IFERROR(INDEX(Target_FY!$X$6:$AA$80,MATCH($A62&amp;"|K5",Target_FY!$A$6:$A$80,0),$E62),0)</f>
        <v/>
      </c>
      <c r="AA62" s="107">
        <f>IFERROR(INDEX(Actual_Monthly!$X$6:$AA$80,MATCH($A62&amp;"|K5",Actual_Monthly!$A$6:$A$80,0),$E62),0)</f>
        <v/>
      </c>
      <c r="AB62" s="108">
        <f>IF(Z62&lt;=0,0,AA62/Z62)</f>
        <v/>
      </c>
    </row>
    <row r="63">
      <c r="A63" s="82">
        <f>IFERROR(INDEX(Team_Master!$C$6:$C$20,INT((ROW()-6)/4)+1),"")</f>
        <v/>
      </c>
      <c r="B63" s="83">
        <f>IFERROR(INDEX(Team_Master!$G$6:$G$20,INT((ROW()-6)/4)+1),"")</f>
        <v/>
      </c>
      <c r="C63" s="82">
        <f>IFERROR(INDEX(Team_Master!$E$6:$E$20,INT((ROW()-6)/4)+1),"")</f>
        <v/>
      </c>
      <c r="D63" s="93">
        <f>"Q"&amp;E63</f>
        <v/>
      </c>
      <c r="E63" s="99">
        <f>MOD(ROW()-6,4)+1</f>
        <v/>
      </c>
      <c r="F63" s="100">
        <f>IFERROR(INDEX(Target_FY!$X$6:$AA$80,MATCH($A63&amp;"|K1",Target_FY!$A$6:$A$80,0),$E63),0)</f>
        <v/>
      </c>
      <c r="G63" s="100">
        <f>IFERROR(INDEX(Actual_Monthly!$X$6:$AA$80,MATCH($A63&amp;"|K1",Actual_Monthly!$A$6:$A$80,0),$E63),0)</f>
        <v/>
      </c>
      <c r="H63" s="101">
        <f>IF(F63&lt;=0,0,G63/F63)</f>
        <v/>
      </c>
      <c r="I63" s="102">
        <f>IF(F63&lt;=0,0,IF(H63&lt;Parameters!$C$15,0,IF(H63&lt;=Parameters!$C$17,Parameters!$C$16+(H63-Parameters!$C$15)/(Parameters!$C$17-Parameters!$C$15)*(Parameters!$C$18-Parameters!$C$16),MIN(Parameters!$C$20,Parameters!$C$18+(H63-Parameters!$C$17)/(Parameters!$C$19-Parameters!$C$17)*(Parameters!$C$20-Parameters!$C$18)))))</f>
        <v/>
      </c>
      <c r="J63" s="100">
        <f>IFERROR(INDEX(Target_FY!$X$6:$AA$80,MATCH($A63&amp;"|K2",Target_FY!$A$6:$A$80,0),$E63),0)</f>
        <v/>
      </c>
      <c r="K63" s="100">
        <f>IFERROR(INDEX(Actual_Monthly!$X$6:$AA$80,MATCH($A63&amp;"|K2",Actual_Monthly!$A$6:$A$80,0),$E63),0)</f>
        <v/>
      </c>
      <c r="L63" s="101">
        <f>IF(J63&lt;=0,0,K63/J63)</f>
        <v/>
      </c>
      <c r="M63" s="102">
        <f>IF(J63&lt;=0,0,IF(L63&lt;Parameters!$C$15,0,IF(L63&lt;=Parameters!$C$17,Parameters!$C$16+(L63-Parameters!$C$15)/(Parameters!$C$17-Parameters!$C$15)*(Parameters!$C$18-Parameters!$C$16),MIN(Parameters!$C$20,Parameters!$C$18+(L63-Parameters!$C$17)/(Parameters!$C$19-Parameters!$C$17)*(Parameters!$C$20-Parameters!$C$18)))))</f>
        <v/>
      </c>
      <c r="N63" s="69">
        <f>IF((KPI_Framework!$F$6+KPI_Framework!$F$7)=0,0,(KPI_Framework!$F$6*I63+KPI_Framework!$F$7*M63)/(KPI_Framework!$F$6+KPI_Framework!$F$7))</f>
        <v/>
      </c>
      <c r="O63" s="103">
        <f>IFERROR(INDEX(Target_FY!$X$6:$AA$80,MATCH($A63&amp;"|K3",Target_FY!$A$6:$A$80,0),$E63),0)</f>
        <v/>
      </c>
      <c r="P63" s="103">
        <f>IFERROR(INDEX(Actual_Monthly!$X$6:$AA$80,MATCH($A63&amp;"|K3",Actual_Monthly!$A$6:$A$80,0),$E63),0)</f>
        <v/>
      </c>
      <c r="Q63" s="104">
        <f>IF(O63&lt;=0,0,P63/O63)</f>
        <v/>
      </c>
      <c r="R63" s="103">
        <f>IFERROR(INDEX(Target_FY!$X$6:$AA$80,MATCH($A63&amp;"|K4",Target_FY!$A$6:$A$80,0),$E63),0)</f>
        <v/>
      </c>
      <c r="S63" s="103">
        <f>IFERROR(INDEX(Actual_Monthly!$X$6:$AA$80,MATCH($A63&amp;"|K4",Actual_Monthly!$A$6:$A$80,0),$E63),0)</f>
        <v/>
      </c>
      <c r="T63" s="104">
        <f>IF(R63&lt;=0,0,S63/R63)</f>
        <v/>
      </c>
      <c r="U63" s="104">
        <f>IF((KPI_Framework!$F$8+KPI_Framework!$F$9)=0,0,(KPI_Framework!$F$8*Q63+KPI_Framework!$F$9*T63)/(KPI_Framework!$F$8+KPI_Framework!$F$9))</f>
        <v/>
      </c>
      <c r="V63" s="104">
        <f>IF((KPI_Framework!$F$8+KPI_Framework!$F$9)=0,0,(KPI_Framework!$F$8*IF(O63&lt;=0,0,IF(Q63&lt;Parameters!$C$15,0,IF(Q63&lt;=Parameters!$C$17,Parameters!$C$16+(Q63-Parameters!$C$15)/(Parameters!$C$17-Parameters!$C$15)*(Parameters!$C$18-Parameters!$C$16),MIN(Parameters!$C$20,Parameters!$C$18+(Q63-Parameters!$C$17)/(Parameters!$C$19-Parameters!$C$17)*(Parameters!$C$20-Parameters!$C$18)))))+KPI_Framework!$F$9*IF(R63&lt;=0,0,IF(T63&lt;Parameters!$C$15,0,IF(T63&lt;=Parameters!$C$17,Parameters!$C$16+(T63-Parameters!$C$15)/(Parameters!$C$17-Parameters!$C$15)*(Parameters!$C$18-Parameters!$C$16),MIN(Parameters!$C$20,Parameters!$C$18+(T63-Parameters!$C$17)/(Parameters!$C$19-Parameters!$C$17)*(Parameters!$C$20-Parameters!$C$18))))))/(KPI_Framework!$F$8+KPI_Framework!$F$9))</f>
        <v/>
      </c>
      <c r="W63" s="105">
        <f>IF(Parameters!$C$23="OFF",1,IF(U63&gt;=Parameters!$B$25,Parameters!$C$25,IF(U63&gt;=Parameters!$B$26,Parameters!$C$26,IF(U63&gt;=Parameters!$B$27,Parameters!$C$27,Parameters!$C$28))))</f>
        <v/>
      </c>
      <c r="X63" s="69">
        <f>N63*W63</f>
        <v/>
      </c>
      <c r="Y63" s="106">
        <f>IF($A63="","",IF(F63&lt;=0,"No target",IF(X63&gt;=1,"On track",IF(X63&gt;=0.8,"Watch","Behind"))))</f>
        <v/>
      </c>
      <c r="Z63" s="107">
        <f>IFERROR(INDEX(Target_FY!$X$6:$AA$80,MATCH($A63&amp;"|K5",Target_FY!$A$6:$A$80,0),$E63),0)</f>
        <v/>
      </c>
      <c r="AA63" s="107">
        <f>IFERROR(INDEX(Actual_Monthly!$X$6:$AA$80,MATCH($A63&amp;"|K5",Actual_Monthly!$A$6:$A$80,0),$E63),0)</f>
        <v/>
      </c>
      <c r="AB63" s="108">
        <f>IF(Z63&lt;=0,0,AA63/Z63)</f>
        <v/>
      </c>
    </row>
    <row r="64">
      <c r="A64" s="82">
        <f>IFERROR(INDEX(Team_Master!$C$6:$C$20,INT((ROW()-6)/4)+1),"")</f>
        <v/>
      </c>
      <c r="B64" s="83">
        <f>IFERROR(INDEX(Team_Master!$G$6:$G$20,INT((ROW()-6)/4)+1),"")</f>
        <v/>
      </c>
      <c r="C64" s="82">
        <f>IFERROR(INDEX(Team_Master!$E$6:$E$20,INT((ROW()-6)/4)+1),"")</f>
        <v/>
      </c>
      <c r="D64" s="93">
        <f>"Q"&amp;E64</f>
        <v/>
      </c>
      <c r="E64" s="99">
        <f>MOD(ROW()-6,4)+1</f>
        <v/>
      </c>
      <c r="F64" s="100">
        <f>IFERROR(INDEX(Target_FY!$X$6:$AA$80,MATCH($A64&amp;"|K1",Target_FY!$A$6:$A$80,0),$E64),0)</f>
        <v/>
      </c>
      <c r="G64" s="100">
        <f>IFERROR(INDEX(Actual_Monthly!$X$6:$AA$80,MATCH($A64&amp;"|K1",Actual_Monthly!$A$6:$A$80,0),$E64),0)</f>
        <v/>
      </c>
      <c r="H64" s="101">
        <f>IF(F64&lt;=0,0,G64/F64)</f>
        <v/>
      </c>
      <c r="I64" s="102">
        <f>IF(F64&lt;=0,0,IF(H64&lt;Parameters!$C$15,0,IF(H64&lt;=Parameters!$C$17,Parameters!$C$16+(H64-Parameters!$C$15)/(Parameters!$C$17-Parameters!$C$15)*(Parameters!$C$18-Parameters!$C$16),MIN(Parameters!$C$20,Parameters!$C$18+(H64-Parameters!$C$17)/(Parameters!$C$19-Parameters!$C$17)*(Parameters!$C$20-Parameters!$C$18)))))</f>
        <v/>
      </c>
      <c r="J64" s="100">
        <f>IFERROR(INDEX(Target_FY!$X$6:$AA$80,MATCH($A64&amp;"|K2",Target_FY!$A$6:$A$80,0),$E64),0)</f>
        <v/>
      </c>
      <c r="K64" s="100">
        <f>IFERROR(INDEX(Actual_Monthly!$X$6:$AA$80,MATCH($A64&amp;"|K2",Actual_Monthly!$A$6:$A$80,0),$E64),0)</f>
        <v/>
      </c>
      <c r="L64" s="101">
        <f>IF(J64&lt;=0,0,K64/J64)</f>
        <v/>
      </c>
      <c r="M64" s="102">
        <f>IF(J64&lt;=0,0,IF(L64&lt;Parameters!$C$15,0,IF(L64&lt;=Parameters!$C$17,Parameters!$C$16+(L64-Parameters!$C$15)/(Parameters!$C$17-Parameters!$C$15)*(Parameters!$C$18-Parameters!$C$16),MIN(Parameters!$C$20,Parameters!$C$18+(L64-Parameters!$C$17)/(Parameters!$C$19-Parameters!$C$17)*(Parameters!$C$20-Parameters!$C$18)))))</f>
        <v/>
      </c>
      <c r="N64" s="69">
        <f>IF((KPI_Framework!$F$6+KPI_Framework!$F$7)=0,0,(KPI_Framework!$F$6*I64+KPI_Framework!$F$7*M64)/(KPI_Framework!$F$6+KPI_Framework!$F$7))</f>
        <v/>
      </c>
      <c r="O64" s="103">
        <f>IFERROR(INDEX(Target_FY!$X$6:$AA$80,MATCH($A64&amp;"|K3",Target_FY!$A$6:$A$80,0),$E64),0)</f>
        <v/>
      </c>
      <c r="P64" s="103">
        <f>IFERROR(INDEX(Actual_Monthly!$X$6:$AA$80,MATCH($A64&amp;"|K3",Actual_Monthly!$A$6:$A$80,0),$E64),0)</f>
        <v/>
      </c>
      <c r="Q64" s="104">
        <f>IF(O64&lt;=0,0,P64/O64)</f>
        <v/>
      </c>
      <c r="R64" s="103">
        <f>IFERROR(INDEX(Target_FY!$X$6:$AA$80,MATCH($A64&amp;"|K4",Target_FY!$A$6:$A$80,0),$E64),0)</f>
        <v/>
      </c>
      <c r="S64" s="103">
        <f>IFERROR(INDEX(Actual_Monthly!$X$6:$AA$80,MATCH($A64&amp;"|K4",Actual_Monthly!$A$6:$A$80,0),$E64),0)</f>
        <v/>
      </c>
      <c r="T64" s="104">
        <f>IF(R64&lt;=0,0,S64/R64)</f>
        <v/>
      </c>
      <c r="U64" s="104">
        <f>IF((KPI_Framework!$F$8+KPI_Framework!$F$9)=0,0,(KPI_Framework!$F$8*Q64+KPI_Framework!$F$9*T64)/(KPI_Framework!$F$8+KPI_Framework!$F$9))</f>
        <v/>
      </c>
      <c r="V64" s="104">
        <f>IF((KPI_Framework!$F$8+KPI_Framework!$F$9)=0,0,(KPI_Framework!$F$8*IF(O64&lt;=0,0,IF(Q64&lt;Parameters!$C$15,0,IF(Q64&lt;=Parameters!$C$17,Parameters!$C$16+(Q64-Parameters!$C$15)/(Parameters!$C$17-Parameters!$C$15)*(Parameters!$C$18-Parameters!$C$16),MIN(Parameters!$C$20,Parameters!$C$18+(Q64-Parameters!$C$17)/(Parameters!$C$19-Parameters!$C$17)*(Parameters!$C$20-Parameters!$C$18)))))+KPI_Framework!$F$9*IF(R64&lt;=0,0,IF(T64&lt;Parameters!$C$15,0,IF(T64&lt;=Parameters!$C$17,Parameters!$C$16+(T64-Parameters!$C$15)/(Parameters!$C$17-Parameters!$C$15)*(Parameters!$C$18-Parameters!$C$16),MIN(Parameters!$C$20,Parameters!$C$18+(T64-Parameters!$C$17)/(Parameters!$C$19-Parameters!$C$17)*(Parameters!$C$20-Parameters!$C$18))))))/(KPI_Framework!$F$8+KPI_Framework!$F$9))</f>
        <v/>
      </c>
      <c r="W64" s="105">
        <f>IF(Parameters!$C$23="OFF",1,IF(U64&gt;=Parameters!$B$25,Parameters!$C$25,IF(U64&gt;=Parameters!$B$26,Parameters!$C$26,IF(U64&gt;=Parameters!$B$27,Parameters!$C$27,Parameters!$C$28))))</f>
        <v/>
      </c>
      <c r="X64" s="69">
        <f>N64*W64</f>
        <v/>
      </c>
      <c r="Y64" s="106">
        <f>IF($A64="","",IF(F64&lt;=0,"No target",IF(X64&gt;=1,"On track",IF(X64&gt;=0.8,"Watch","Behind"))))</f>
        <v/>
      </c>
      <c r="Z64" s="107">
        <f>IFERROR(INDEX(Target_FY!$X$6:$AA$80,MATCH($A64&amp;"|K5",Target_FY!$A$6:$A$80,0),$E64),0)</f>
        <v/>
      </c>
      <c r="AA64" s="107">
        <f>IFERROR(INDEX(Actual_Monthly!$X$6:$AA$80,MATCH($A64&amp;"|K5",Actual_Monthly!$A$6:$A$80,0),$E64),0)</f>
        <v/>
      </c>
      <c r="AB64" s="108">
        <f>IF(Z64&lt;=0,0,AA64/Z64)</f>
        <v/>
      </c>
    </row>
    <row r="65">
      <c r="A65" s="82">
        <f>IFERROR(INDEX(Team_Master!$C$6:$C$20,INT((ROW()-6)/4)+1),"")</f>
        <v/>
      </c>
      <c r="B65" s="83">
        <f>IFERROR(INDEX(Team_Master!$G$6:$G$20,INT((ROW()-6)/4)+1),"")</f>
        <v/>
      </c>
      <c r="C65" s="82">
        <f>IFERROR(INDEX(Team_Master!$E$6:$E$20,INT((ROW()-6)/4)+1),"")</f>
        <v/>
      </c>
      <c r="D65" s="93">
        <f>"Q"&amp;E65</f>
        <v/>
      </c>
      <c r="E65" s="99">
        <f>MOD(ROW()-6,4)+1</f>
        <v/>
      </c>
      <c r="F65" s="100">
        <f>IFERROR(INDEX(Target_FY!$X$6:$AA$80,MATCH($A65&amp;"|K1",Target_FY!$A$6:$A$80,0),$E65),0)</f>
        <v/>
      </c>
      <c r="G65" s="100">
        <f>IFERROR(INDEX(Actual_Monthly!$X$6:$AA$80,MATCH($A65&amp;"|K1",Actual_Monthly!$A$6:$A$80,0),$E65),0)</f>
        <v/>
      </c>
      <c r="H65" s="101">
        <f>IF(F65&lt;=0,0,G65/F65)</f>
        <v/>
      </c>
      <c r="I65" s="102">
        <f>IF(F65&lt;=0,0,IF(H65&lt;Parameters!$C$15,0,IF(H65&lt;=Parameters!$C$17,Parameters!$C$16+(H65-Parameters!$C$15)/(Parameters!$C$17-Parameters!$C$15)*(Parameters!$C$18-Parameters!$C$16),MIN(Parameters!$C$20,Parameters!$C$18+(H65-Parameters!$C$17)/(Parameters!$C$19-Parameters!$C$17)*(Parameters!$C$20-Parameters!$C$18)))))</f>
        <v/>
      </c>
      <c r="J65" s="100">
        <f>IFERROR(INDEX(Target_FY!$X$6:$AA$80,MATCH($A65&amp;"|K2",Target_FY!$A$6:$A$80,0),$E65),0)</f>
        <v/>
      </c>
      <c r="K65" s="100">
        <f>IFERROR(INDEX(Actual_Monthly!$X$6:$AA$80,MATCH($A65&amp;"|K2",Actual_Monthly!$A$6:$A$80,0),$E65),0)</f>
        <v/>
      </c>
      <c r="L65" s="101">
        <f>IF(J65&lt;=0,0,K65/J65)</f>
        <v/>
      </c>
      <c r="M65" s="102">
        <f>IF(J65&lt;=0,0,IF(L65&lt;Parameters!$C$15,0,IF(L65&lt;=Parameters!$C$17,Parameters!$C$16+(L65-Parameters!$C$15)/(Parameters!$C$17-Parameters!$C$15)*(Parameters!$C$18-Parameters!$C$16),MIN(Parameters!$C$20,Parameters!$C$18+(L65-Parameters!$C$17)/(Parameters!$C$19-Parameters!$C$17)*(Parameters!$C$20-Parameters!$C$18)))))</f>
        <v/>
      </c>
      <c r="N65" s="69">
        <f>IF((KPI_Framework!$F$6+KPI_Framework!$F$7)=0,0,(KPI_Framework!$F$6*I65+KPI_Framework!$F$7*M65)/(KPI_Framework!$F$6+KPI_Framework!$F$7))</f>
        <v/>
      </c>
      <c r="O65" s="103">
        <f>IFERROR(INDEX(Target_FY!$X$6:$AA$80,MATCH($A65&amp;"|K3",Target_FY!$A$6:$A$80,0),$E65),0)</f>
        <v/>
      </c>
      <c r="P65" s="103">
        <f>IFERROR(INDEX(Actual_Monthly!$X$6:$AA$80,MATCH($A65&amp;"|K3",Actual_Monthly!$A$6:$A$80,0),$E65),0)</f>
        <v/>
      </c>
      <c r="Q65" s="104">
        <f>IF(O65&lt;=0,0,P65/O65)</f>
        <v/>
      </c>
      <c r="R65" s="103">
        <f>IFERROR(INDEX(Target_FY!$X$6:$AA$80,MATCH($A65&amp;"|K4",Target_FY!$A$6:$A$80,0),$E65),0)</f>
        <v/>
      </c>
      <c r="S65" s="103">
        <f>IFERROR(INDEX(Actual_Monthly!$X$6:$AA$80,MATCH($A65&amp;"|K4",Actual_Monthly!$A$6:$A$80,0),$E65),0)</f>
        <v/>
      </c>
      <c r="T65" s="104">
        <f>IF(R65&lt;=0,0,S65/R65)</f>
        <v/>
      </c>
      <c r="U65" s="104">
        <f>IF((KPI_Framework!$F$8+KPI_Framework!$F$9)=0,0,(KPI_Framework!$F$8*Q65+KPI_Framework!$F$9*T65)/(KPI_Framework!$F$8+KPI_Framework!$F$9))</f>
        <v/>
      </c>
      <c r="V65" s="104">
        <f>IF((KPI_Framework!$F$8+KPI_Framework!$F$9)=0,0,(KPI_Framework!$F$8*IF(O65&lt;=0,0,IF(Q65&lt;Parameters!$C$15,0,IF(Q65&lt;=Parameters!$C$17,Parameters!$C$16+(Q65-Parameters!$C$15)/(Parameters!$C$17-Parameters!$C$15)*(Parameters!$C$18-Parameters!$C$16),MIN(Parameters!$C$20,Parameters!$C$18+(Q65-Parameters!$C$17)/(Parameters!$C$19-Parameters!$C$17)*(Parameters!$C$20-Parameters!$C$18)))))+KPI_Framework!$F$9*IF(R65&lt;=0,0,IF(T65&lt;Parameters!$C$15,0,IF(T65&lt;=Parameters!$C$17,Parameters!$C$16+(T65-Parameters!$C$15)/(Parameters!$C$17-Parameters!$C$15)*(Parameters!$C$18-Parameters!$C$16),MIN(Parameters!$C$20,Parameters!$C$18+(T65-Parameters!$C$17)/(Parameters!$C$19-Parameters!$C$17)*(Parameters!$C$20-Parameters!$C$18))))))/(KPI_Framework!$F$8+KPI_Framework!$F$9))</f>
        <v/>
      </c>
      <c r="W65" s="105">
        <f>IF(Parameters!$C$23="OFF",1,IF(U65&gt;=Parameters!$B$25,Parameters!$C$25,IF(U65&gt;=Parameters!$B$26,Parameters!$C$26,IF(U65&gt;=Parameters!$B$27,Parameters!$C$27,Parameters!$C$28))))</f>
        <v/>
      </c>
      <c r="X65" s="69">
        <f>N65*W65</f>
        <v/>
      </c>
      <c r="Y65" s="106">
        <f>IF($A65="","",IF(F65&lt;=0,"No target",IF(X65&gt;=1,"On track",IF(X65&gt;=0.8,"Watch","Behind"))))</f>
        <v/>
      </c>
      <c r="Z65" s="107">
        <f>IFERROR(INDEX(Target_FY!$X$6:$AA$80,MATCH($A65&amp;"|K5",Target_FY!$A$6:$A$80,0),$E65),0)</f>
        <v/>
      </c>
      <c r="AA65" s="107">
        <f>IFERROR(INDEX(Actual_Monthly!$X$6:$AA$80,MATCH($A65&amp;"|K5",Actual_Monthly!$A$6:$A$80,0),$E65),0)</f>
        <v/>
      </c>
      <c r="AB65" s="108">
        <f>IF(Z65&lt;=0,0,AA65/Z65)</f>
        <v/>
      </c>
    </row>
  </sheetData>
  <mergeCells count="5">
    <mergeCell ref="A4:E4"/>
    <mergeCell ref="W4:Y4"/>
    <mergeCell ref="O4:V4"/>
    <mergeCell ref="Z4:AB4"/>
    <mergeCell ref="F4:N4"/>
  </mergeCells>
  <conditionalFormatting sqref="H6:H65">
    <cfRule type="colorScale" priority="1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L6:L65">
    <cfRule type="colorScale" priority="2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N6:N65">
    <cfRule type="colorScale" priority="3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Q6:Q65">
    <cfRule type="colorScale" priority="4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T6:T65">
    <cfRule type="colorScale" priority="5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U6:U65">
    <cfRule type="colorScale" priority="6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X6:X65">
    <cfRule type="colorScale" priority="7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Y6:Y65">
    <cfRule type="cellIs" priority="8" operator="equal" dxfId="4">
      <formula>"Behind"</formula>
    </cfRule>
    <cfRule type="cellIs" priority="9" operator="equal" dxfId="5">
      <formula>"On track"</formula>
    </cfRule>
    <cfRule type="cellIs" priority="10" operator="equal" dxfId="6">
      <formula>"Watch"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AA23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8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30" customWidth="1" min="28" max="28"/>
  </cols>
  <sheetData>
    <row r="2">
      <c r="B2" s="16" t="inlineStr">
        <is>
          <t>INCENTIVE CALCULATION FY2026 – LEAD (theo quý) + FOCUS (cuối năm)</t>
        </is>
      </c>
    </row>
    <row r="3">
      <c r="B3" s="17" t="inlineStr">
        <is>
          <t>Tự động 100%. Tiền quý = số được hưởng luỹ kế đến quý đó − số đã trả các quý trước. Payout factor đã cap theo Parameters.</t>
        </is>
      </c>
    </row>
    <row r="4">
      <c r="B4" s="57" t="inlineStr">
        <is>
          <t>THÔNG TIN &amp; QUỸ THƯỞNG</t>
        </is>
      </c>
      <c r="I4" s="95" t="inlineStr">
        <is>
          <t>NET LEAD FACTOR (luỹ kế)</t>
        </is>
      </c>
      <c r="M4" s="95" t="inlineStr">
        <is>
          <t>TIỀN ĐƯỢC HƯỞNG LUỸ KẾ</t>
        </is>
      </c>
      <c r="Q4" s="112" t="inlineStr">
        <is>
          <t>TIỀN TRẢ TỪNG QUÝ</t>
        </is>
      </c>
      <c r="V4" s="96" t="inlineStr">
        <is>
          <t>FOCUS KPI – CUỐI NĂM</t>
        </is>
      </c>
      <c r="Y4" s="58" t="inlineStr">
        <is>
          <t>TỔNG FY</t>
        </is>
      </c>
    </row>
    <row r="5" ht="34" customHeight="1">
      <c r="B5" s="28" t="inlineStr">
        <is>
          <t>Emp Code</t>
        </is>
      </c>
      <c r="C5" s="28" t="inlineStr">
        <is>
          <t>Name</t>
        </is>
      </c>
      <c r="D5" s="28" t="inlineStr">
        <is>
          <t>Region</t>
        </is>
      </c>
      <c r="E5" s="28" t="inlineStr">
        <is>
          <t>Team</t>
        </is>
      </c>
      <c r="F5" s="28" t="inlineStr">
        <is>
          <t>ATVP (prorated)</t>
        </is>
      </c>
      <c r="G5" s="28" t="inlineStr">
        <is>
          <t>Lead pot</t>
        </is>
      </c>
      <c r="H5" s="28" t="inlineStr">
        <is>
          <t>Focus pot</t>
        </is>
      </c>
      <c r="I5" s="77" t="inlineStr">
        <is>
          <t>Q1</t>
        </is>
      </c>
      <c r="J5" s="77" t="inlineStr">
        <is>
          <t>Q2</t>
        </is>
      </c>
      <c r="K5" s="77" t="inlineStr">
        <is>
          <t>Q3</t>
        </is>
      </c>
      <c r="L5" s="77" t="inlineStr">
        <is>
          <t>Q4</t>
        </is>
      </c>
      <c r="M5" s="77" t="inlineStr">
        <is>
          <t>Earned YTD Q1</t>
        </is>
      </c>
      <c r="N5" s="77" t="inlineStr">
        <is>
          <t>Earned YTD Q2</t>
        </is>
      </c>
      <c r="O5" s="77" t="inlineStr">
        <is>
          <t>Earned YTD Q3</t>
        </is>
      </c>
      <c r="P5" s="77" t="inlineStr">
        <is>
          <t>Earned YTD Q4</t>
        </is>
      </c>
      <c r="Q5" s="28" t="inlineStr">
        <is>
          <t>Pay Q1</t>
        </is>
      </c>
      <c r="R5" s="28" t="inlineStr">
        <is>
          <t>Pay Q2</t>
        </is>
      </c>
      <c r="S5" s="28" t="inlineStr">
        <is>
          <t>Pay Q3</t>
        </is>
      </c>
      <c r="T5" s="28" t="inlineStr">
        <is>
          <t>Pay Q4</t>
        </is>
      </c>
      <c r="U5" s="28" t="inlineStr">
        <is>
          <t>Total Lead FY</t>
        </is>
      </c>
      <c r="V5" s="80" t="inlineStr">
        <is>
          <t>Focus Ach FY</t>
        </is>
      </c>
      <c r="W5" s="80" t="inlineStr">
        <is>
          <t>Focus factor</t>
        </is>
      </c>
      <c r="X5" s="80" t="inlineStr">
        <is>
          <t>Focus payout</t>
        </is>
      </c>
      <c r="Y5" s="78" t="inlineStr">
        <is>
          <t>TOTAL FY payout</t>
        </is>
      </c>
      <c r="Z5" s="78" t="inlineStr">
        <is>
          <t>% of ATVP</t>
        </is>
      </c>
      <c r="AA5" s="78" t="inlineStr">
        <is>
          <t>Note</t>
        </is>
      </c>
    </row>
    <row r="6">
      <c r="B6" s="113">
        <f>IF(Team_Master!$C6="","",Team_Master!$C6)</f>
        <v/>
      </c>
      <c r="C6" s="83">
        <f>IF(Team_Master!$G6="","",Team_Master!$G6)</f>
        <v/>
      </c>
      <c r="D6" s="113">
        <f>IF(Team_Master!$E6="","",Team_Master!$E6)</f>
        <v/>
      </c>
      <c r="E6" s="113">
        <f>IF(Team_Master!$D6="","",Team_Master!$D6)</f>
        <v/>
      </c>
      <c r="F6" s="54">
        <f>IF($B6="",0,Team_Master!$M6)</f>
        <v/>
      </c>
      <c r="G6" s="54">
        <f>IF($B6="",0,Team_Master!$N6)</f>
        <v/>
      </c>
      <c r="H6" s="54">
        <f>IF($B6="",0,Team_Master!$O6)</f>
        <v/>
      </c>
      <c r="I6" s="102">
        <f>IFERROR(INDEX(Tracking!$X$6:$X$65,(ROW()-6)*4+1),0)</f>
        <v/>
      </c>
      <c r="J6" s="102">
        <f>IFERROR(INDEX(Tracking!$X$6:$X$65,(ROW()-6)*4+2),0)</f>
        <v/>
      </c>
      <c r="K6" s="102">
        <f>IFERROR(INDEX(Tracking!$X$6:$X$65,(ROW()-6)*4+3),0)</f>
        <v/>
      </c>
      <c r="L6" s="102">
        <f>IFERROR(INDEX(Tracking!$X$6:$X$65,(ROW()-6)*4+4),0)</f>
        <v/>
      </c>
      <c r="M6" s="100">
        <f>$H6*1/4*I6</f>
        <v/>
      </c>
      <c r="N6" s="100">
        <f>$H6*2/4*J6</f>
        <v/>
      </c>
      <c r="O6" s="100">
        <f>$H6*3/4*K6</f>
        <v/>
      </c>
      <c r="P6" s="100">
        <f>$H6*4/4*L6</f>
        <v/>
      </c>
      <c r="Q6" s="114">
        <f>IF(Parameters!$C$31="Y",M6,MAX(0,M6))</f>
        <v/>
      </c>
      <c r="R6" s="114">
        <f>IF(Parameters!$C$31="Y",N6-M6,MAX(0,N6-M6))</f>
        <v/>
      </c>
      <c r="S6" s="114">
        <f>IF(Parameters!$C$31="Y",O6-N6,MAX(0,O6-N6))</f>
        <v/>
      </c>
      <c r="T6" s="114">
        <f>IF(Parameters!$C$31="Y",P6-O6,MAX(0,P6-O6))</f>
        <v/>
      </c>
      <c r="U6" s="56">
        <f>SUM(Q6:T6)</f>
        <v/>
      </c>
      <c r="V6" s="115">
        <f>IFERROR(INDEX(Tracking!$U$6:$U$65,(ROW()-6)*4+4),0)</f>
        <v/>
      </c>
      <c r="W6" s="115">
        <f>IFERROR(INDEX(Tracking!$V$6:$V$65,(ROW()-6)*4+4),0)</f>
        <v/>
      </c>
      <c r="X6" s="116">
        <f>$I6*W6</f>
        <v/>
      </c>
      <c r="Y6" s="117">
        <f>U6+X6</f>
        <v/>
      </c>
      <c r="Z6" s="69">
        <f>IF($F6&lt;=0,0,Y6/$F6)</f>
        <v/>
      </c>
      <c r="AA6" s="118">
        <f>IF($B6="","",IF(MAX(I6:L6)&gt;=Parameters!$C$20,"Chạm trần payout – quyết toán cuối năm",IF(MAX(I6:L6)=0,"Chưa có dữ liệu","")))</f>
        <v/>
      </c>
    </row>
    <row r="7">
      <c r="B7" s="113">
        <f>IF(Team_Master!$C7="","",Team_Master!$C7)</f>
        <v/>
      </c>
      <c r="C7" s="83">
        <f>IF(Team_Master!$G7="","",Team_Master!$G7)</f>
        <v/>
      </c>
      <c r="D7" s="113">
        <f>IF(Team_Master!$E7="","",Team_Master!$E7)</f>
        <v/>
      </c>
      <c r="E7" s="113">
        <f>IF(Team_Master!$D7="","",Team_Master!$D7)</f>
        <v/>
      </c>
      <c r="F7" s="54">
        <f>IF($B7="",0,Team_Master!$M7)</f>
        <v/>
      </c>
      <c r="G7" s="54">
        <f>IF($B7="",0,Team_Master!$N7)</f>
        <v/>
      </c>
      <c r="H7" s="54">
        <f>IF($B7="",0,Team_Master!$O7)</f>
        <v/>
      </c>
      <c r="I7" s="102">
        <f>IFERROR(INDEX(Tracking!$X$6:$X$65,(ROW()-6)*4+1),0)</f>
        <v/>
      </c>
      <c r="J7" s="102">
        <f>IFERROR(INDEX(Tracking!$X$6:$X$65,(ROW()-6)*4+2),0)</f>
        <v/>
      </c>
      <c r="K7" s="102">
        <f>IFERROR(INDEX(Tracking!$X$6:$X$65,(ROW()-6)*4+3),0)</f>
        <v/>
      </c>
      <c r="L7" s="102">
        <f>IFERROR(INDEX(Tracking!$X$6:$X$65,(ROW()-6)*4+4),0)</f>
        <v/>
      </c>
      <c r="M7" s="100">
        <f>$H7*1/4*I7</f>
        <v/>
      </c>
      <c r="N7" s="100">
        <f>$H7*2/4*J7</f>
        <v/>
      </c>
      <c r="O7" s="100">
        <f>$H7*3/4*K7</f>
        <v/>
      </c>
      <c r="P7" s="100">
        <f>$H7*4/4*L7</f>
        <v/>
      </c>
      <c r="Q7" s="114">
        <f>IF(Parameters!$C$31="Y",M7,MAX(0,M7))</f>
        <v/>
      </c>
      <c r="R7" s="114">
        <f>IF(Parameters!$C$31="Y",N7-M7,MAX(0,N7-M7))</f>
        <v/>
      </c>
      <c r="S7" s="114">
        <f>IF(Parameters!$C$31="Y",O7-N7,MAX(0,O7-N7))</f>
        <v/>
      </c>
      <c r="T7" s="114">
        <f>IF(Parameters!$C$31="Y",P7-O7,MAX(0,P7-O7))</f>
        <v/>
      </c>
      <c r="U7" s="56">
        <f>SUM(Q7:T7)</f>
        <v/>
      </c>
      <c r="V7" s="115">
        <f>IFERROR(INDEX(Tracking!$U$6:$U$65,(ROW()-6)*4+4),0)</f>
        <v/>
      </c>
      <c r="W7" s="115">
        <f>IFERROR(INDEX(Tracking!$V$6:$V$65,(ROW()-6)*4+4),0)</f>
        <v/>
      </c>
      <c r="X7" s="116">
        <f>$I7*W7</f>
        <v/>
      </c>
      <c r="Y7" s="117">
        <f>U7+X7</f>
        <v/>
      </c>
      <c r="Z7" s="69">
        <f>IF($F7&lt;=0,0,Y7/$F7)</f>
        <v/>
      </c>
      <c r="AA7" s="118">
        <f>IF($B7="","",IF(MAX(I7:L7)&gt;=Parameters!$C$20,"Chạm trần payout – quyết toán cuối năm",IF(MAX(I7:L7)=0,"Chưa có dữ liệu","")))</f>
        <v/>
      </c>
    </row>
    <row r="8">
      <c r="B8" s="113">
        <f>IF(Team_Master!$C8="","",Team_Master!$C8)</f>
        <v/>
      </c>
      <c r="C8" s="83">
        <f>IF(Team_Master!$G8="","",Team_Master!$G8)</f>
        <v/>
      </c>
      <c r="D8" s="113">
        <f>IF(Team_Master!$E8="","",Team_Master!$E8)</f>
        <v/>
      </c>
      <c r="E8" s="113">
        <f>IF(Team_Master!$D8="","",Team_Master!$D8)</f>
        <v/>
      </c>
      <c r="F8" s="54">
        <f>IF($B8="",0,Team_Master!$M8)</f>
        <v/>
      </c>
      <c r="G8" s="54">
        <f>IF($B8="",0,Team_Master!$N8)</f>
        <v/>
      </c>
      <c r="H8" s="54">
        <f>IF($B8="",0,Team_Master!$O8)</f>
        <v/>
      </c>
      <c r="I8" s="102">
        <f>IFERROR(INDEX(Tracking!$X$6:$X$65,(ROW()-6)*4+1),0)</f>
        <v/>
      </c>
      <c r="J8" s="102">
        <f>IFERROR(INDEX(Tracking!$X$6:$X$65,(ROW()-6)*4+2),0)</f>
        <v/>
      </c>
      <c r="K8" s="102">
        <f>IFERROR(INDEX(Tracking!$X$6:$X$65,(ROW()-6)*4+3),0)</f>
        <v/>
      </c>
      <c r="L8" s="102">
        <f>IFERROR(INDEX(Tracking!$X$6:$X$65,(ROW()-6)*4+4),0)</f>
        <v/>
      </c>
      <c r="M8" s="100">
        <f>$H8*1/4*I8</f>
        <v/>
      </c>
      <c r="N8" s="100">
        <f>$H8*2/4*J8</f>
        <v/>
      </c>
      <c r="O8" s="100">
        <f>$H8*3/4*K8</f>
        <v/>
      </c>
      <c r="P8" s="100">
        <f>$H8*4/4*L8</f>
        <v/>
      </c>
      <c r="Q8" s="114">
        <f>IF(Parameters!$C$31="Y",M8,MAX(0,M8))</f>
        <v/>
      </c>
      <c r="R8" s="114">
        <f>IF(Parameters!$C$31="Y",N8-M8,MAX(0,N8-M8))</f>
        <v/>
      </c>
      <c r="S8" s="114">
        <f>IF(Parameters!$C$31="Y",O8-N8,MAX(0,O8-N8))</f>
        <v/>
      </c>
      <c r="T8" s="114">
        <f>IF(Parameters!$C$31="Y",P8-O8,MAX(0,P8-O8))</f>
        <v/>
      </c>
      <c r="U8" s="56">
        <f>SUM(Q8:T8)</f>
        <v/>
      </c>
      <c r="V8" s="115">
        <f>IFERROR(INDEX(Tracking!$U$6:$U$65,(ROW()-6)*4+4),0)</f>
        <v/>
      </c>
      <c r="W8" s="115">
        <f>IFERROR(INDEX(Tracking!$V$6:$V$65,(ROW()-6)*4+4),0)</f>
        <v/>
      </c>
      <c r="X8" s="116">
        <f>$I8*W8</f>
        <v/>
      </c>
      <c r="Y8" s="117">
        <f>U8+X8</f>
        <v/>
      </c>
      <c r="Z8" s="69">
        <f>IF($F8&lt;=0,0,Y8/$F8)</f>
        <v/>
      </c>
      <c r="AA8" s="118">
        <f>IF($B8="","",IF(MAX(I8:L8)&gt;=Parameters!$C$20,"Chạm trần payout – quyết toán cuối năm",IF(MAX(I8:L8)=0,"Chưa có dữ liệu","")))</f>
        <v/>
      </c>
    </row>
    <row r="9">
      <c r="B9" s="113">
        <f>IF(Team_Master!$C9="","",Team_Master!$C9)</f>
        <v/>
      </c>
      <c r="C9" s="83">
        <f>IF(Team_Master!$G9="","",Team_Master!$G9)</f>
        <v/>
      </c>
      <c r="D9" s="113">
        <f>IF(Team_Master!$E9="","",Team_Master!$E9)</f>
        <v/>
      </c>
      <c r="E9" s="113">
        <f>IF(Team_Master!$D9="","",Team_Master!$D9)</f>
        <v/>
      </c>
      <c r="F9" s="54">
        <f>IF($B9="",0,Team_Master!$M9)</f>
        <v/>
      </c>
      <c r="G9" s="54">
        <f>IF($B9="",0,Team_Master!$N9)</f>
        <v/>
      </c>
      <c r="H9" s="54">
        <f>IF($B9="",0,Team_Master!$O9)</f>
        <v/>
      </c>
      <c r="I9" s="102">
        <f>IFERROR(INDEX(Tracking!$X$6:$X$65,(ROW()-6)*4+1),0)</f>
        <v/>
      </c>
      <c r="J9" s="102">
        <f>IFERROR(INDEX(Tracking!$X$6:$X$65,(ROW()-6)*4+2),0)</f>
        <v/>
      </c>
      <c r="K9" s="102">
        <f>IFERROR(INDEX(Tracking!$X$6:$X$65,(ROW()-6)*4+3),0)</f>
        <v/>
      </c>
      <c r="L9" s="102">
        <f>IFERROR(INDEX(Tracking!$X$6:$X$65,(ROW()-6)*4+4),0)</f>
        <v/>
      </c>
      <c r="M9" s="100">
        <f>$H9*1/4*I9</f>
        <v/>
      </c>
      <c r="N9" s="100">
        <f>$H9*2/4*J9</f>
        <v/>
      </c>
      <c r="O9" s="100">
        <f>$H9*3/4*K9</f>
        <v/>
      </c>
      <c r="P9" s="100">
        <f>$H9*4/4*L9</f>
        <v/>
      </c>
      <c r="Q9" s="114">
        <f>IF(Parameters!$C$31="Y",M9,MAX(0,M9))</f>
        <v/>
      </c>
      <c r="R9" s="114">
        <f>IF(Parameters!$C$31="Y",N9-M9,MAX(0,N9-M9))</f>
        <v/>
      </c>
      <c r="S9" s="114">
        <f>IF(Parameters!$C$31="Y",O9-N9,MAX(0,O9-N9))</f>
        <v/>
      </c>
      <c r="T9" s="114">
        <f>IF(Parameters!$C$31="Y",P9-O9,MAX(0,P9-O9))</f>
        <v/>
      </c>
      <c r="U9" s="56">
        <f>SUM(Q9:T9)</f>
        <v/>
      </c>
      <c r="V9" s="115">
        <f>IFERROR(INDEX(Tracking!$U$6:$U$65,(ROW()-6)*4+4),0)</f>
        <v/>
      </c>
      <c r="W9" s="115">
        <f>IFERROR(INDEX(Tracking!$V$6:$V$65,(ROW()-6)*4+4),0)</f>
        <v/>
      </c>
      <c r="X9" s="116">
        <f>$I9*W9</f>
        <v/>
      </c>
      <c r="Y9" s="117">
        <f>U9+X9</f>
        <v/>
      </c>
      <c r="Z9" s="69">
        <f>IF($F9&lt;=0,0,Y9/$F9)</f>
        <v/>
      </c>
      <c r="AA9" s="118">
        <f>IF($B9="","",IF(MAX(I9:L9)&gt;=Parameters!$C$20,"Chạm trần payout – quyết toán cuối năm",IF(MAX(I9:L9)=0,"Chưa có dữ liệu","")))</f>
        <v/>
      </c>
    </row>
    <row r="10">
      <c r="B10" s="113">
        <f>IF(Team_Master!$C10="","",Team_Master!$C10)</f>
        <v/>
      </c>
      <c r="C10" s="83">
        <f>IF(Team_Master!$G10="","",Team_Master!$G10)</f>
        <v/>
      </c>
      <c r="D10" s="113">
        <f>IF(Team_Master!$E10="","",Team_Master!$E10)</f>
        <v/>
      </c>
      <c r="E10" s="113">
        <f>IF(Team_Master!$D10="","",Team_Master!$D10)</f>
        <v/>
      </c>
      <c r="F10" s="54">
        <f>IF($B10="",0,Team_Master!$M10)</f>
        <v/>
      </c>
      <c r="G10" s="54">
        <f>IF($B10="",0,Team_Master!$N10)</f>
        <v/>
      </c>
      <c r="H10" s="54">
        <f>IF($B10="",0,Team_Master!$O10)</f>
        <v/>
      </c>
      <c r="I10" s="102">
        <f>IFERROR(INDEX(Tracking!$X$6:$X$65,(ROW()-6)*4+1),0)</f>
        <v/>
      </c>
      <c r="J10" s="102">
        <f>IFERROR(INDEX(Tracking!$X$6:$X$65,(ROW()-6)*4+2),0)</f>
        <v/>
      </c>
      <c r="K10" s="102">
        <f>IFERROR(INDEX(Tracking!$X$6:$X$65,(ROW()-6)*4+3),0)</f>
        <v/>
      </c>
      <c r="L10" s="102">
        <f>IFERROR(INDEX(Tracking!$X$6:$X$65,(ROW()-6)*4+4),0)</f>
        <v/>
      </c>
      <c r="M10" s="100">
        <f>$H10*1/4*I10</f>
        <v/>
      </c>
      <c r="N10" s="100">
        <f>$H10*2/4*J10</f>
        <v/>
      </c>
      <c r="O10" s="100">
        <f>$H10*3/4*K10</f>
        <v/>
      </c>
      <c r="P10" s="100">
        <f>$H10*4/4*L10</f>
        <v/>
      </c>
      <c r="Q10" s="114">
        <f>IF(Parameters!$C$31="Y",M10,MAX(0,M10))</f>
        <v/>
      </c>
      <c r="R10" s="114">
        <f>IF(Parameters!$C$31="Y",N10-M10,MAX(0,N10-M10))</f>
        <v/>
      </c>
      <c r="S10" s="114">
        <f>IF(Parameters!$C$31="Y",O10-N10,MAX(0,O10-N10))</f>
        <v/>
      </c>
      <c r="T10" s="114">
        <f>IF(Parameters!$C$31="Y",P10-O10,MAX(0,P10-O10))</f>
        <v/>
      </c>
      <c r="U10" s="56">
        <f>SUM(Q10:T10)</f>
        <v/>
      </c>
      <c r="V10" s="115">
        <f>IFERROR(INDEX(Tracking!$U$6:$U$65,(ROW()-6)*4+4),0)</f>
        <v/>
      </c>
      <c r="W10" s="115">
        <f>IFERROR(INDEX(Tracking!$V$6:$V$65,(ROW()-6)*4+4),0)</f>
        <v/>
      </c>
      <c r="X10" s="116">
        <f>$I10*W10</f>
        <v/>
      </c>
      <c r="Y10" s="117">
        <f>U10+X10</f>
        <v/>
      </c>
      <c r="Z10" s="69">
        <f>IF($F10&lt;=0,0,Y10/$F10)</f>
        <v/>
      </c>
      <c r="AA10" s="118">
        <f>IF($B10="","",IF(MAX(I10:L10)&gt;=Parameters!$C$20,"Chạm trần payout – quyết toán cuối năm",IF(MAX(I10:L10)=0,"Chưa có dữ liệu","")))</f>
        <v/>
      </c>
    </row>
    <row r="11">
      <c r="B11" s="113">
        <f>IF(Team_Master!$C11="","",Team_Master!$C11)</f>
        <v/>
      </c>
      <c r="C11" s="83">
        <f>IF(Team_Master!$G11="","",Team_Master!$G11)</f>
        <v/>
      </c>
      <c r="D11" s="113">
        <f>IF(Team_Master!$E11="","",Team_Master!$E11)</f>
        <v/>
      </c>
      <c r="E11" s="113">
        <f>IF(Team_Master!$D11="","",Team_Master!$D11)</f>
        <v/>
      </c>
      <c r="F11" s="54">
        <f>IF($B11="",0,Team_Master!$M11)</f>
        <v/>
      </c>
      <c r="G11" s="54">
        <f>IF($B11="",0,Team_Master!$N11)</f>
        <v/>
      </c>
      <c r="H11" s="54">
        <f>IF($B11="",0,Team_Master!$O11)</f>
        <v/>
      </c>
      <c r="I11" s="102">
        <f>IFERROR(INDEX(Tracking!$X$6:$X$65,(ROW()-6)*4+1),0)</f>
        <v/>
      </c>
      <c r="J11" s="102">
        <f>IFERROR(INDEX(Tracking!$X$6:$X$65,(ROW()-6)*4+2),0)</f>
        <v/>
      </c>
      <c r="K11" s="102">
        <f>IFERROR(INDEX(Tracking!$X$6:$X$65,(ROW()-6)*4+3),0)</f>
        <v/>
      </c>
      <c r="L11" s="102">
        <f>IFERROR(INDEX(Tracking!$X$6:$X$65,(ROW()-6)*4+4),0)</f>
        <v/>
      </c>
      <c r="M11" s="100">
        <f>$H11*1/4*I11</f>
        <v/>
      </c>
      <c r="N11" s="100">
        <f>$H11*2/4*J11</f>
        <v/>
      </c>
      <c r="O11" s="100">
        <f>$H11*3/4*K11</f>
        <v/>
      </c>
      <c r="P11" s="100">
        <f>$H11*4/4*L11</f>
        <v/>
      </c>
      <c r="Q11" s="114">
        <f>IF(Parameters!$C$31="Y",M11,MAX(0,M11))</f>
        <v/>
      </c>
      <c r="R11" s="114">
        <f>IF(Parameters!$C$31="Y",N11-M11,MAX(0,N11-M11))</f>
        <v/>
      </c>
      <c r="S11" s="114">
        <f>IF(Parameters!$C$31="Y",O11-N11,MAX(0,O11-N11))</f>
        <v/>
      </c>
      <c r="T11" s="114">
        <f>IF(Parameters!$C$31="Y",P11-O11,MAX(0,P11-O11))</f>
        <v/>
      </c>
      <c r="U11" s="56">
        <f>SUM(Q11:T11)</f>
        <v/>
      </c>
      <c r="V11" s="115">
        <f>IFERROR(INDEX(Tracking!$U$6:$U$65,(ROW()-6)*4+4),0)</f>
        <v/>
      </c>
      <c r="W11" s="115">
        <f>IFERROR(INDEX(Tracking!$V$6:$V$65,(ROW()-6)*4+4),0)</f>
        <v/>
      </c>
      <c r="X11" s="116">
        <f>$I11*W11</f>
        <v/>
      </c>
      <c r="Y11" s="117">
        <f>U11+X11</f>
        <v/>
      </c>
      <c r="Z11" s="69">
        <f>IF($F11&lt;=0,0,Y11/$F11)</f>
        <v/>
      </c>
      <c r="AA11" s="118">
        <f>IF($B11="","",IF(MAX(I11:L11)&gt;=Parameters!$C$20,"Chạm trần payout – quyết toán cuối năm",IF(MAX(I11:L11)=0,"Chưa có dữ liệu","")))</f>
        <v/>
      </c>
    </row>
    <row r="12">
      <c r="B12" s="113">
        <f>IF(Team_Master!$C12="","",Team_Master!$C12)</f>
        <v/>
      </c>
      <c r="C12" s="83">
        <f>IF(Team_Master!$G12="","",Team_Master!$G12)</f>
        <v/>
      </c>
      <c r="D12" s="113">
        <f>IF(Team_Master!$E12="","",Team_Master!$E12)</f>
        <v/>
      </c>
      <c r="E12" s="113">
        <f>IF(Team_Master!$D12="","",Team_Master!$D12)</f>
        <v/>
      </c>
      <c r="F12" s="54">
        <f>IF($B12="",0,Team_Master!$M12)</f>
        <v/>
      </c>
      <c r="G12" s="54">
        <f>IF($B12="",0,Team_Master!$N12)</f>
        <v/>
      </c>
      <c r="H12" s="54">
        <f>IF($B12="",0,Team_Master!$O12)</f>
        <v/>
      </c>
      <c r="I12" s="102">
        <f>IFERROR(INDEX(Tracking!$X$6:$X$65,(ROW()-6)*4+1),0)</f>
        <v/>
      </c>
      <c r="J12" s="102">
        <f>IFERROR(INDEX(Tracking!$X$6:$X$65,(ROW()-6)*4+2),0)</f>
        <v/>
      </c>
      <c r="K12" s="102">
        <f>IFERROR(INDEX(Tracking!$X$6:$X$65,(ROW()-6)*4+3),0)</f>
        <v/>
      </c>
      <c r="L12" s="102">
        <f>IFERROR(INDEX(Tracking!$X$6:$X$65,(ROW()-6)*4+4),0)</f>
        <v/>
      </c>
      <c r="M12" s="100">
        <f>$H12*1/4*I12</f>
        <v/>
      </c>
      <c r="N12" s="100">
        <f>$H12*2/4*J12</f>
        <v/>
      </c>
      <c r="O12" s="100">
        <f>$H12*3/4*K12</f>
        <v/>
      </c>
      <c r="P12" s="100">
        <f>$H12*4/4*L12</f>
        <v/>
      </c>
      <c r="Q12" s="114">
        <f>IF(Parameters!$C$31="Y",M12,MAX(0,M12))</f>
        <v/>
      </c>
      <c r="R12" s="114">
        <f>IF(Parameters!$C$31="Y",N12-M12,MAX(0,N12-M12))</f>
        <v/>
      </c>
      <c r="S12" s="114">
        <f>IF(Parameters!$C$31="Y",O12-N12,MAX(0,O12-N12))</f>
        <v/>
      </c>
      <c r="T12" s="114">
        <f>IF(Parameters!$C$31="Y",P12-O12,MAX(0,P12-O12))</f>
        <v/>
      </c>
      <c r="U12" s="56">
        <f>SUM(Q12:T12)</f>
        <v/>
      </c>
      <c r="V12" s="115">
        <f>IFERROR(INDEX(Tracking!$U$6:$U$65,(ROW()-6)*4+4),0)</f>
        <v/>
      </c>
      <c r="W12" s="115">
        <f>IFERROR(INDEX(Tracking!$V$6:$V$65,(ROW()-6)*4+4),0)</f>
        <v/>
      </c>
      <c r="X12" s="116">
        <f>$I12*W12</f>
        <v/>
      </c>
      <c r="Y12" s="117">
        <f>U12+X12</f>
        <v/>
      </c>
      <c r="Z12" s="69">
        <f>IF($F12&lt;=0,0,Y12/$F12)</f>
        <v/>
      </c>
      <c r="AA12" s="118">
        <f>IF($B12="","",IF(MAX(I12:L12)&gt;=Parameters!$C$20,"Chạm trần payout – quyết toán cuối năm",IF(MAX(I12:L12)=0,"Chưa có dữ liệu","")))</f>
        <v/>
      </c>
    </row>
    <row r="13">
      <c r="B13" s="113">
        <f>IF(Team_Master!$C13="","",Team_Master!$C13)</f>
        <v/>
      </c>
      <c r="C13" s="83">
        <f>IF(Team_Master!$G13="","",Team_Master!$G13)</f>
        <v/>
      </c>
      <c r="D13" s="113">
        <f>IF(Team_Master!$E13="","",Team_Master!$E13)</f>
        <v/>
      </c>
      <c r="E13" s="113">
        <f>IF(Team_Master!$D13="","",Team_Master!$D13)</f>
        <v/>
      </c>
      <c r="F13" s="54">
        <f>IF($B13="",0,Team_Master!$M13)</f>
        <v/>
      </c>
      <c r="G13" s="54">
        <f>IF($B13="",0,Team_Master!$N13)</f>
        <v/>
      </c>
      <c r="H13" s="54">
        <f>IF($B13="",0,Team_Master!$O13)</f>
        <v/>
      </c>
      <c r="I13" s="102">
        <f>IFERROR(INDEX(Tracking!$X$6:$X$65,(ROW()-6)*4+1),0)</f>
        <v/>
      </c>
      <c r="J13" s="102">
        <f>IFERROR(INDEX(Tracking!$X$6:$X$65,(ROW()-6)*4+2),0)</f>
        <v/>
      </c>
      <c r="K13" s="102">
        <f>IFERROR(INDEX(Tracking!$X$6:$X$65,(ROW()-6)*4+3),0)</f>
        <v/>
      </c>
      <c r="L13" s="102">
        <f>IFERROR(INDEX(Tracking!$X$6:$X$65,(ROW()-6)*4+4),0)</f>
        <v/>
      </c>
      <c r="M13" s="100">
        <f>$H13*1/4*I13</f>
        <v/>
      </c>
      <c r="N13" s="100">
        <f>$H13*2/4*J13</f>
        <v/>
      </c>
      <c r="O13" s="100">
        <f>$H13*3/4*K13</f>
        <v/>
      </c>
      <c r="P13" s="100">
        <f>$H13*4/4*L13</f>
        <v/>
      </c>
      <c r="Q13" s="114">
        <f>IF(Parameters!$C$31="Y",M13,MAX(0,M13))</f>
        <v/>
      </c>
      <c r="R13" s="114">
        <f>IF(Parameters!$C$31="Y",N13-M13,MAX(0,N13-M13))</f>
        <v/>
      </c>
      <c r="S13" s="114">
        <f>IF(Parameters!$C$31="Y",O13-N13,MAX(0,O13-N13))</f>
        <v/>
      </c>
      <c r="T13" s="114">
        <f>IF(Parameters!$C$31="Y",P13-O13,MAX(0,P13-O13))</f>
        <v/>
      </c>
      <c r="U13" s="56">
        <f>SUM(Q13:T13)</f>
        <v/>
      </c>
      <c r="V13" s="115">
        <f>IFERROR(INDEX(Tracking!$U$6:$U$65,(ROW()-6)*4+4),0)</f>
        <v/>
      </c>
      <c r="W13" s="115">
        <f>IFERROR(INDEX(Tracking!$V$6:$V$65,(ROW()-6)*4+4),0)</f>
        <v/>
      </c>
      <c r="X13" s="116">
        <f>$I13*W13</f>
        <v/>
      </c>
      <c r="Y13" s="117">
        <f>U13+X13</f>
        <v/>
      </c>
      <c r="Z13" s="69">
        <f>IF($F13&lt;=0,0,Y13/$F13)</f>
        <v/>
      </c>
      <c r="AA13" s="118">
        <f>IF($B13="","",IF(MAX(I13:L13)&gt;=Parameters!$C$20,"Chạm trần payout – quyết toán cuối năm",IF(MAX(I13:L13)=0,"Chưa có dữ liệu","")))</f>
        <v/>
      </c>
    </row>
    <row r="14">
      <c r="B14" s="113">
        <f>IF(Team_Master!$C14="","",Team_Master!$C14)</f>
        <v/>
      </c>
      <c r="C14" s="83">
        <f>IF(Team_Master!$G14="","",Team_Master!$G14)</f>
        <v/>
      </c>
      <c r="D14" s="113">
        <f>IF(Team_Master!$E14="","",Team_Master!$E14)</f>
        <v/>
      </c>
      <c r="E14" s="113">
        <f>IF(Team_Master!$D14="","",Team_Master!$D14)</f>
        <v/>
      </c>
      <c r="F14" s="54">
        <f>IF($B14="",0,Team_Master!$M14)</f>
        <v/>
      </c>
      <c r="G14" s="54">
        <f>IF($B14="",0,Team_Master!$N14)</f>
        <v/>
      </c>
      <c r="H14" s="54">
        <f>IF($B14="",0,Team_Master!$O14)</f>
        <v/>
      </c>
      <c r="I14" s="102">
        <f>IFERROR(INDEX(Tracking!$X$6:$X$65,(ROW()-6)*4+1),0)</f>
        <v/>
      </c>
      <c r="J14" s="102">
        <f>IFERROR(INDEX(Tracking!$X$6:$X$65,(ROW()-6)*4+2),0)</f>
        <v/>
      </c>
      <c r="K14" s="102">
        <f>IFERROR(INDEX(Tracking!$X$6:$X$65,(ROW()-6)*4+3),0)</f>
        <v/>
      </c>
      <c r="L14" s="102">
        <f>IFERROR(INDEX(Tracking!$X$6:$X$65,(ROW()-6)*4+4),0)</f>
        <v/>
      </c>
      <c r="M14" s="100">
        <f>$H14*1/4*I14</f>
        <v/>
      </c>
      <c r="N14" s="100">
        <f>$H14*2/4*J14</f>
        <v/>
      </c>
      <c r="O14" s="100">
        <f>$H14*3/4*K14</f>
        <v/>
      </c>
      <c r="P14" s="100">
        <f>$H14*4/4*L14</f>
        <v/>
      </c>
      <c r="Q14" s="114">
        <f>IF(Parameters!$C$31="Y",M14,MAX(0,M14))</f>
        <v/>
      </c>
      <c r="R14" s="114">
        <f>IF(Parameters!$C$31="Y",N14-M14,MAX(0,N14-M14))</f>
        <v/>
      </c>
      <c r="S14" s="114">
        <f>IF(Parameters!$C$31="Y",O14-N14,MAX(0,O14-N14))</f>
        <v/>
      </c>
      <c r="T14" s="114">
        <f>IF(Parameters!$C$31="Y",P14-O14,MAX(0,P14-O14))</f>
        <v/>
      </c>
      <c r="U14" s="56">
        <f>SUM(Q14:T14)</f>
        <v/>
      </c>
      <c r="V14" s="115">
        <f>IFERROR(INDEX(Tracking!$U$6:$U$65,(ROW()-6)*4+4),0)</f>
        <v/>
      </c>
      <c r="W14" s="115">
        <f>IFERROR(INDEX(Tracking!$V$6:$V$65,(ROW()-6)*4+4),0)</f>
        <v/>
      </c>
      <c r="X14" s="116">
        <f>$I14*W14</f>
        <v/>
      </c>
      <c r="Y14" s="117">
        <f>U14+X14</f>
        <v/>
      </c>
      <c r="Z14" s="69">
        <f>IF($F14&lt;=0,0,Y14/$F14)</f>
        <v/>
      </c>
      <c r="AA14" s="118">
        <f>IF($B14="","",IF(MAX(I14:L14)&gt;=Parameters!$C$20,"Chạm trần payout – quyết toán cuối năm",IF(MAX(I14:L14)=0,"Chưa có dữ liệu","")))</f>
        <v/>
      </c>
    </row>
    <row r="15">
      <c r="B15" s="113">
        <f>IF(Team_Master!$C15="","",Team_Master!$C15)</f>
        <v/>
      </c>
      <c r="C15" s="83">
        <f>IF(Team_Master!$G15="","",Team_Master!$G15)</f>
        <v/>
      </c>
      <c r="D15" s="113">
        <f>IF(Team_Master!$E15="","",Team_Master!$E15)</f>
        <v/>
      </c>
      <c r="E15" s="113">
        <f>IF(Team_Master!$D15="","",Team_Master!$D15)</f>
        <v/>
      </c>
      <c r="F15" s="54">
        <f>IF($B15="",0,Team_Master!$M15)</f>
        <v/>
      </c>
      <c r="G15" s="54">
        <f>IF($B15="",0,Team_Master!$N15)</f>
        <v/>
      </c>
      <c r="H15" s="54">
        <f>IF($B15="",0,Team_Master!$O15)</f>
        <v/>
      </c>
      <c r="I15" s="102">
        <f>IFERROR(INDEX(Tracking!$X$6:$X$65,(ROW()-6)*4+1),0)</f>
        <v/>
      </c>
      <c r="J15" s="102">
        <f>IFERROR(INDEX(Tracking!$X$6:$X$65,(ROW()-6)*4+2),0)</f>
        <v/>
      </c>
      <c r="K15" s="102">
        <f>IFERROR(INDEX(Tracking!$X$6:$X$65,(ROW()-6)*4+3),0)</f>
        <v/>
      </c>
      <c r="L15" s="102">
        <f>IFERROR(INDEX(Tracking!$X$6:$X$65,(ROW()-6)*4+4),0)</f>
        <v/>
      </c>
      <c r="M15" s="100">
        <f>$H15*1/4*I15</f>
        <v/>
      </c>
      <c r="N15" s="100">
        <f>$H15*2/4*J15</f>
        <v/>
      </c>
      <c r="O15" s="100">
        <f>$H15*3/4*K15</f>
        <v/>
      </c>
      <c r="P15" s="100">
        <f>$H15*4/4*L15</f>
        <v/>
      </c>
      <c r="Q15" s="114">
        <f>IF(Parameters!$C$31="Y",M15,MAX(0,M15))</f>
        <v/>
      </c>
      <c r="R15" s="114">
        <f>IF(Parameters!$C$31="Y",N15-M15,MAX(0,N15-M15))</f>
        <v/>
      </c>
      <c r="S15" s="114">
        <f>IF(Parameters!$C$31="Y",O15-N15,MAX(0,O15-N15))</f>
        <v/>
      </c>
      <c r="T15" s="114">
        <f>IF(Parameters!$C$31="Y",P15-O15,MAX(0,P15-O15))</f>
        <v/>
      </c>
      <c r="U15" s="56">
        <f>SUM(Q15:T15)</f>
        <v/>
      </c>
      <c r="V15" s="115">
        <f>IFERROR(INDEX(Tracking!$U$6:$U$65,(ROW()-6)*4+4),0)</f>
        <v/>
      </c>
      <c r="W15" s="115">
        <f>IFERROR(INDEX(Tracking!$V$6:$V$65,(ROW()-6)*4+4),0)</f>
        <v/>
      </c>
      <c r="X15" s="116">
        <f>$I15*W15</f>
        <v/>
      </c>
      <c r="Y15" s="117">
        <f>U15+X15</f>
        <v/>
      </c>
      <c r="Z15" s="69">
        <f>IF($F15&lt;=0,0,Y15/$F15)</f>
        <v/>
      </c>
      <c r="AA15" s="118">
        <f>IF($B15="","",IF(MAX(I15:L15)&gt;=Parameters!$C$20,"Chạm trần payout – quyết toán cuối năm",IF(MAX(I15:L15)=0,"Chưa có dữ liệu","")))</f>
        <v/>
      </c>
    </row>
    <row r="16">
      <c r="B16" s="113">
        <f>IF(Team_Master!$C16="","",Team_Master!$C16)</f>
        <v/>
      </c>
      <c r="C16" s="83">
        <f>IF(Team_Master!$G16="","",Team_Master!$G16)</f>
        <v/>
      </c>
      <c r="D16" s="113">
        <f>IF(Team_Master!$E16="","",Team_Master!$E16)</f>
        <v/>
      </c>
      <c r="E16" s="113">
        <f>IF(Team_Master!$D16="","",Team_Master!$D16)</f>
        <v/>
      </c>
      <c r="F16" s="54">
        <f>IF($B16="",0,Team_Master!$M16)</f>
        <v/>
      </c>
      <c r="G16" s="54">
        <f>IF($B16="",0,Team_Master!$N16)</f>
        <v/>
      </c>
      <c r="H16" s="54">
        <f>IF($B16="",0,Team_Master!$O16)</f>
        <v/>
      </c>
      <c r="I16" s="102">
        <f>IFERROR(INDEX(Tracking!$X$6:$X$65,(ROW()-6)*4+1),0)</f>
        <v/>
      </c>
      <c r="J16" s="102">
        <f>IFERROR(INDEX(Tracking!$X$6:$X$65,(ROW()-6)*4+2),0)</f>
        <v/>
      </c>
      <c r="K16" s="102">
        <f>IFERROR(INDEX(Tracking!$X$6:$X$65,(ROW()-6)*4+3),0)</f>
        <v/>
      </c>
      <c r="L16" s="102">
        <f>IFERROR(INDEX(Tracking!$X$6:$X$65,(ROW()-6)*4+4),0)</f>
        <v/>
      </c>
      <c r="M16" s="100">
        <f>$H16*1/4*I16</f>
        <v/>
      </c>
      <c r="N16" s="100">
        <f>$H16*2/4*J16</f>
        <v/>
      </c>
      <c r="O16" s="100">
        <f>$H16*3/4*K16</f>
        <v/>
      </c>
      <c r="P16" s="100">
        <f>$H16*4/4*L16</f>
        <v/>
      </c>
      <c r="Q16" s="114">
        <f>IF(Parameters!$C$31="Y",M16,MAX(0,M16))</f>
        <v/>
      </c>
      <c r="R16" s="114">
        <f>IF(Parameters!$C$31="Y",N16-M16,MAX(0,N16-M16))</f>
        <v/>
      </c>
      <c r="S16" s="114">
        <f>IF(Parameters!$C$31="Y",O16-N16,MAX(0,O16-N16))</f>
        <v/>
      </c>
      <c r="T16" s="114">
        <f>IF(Parameters!$C$31="Y",P16-O16,MAX(0,P16-O16))</f>
        <v/>
      </c>
      <c r="U16" s="56">
        <f>SUM(Q16:T16)</f>
        <v/>
      </c>
      <c r="V16" s="115">
        <f>IFERROR(INDEX(Tracking!$U$6:$U$65,(ROW()-6)*4+4),0)</f>
        <v/>
      </c>
      <c r="W16" s="115">
        <f>IFERROR(INDEX(Tracking!$V$6:$V$65,(ROW()-6)*4+4),0)</f>
        <v/>
      </c>
      <c r="X16" s="116">
        <f>$I16*W16</f>
        <v/>
      </c>
      <c r="Y16" s="117">
        <f>U16+X16</f>
        <v/>
      </c>
      <c r="Z16" s="69">
        <f>IF($F16&lt;=0,0,Y16/$F16)</f>
        <v/>
      </c>
      <c r="AA16" s="118">
        <f>IF($B16="","",IF(MAX(I16:L16)&gt;=Parameters!$C$20,"Chạm trần payout – quyết toán cuối năm",IF(MAX(I16:L16)=0,"Chưa có dữ liệu","")))</f>
        <v/>
      </c>
    </row>
    <row r="17">
      <c r="B17" s="113">
        <f>IF(Team_Master!$C17="","",Team_Master!$C17)</f>
        <v/>
      </c>
      <c r="C17" s="83">
        <f>IF(Team_Master!$G17="","",Team_Master!$G17)</f>
        <v/>
      </c>
      <c r="D17" s="113">
        <f>IF(Team_Master!$E17="","",Team_Master!$E17)</f>
        <v/>
      </c>
      <c r="E17" s="113">
        <f>IF(Team_Master!$D17="","",Team_Master!$D17)</f>
        <v/>
      </c>
      <c r="F17" s="54">
        <f>IF($B17="",0,Team_Master!$M17)</f>
        <v/>
      </c>
      <c r="G17" s="54">
        <f>IF($B17="",0,Team_Master!$N17)</f>
        <v/>
      </c>
      <c r="H17" s="54">
        <f>IF($B17="",0,Team_Master!$O17)</f>
        <v/>
      </c>
      <c r="I17" s="102">
        <f>IFERROR(INDEX(Tracking!$X$6:$X$65,(ROW()-6)*4+1),0)</f>
        <v/>
      </c>
      <c r="J17" s="102">
        <f>IFERROR(INDEX(Tracking!$X$6:$X$65,(ROW()-6)*4+2),0)</f>
        <v/>
      </c>
      <c r="K17" s="102">
        <f>IFERROR(INDEX(Tracking!$X$6:$X$65,(ROW()-6)*4+3),0)</f>
        <v/>
      </c>
      <c r="L17" s="102">
        <f>IFERROR(INDEX(Tracking!$X$6:$X$65,(ROW()-6)*4+4),0)</f>
        <v/>
      </c>
      <c r="M17" s="100">
        <f>$H17*1/4*I17</f>
        <v/>
      </c>
      <c r="N17" s="100">
        <f>$H17*2/4*J17</f>
        <v/>
      </c>
      <c r="O17" s="100">
        <f>$H17*3/4*K17</f>
        <v/>
      </c>
      <c r="P17" s="100">
        <f>$H17*4/4*L17</f>
        <v/>
      </c>
      <c r="Q17" s="114">
        <f>IF(Parameters!$C$31="Y",M17,MAX(0,M17))</f>
        <v/>
      </c>
      <c r="R17" s="114">
        <f>IF(Parameters!$C$31="Y",N17-M17,MAX(0,N17-M17))</f>
        <v/>
      </c>
      <c r="S17" s="114">
        <f>IF(Parameters!$C$31="Y",O17-N17,MAX(0,O17-N17))</f>
        <v/>
      </c>
      <c r="T17" s="114">
        <f>IF(Parameters!$C$31="Y",P17-O17,MAX(0,P17-O17))</f>
        <v/>
      </c>
      <c r="U17" s="56">
        <f>SUM(Q17:T17)</f>
        <v/>
      </c>
      <c r="V17" s="115">
        <f>IFERROR(INDEX(Tracking!$U$6:$U$65,(ROW()-6)*4+4),0)</f>
        <v/>
      </c>
      <c r="W17" s="115">
        <f>IFERROR(INDEX(Tracking!$V$6:$V$65,(ROW()-6)*4+4),0)</f>
        <v/>
      </c>
      <c r="X17" s="116">
        <f>$I17*W17</f>
        <v/>
      </c>
      <c r="Y17" s="117">
        <f>U17+X17</f>
        <v/>
      </c>
      <c r="Z17" s="69">
        <f>IF($F17&lt;=0,0,Y17/$F17)</f>
        <v/>
      </c>
      <c r="AA17" s="118">
        <f>IF($B17="","",IF(MAX(I17:L17)&gt;=Parameters!$C$20,"Chạm trần payout – quyết toán cuối năm",IF(MAX(I17:L17)=0,"Chưa có dữ liệu","")))</f>
        <v/>
      </c>
    </row>
    <row r="18">
      <c r="B18" s="113">
        <f>IF(Team_Master!$C18="","",Team_Master!$C18)</f>
        <v/>
      </c>
      <c r="C18" s="83">
        <f>IF(Team_Master!$G18="","",Team_Master!$G18)</f>
        <v/>
      </c>
      <c r="D18" s="113">
        <f>IF(Team_Master!$E18="","",Team_Master!$E18)</f>
        <v/>
      </c>
      <c r="E18" s="113">
        <f>IF(Team_Master!$D18="","",Team_Master!$D18)</f>
        <v/>
      </c>
      <c r="F18" s="54">
        <f>IF($B18="",0,Team_Master!$M18)</f>
        <v/>
      </c>
      <c r="G18" s="54">
        <f>IF($B18="",0,Team_Master!$N18)</f>
        <v/>
      </c>
      <c r="H18" s="54">
        <f>IF($B18="",0,Team_Master!$O18)</f>
        <v/>
      </c>
      <c r="I18" s="102">
        <f>IFERROR(INDEX(Tracking!$X$6:$X$65,(ROW()-6)*4+1),0)</f>
        <v/>
      </c>
      <c r="J18" s="102">
        <f>IFERROR(INDEX(Tracking!$X$6:$X$65,(ROW()-6)*4+2),0)</f>
        <v/>
      </c>
      <c r="K18" s="102">
        <f>IFERROR(INDEX(Tracking!$X$6:$X$65,(ROW()-6)*4+3),0)</f>
        <v/>
      </c>
      <c r="L18" s="102">
        <f>IFERROR(INDEX(Tracking!$X$6:$X$65,(ROW()-6)*4+4),0)</f>
        <v/>
      </c>
      <c r="M18" s="100">
        <f>$H18*1/4*I18</f>
        <v/>
      </c>
      <c r="N18" s="100">
        <f>$H18*2/4*J18</f>
        <v/>
      </c>
      <c r="O18" s="100">
        <f>$H18*3/4*K18</f>
        <v/>
      </c>
      <c r="P18" s="100">
        <f>$H18*4/4*L18</f>
        <v/>
      </c>
      <c r="Q18" s="114">
        <f>IF(Parameters!$C$31="Y",M18,MAX(0,M18))</f>
        <v/>
      </c>
      <c r="R18" s="114">
        <f>IF(Parameters!$C$31="Y",N18-M18,MAX(0,N18-M18))</f>
        <v/>
      </c>
      <c r="S18" s="114">
        <f>IF(Parameters!$C$31="Y",O18-N18,MAX(0,O18-N18))</f>
        <v/>
      </c>
      <c r="T18" s="114">
        <f>IF(Parameters!$C$31="Y",P18-O18,MAX(0,P18-O18))</f>
        <v/>
      </c>
      <c r="U18" s="56">
        <f>SUM(Q18:T18)</f>
        <v/>
      </c>
      <c r="V18" s="115">
        <f>IFERROR(INDEX(Tracking!$U$6:$U$65,(ROW()-6)*4+4),0)</f>
        <v/>
      </c>
      <c r="W18" s="115">
        <f>IFERROR(INDEX(Tracking!$V$6:$V$65,(ROW()-6)*4+4),0)</f>
        <v/>
      </c>
      <c r="X18" s="116">
        <f>$I18*W18</f>
        <v/>
      </c>
      <c r="Y18" s="117">
        <f>U18+X18</f>
        <v/>
      </c>
      <c r="Z18" s="69">
        <f>IF($F18&lt;=0,0,Y18/$F18)</f>
        <v/>
      </c>
      <c r="AA18" s="118">
        <f>IF($B18="","",IF(MAX(I18:L18)&gt;=Parameters!$C$20,"Chạm trần payout – quyết toán cuối năm",IF(MAX(I18:L18)=0,"Chưa có dữ liệu","")))</f>
        <v/>
      </c>
    </row>
    <row r="19">
      <c r="B19" s="113">
        <f>IF(Team_Master!$C19="","",Team_Master!$C19)</f>
        <v/>
      </c>
      <c r="C19" s="83">
        <f>IF(Team_Master!$G19="","",Team_Master!$G19)</f>
        <v/>
      </c>
      <c r="D19" s="113">
        <f>IF(Team_Master!$E19="","",Team_Master!$E19)</f>
        <v/>
      </c>
      <c r="E19" s="113">
        <f>IF(Team_Master!$D19="","",Team_Master!$D19)</f>
        <v/>
      </c>
      <c r="F19" s="54">
        <f>IF($B19="",0,Team_Master!$M19)</f>
        <v/>
      </c>
      <c r="G19" s="54">
        <f>IF($B19="",0,Team_Master!$N19)</f>
        <v/>
      </c>
      <c r="H19" s="54">
        <f>IF($B19="",0,Team_Master!$O19)</f>
        <v/>
      </c>
      <c r="I19" s="102">
        <f>IFERROR(INDEX(Tracking!$X$6:$X$65,(ROW()-6)*4+1),0)</f>
        <v/>
      </c>
      <c r="J19" s="102">
        <f>IFERROR(INDEX(Tracking!$X$6:$X$65,(ROW()-6)*4+2),0)</f>
        <v/>
      </c>
      <c r="K19" s="102">
        <f>IFERROR(INDEX(Tracking!$X$6:$X$65,(ROW()-6)*4+3),0)</f>
        <v/>
      </c>
      <c r="L19" s="102">
        <f>IFERROR(INDEX(Tracking!$X$6:$X$65,(ROW()-6)*4+4),0)</f>
        <v/>
      </c>
      <c r="M19" s="100">
        <f>$H19*1/4*I19</f>
        <v/>
      </c>
      <c r="N19" s="100">
        <f>$H19*2/4*J19</f>
        <v/>
      </c>
      <c r="O19" s="100">
        <f>$H19*3/4*K19</f>
        <v/>
      </c>
      <c r="P19" s="100">
        <f>$H19*4/4*L19</f>
        <v/>
      </c>
      <c r="Q19" s="114">
        <f>IF(Parameters!$C$31="Y",M19,MAX(0,M19))</f>
        <v/>
      </c>
      <c r="R19" s="114">
        <f>IF(Parameters!$C$31="Y",N19-M19,MAX(0,N19-M19))</f>
        <v/>
      </c>
      <c r="S19" s="114">
        <f>IF(Parameters!$C$31="Y",O19-N19,MAX(0,O19-N19))</f>
        <v/>
      </c>
      <c r="T19" s="114">
        <f>IF(Parameters!$C$31="Y",P19-O19,MAX(0,P19-O19))</f>
        <v/>
      </c>
      <c r="U19" s="56">
        <f>SUM(Q19:T19)</f>
        <v/>
      </c>
      <c r="V19" s="115">
        <f>IFERROR(INDEX(Tracking!$U$6:$U$65,(ROW()-6)*4+4),0)</f>
        <v/>
      </c>
      <c r="W19" s="115">
        <f>IFERROR(INDEX(Tracking!$V$6:$V$65,(ROW()-6)*4+4),0)</f>
        <v/>
      </c>
      <c r="X19" s="116">
        <f>$I19*W19</f>
        <v/>
      </c>
      <c r="Y19" s="117">
        <f>U19+X19</f>
        <v/>
      </c>
      <c r="Z19" s="69">
        <f>IF($F19&lt;=0,0,Y19/$F19)</f>
        <v/>
      </c>
      <c r="AA19" s="118">
        <f>IF($B19="","",IF(MAX(I19:L19)&gt;=Parameters!$C$20,"Chạm trần payout – quyết toán cuối năm",IF(MAX(I19:L19)=0,"Chưa có dữ liệu","")))</f>
        <v/>
      </c>
    </row>
    <row r="20">
      <c r="B20" s="113">
        <f>IF(Team_Master!$C20="","",Team_Master!$C20)</f>
        <v/>
      </c>
      <c r="C20" s="83">
        <f>IF(Team_Master!$G20="","",Team_Master!$G20)</f>
        <v/>
      </c>
      <c r="D20" s="113">
        <f>IF(Team_Master!$E20="","",Team_Master!$E20)</f>
        <v/>
      </c>
      <c r="E20" s="113">
        <f>IF(Team_Master!$D20="","",Team_Master!$D20)</f>
        <v/>
      </c>
      <c r="F20" s="54">
        <f>IF($B20="",0,Team_Master!$M20)</f>
        <v/>
      </c>
      <c r="G20" s="54">
        <f>IF($B20="",0,Team_Master!$N20)</f>
        <v/>
      </c>
      <c r="H20" s="54">
        <f>IF($B20="",0,Team_Master!$O20)</f>
        <v/>
      </c>
      <c r="I20" s="102">
        <f>IFERROR(INDEX(Tracking!$X$6:$X$65,(ROW()-6)*4+1),0)</f>
        <v/>
      </c>
      <c r="J20" s="102">
        <f>IFERROR(INDEX(Tracking!$X$6:$X$65,(ROW()-6)*4+2),0)</f>
        <v/>
      </c>
      <c r="K20" s="102">
        <f>IFERROR(INDEX(Tracking!$X$6:$X$65,(ROW()-6)*4+3),0)</f>
        <v/>
      </c>
      <c r="L20" s="102">
        <f>IFERROR(INDEX(Tracking!$X$6:$X$65,(ROW()-6)*4+4),0)</f>
        <v/>
      </c>
      <c r="M20" s="100">
        <f>$H20*1/4*I20</f>
        <v/>
      </c>
      <c r="N20" s="100">
        <f>$H20*2/4*J20</f>
        <v/>
      </c>
      <c r="O20" s="100">
        <f>$H20*3/4*K20</f>
        <v/>
      </c>
      <c r="P20" s="100">
        <f>$H20*4/4*L20</f>
        <v/>
      </c>
      <c r="Q20" s="114">
        <f>IF(Parameters!$C$31="Y",M20,MAX(0,M20))</f>
        <v/>
      </c>
      <c r="R20" s="114">
        <f>IF(Parameters!$C$31="Y",N20-M20,MAX(0,N20-M20))</f>
        <v/>
      </c>
      <c r="S20" s="114">
        <f>IF(Parameters!$C$31="Y",O20-N20,MAX(0,O20-N20))</f>
        <v/>
      </c>
      <c r="T20" s="114">
        <f>IF(Parameters!$C$31="Y",P20-O20,MAX(0,P20-O20))</f>
        <v/>
      </c>
      <c r="U20" s="56">
        <f>SUM(Q20:T20)</f>
        <v/>
      </c>
      <c r="V20" s="115">
        <f>IFERROR(INDEX(Tracking!$U$6:$U$65,(ROW()-6)*4+4),0)</f>
        <v/>
      </c>
      <c r="W20" s="115">
        <f>IFERROR(INDEX(Tracking!$V$6:$V$65,(ROW()-6)*4+4),0)</f>
        <v/>
      </c>
      <c r="X20" s="116">
        <f>$I20*W20</f>
        <v/>
      </c>
      <c r="Y20" s="117">
        <f>U20+X20</f>
        <v/>
      </c>
      <c r="Z20" s="69">
        <f>IF($F20&lt;=0,0,Y20/$F20)</f>
        <v/>
      </c>
      <c r="AA20" s="118">
        <f>IF($B20="","",IF(MAX(I20:L20)&gt;=Parameters!$C$20,"Chạm trần payout – quyết toán cuối năm",IF(MAX(I20:L20)=0,"Chưa có dữ liệu","")))</f>
        <v/>
      </c>
    </row>
    <row r="21">
      <c r="E21" s="119" t="inlineStr">
        <is>
          <t>TOTAL</t>
        </is>
      </c>
      <c r="F21" s="56">
        <f>SUM(F6:F20)</f>
        <v/>
      </c>
      <c r="G21" s="56">
        <f>SUM(G6:G20)</f>
        <v/>
      </c>
      <c r="H21" s="56">
        <f>SUM(H6:H20)</f>
        <v/>
      </c>
      <c r="M21" s="56">
        <f>SUM(M6:M20)</f>
        <v/>
      </c>
      <c r="N21" s="56">
        <f>SUM(N6:N20)</f>
        <v/>
      </c>
      <c r="O21" s="56">
        <f>SUM(O6:O20)</f>
        <v/>
      </c>
      <c r="P21" s="56">
        <f>SUM(P6:P20)</f>
        <v/>
      </c>
      <c r="Q21" s="56">
        <f>SUM(Q6:Q20)</f>
        <v/>
      </c>
      <c r="R21" s="56">
        <f>SUM(R6:R20)</f>
        <v/>
      </c>
      <c r="S21" s="56">
        <f>SUM(S6:S20)</f>
        <v/>
      </c>
      <c r="T21" s="56">
        <f>SUM(T6:T20)</f>
        <v/>
      </c>
      <c r="U21" s="56">
        <f>SUM(U6:U20)</f>
        <v/>
      </c>
      <c r="X21" s="56">
        <f>SUM(X6:X20)</f>
        <v/>
      </c>
      <c r="Y21" s="56">
        <f>SUM(Y6:Y20)</f>
        <v/>
      </c>
    </row>
    <row r="23">
      <c r="B23" s="29" t="inlineStr">
        <is>
          <t>Pay Qn = Earned YTD Qn − Earned YTD Q(n−1). Quý sau tụt: mặc định trả 0, không thu hồi (đổi tại Parameters!C31). Focus KPI chỉ trả 1 lần sau khi chốt Q4.</t>
        </is>
      </c>
    </row>
  </sheetData>
  <mergeCells count="6">
    <mergeCell ref="M4:P4"/>
    <mergeCell ref="B4:H4"/>
    <mergeCell ref="I4:L4"/>
    <mergeCell ref="V4:X4"/>
    <mergeCell ref="Y4:AA4"/>
    <mergeCell ref="Q4:U4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M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14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</cols>
  <sheetData>
    <row r="2">
      <c r="B2" s="1" t="inlineStr">
        <is>
          <t>DASHBOARD – KẾT QUẢ KÊNH / CHANNEL PERFORMANCE</t>
        </is>
      </c>
    </row>
    <row r="3">
      <c r="B3" s="25" t="inlineStr">
        <is>
          <t>Kênh / Channel:</t>
        </is>
      </c>
      <c r="C3" s="120">
        <f>Parameters!C6</f>
        <v/>
      </c>
      <c r="E3" s="25" t="inlineStr">
        <is>
          <t>Kỳ báo cáo:</t>
        </is>
      </c>
      <c r="F3" s="121">
        <f>"Q"&amp;Parameters!$C$7&amp;" luỹ kế"</f>
        <v/>
      </c>
      <c r="H3" s="47" t="inlineStr">
        <is>
          <t>Đổi quý tại Parameters!C7</t>
        </is>
      </c>
    </row>
    <row r="5" ht="20" customHeight="1">
      <c r="B5" s="122" t="inlineStr">
        <is>
          <t>1. TOÀN KÊNH / CHANNEL TOTAL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20" t="n"/>
    </row>
    <row r="6">
      <c r="B6" s="28" t="inlineStr">
        <is>
          <t>KPI</t>
        </is>
      </c>
      <c r="C6" s="28" t="inlineStr">
        <is>
          <t>Đơn vị</t>
        </is>
      </c>
      <c r="D6" s="28" t="inlineStr">
        <is>
          <t>Target YTD</t>
        </is>
      </c>
      <c r="E6" s="28" t="inlineStr">
        <is>
          <t>Actual YTD</t>
        </is>
      </c>
      <c r="F6" s="28" t="inlineStr">
        <is>
          <t>Achievement %</t>
        </is>
      </c>
      <c r="G6" s="28" t="inlineStr">
        <is>
          <t>Payout factor</t>
        </is>
      </c>
      <c r="H6" s="28" t="inlineStr">
        <is>
          <t>Weight</t>
        </is>
      </c>
      <c r="I6" s="28" t="inlineStr">
        <is>
          <t>Status</t>
        </is>
      </c>
    </row>
    <row r="7">
      <c r="B7" s="123" t="inlineStr">
        <is>
          <t>Invoiced Value</t>
        </is>
      </c>
      <c r="C7" s="124" t="inlineStr">
        <is>
          <t>MVND</t>
        </is>
      </c>
      <c r="D7" s="100">
        <f>SUMIF(Tracking!$E$6:$E$65,Parameters!$C$7,Tracking!$F$6:$F$65)</f>
        <v/>
      </c>
      <c r="E7" s="100">
        <f>SUMIF(Tracking!$E$6:$E$65,Parameters!$C$7,Tracking!$G$6:$G$65)</f>
        <v/>
      </c>
      <c r="F7" s="101">
        <f>IF(D7&lt;=0,0,E7/D7)</f>
        <v/>
      </c>
      <c r="G7" s="102">
        <f>IF(D7&lt;=0,0,IF(F7&lt;Parameters!$C$15,0,IF(F7&lt;=Parameters!$C$17,Parameters!$C$16+(F7-Parameters!$C$15)/(Parameters!$C$17-Parameters!$C$15)*(Parameters!$C$18-Parameters!$C$16),MIN(Parameters!$C$20,Parameters!$C$18+(F7-Parameters!$C$17)/(Parameters!$C$19-Parameters!$C$17)*(Parameters!$C$20-Parameters!$C$18)))))</f>
        <v/>
      </c>
      <c r="H7" s="125">
        <f>KPI_Framework!$F$6</f>
        <v/>
      </c>
      <c r="I7" s="126">
        <f>IF(D7&lt;=0,"Chưa có target",IF(F7&gt;=1,"Đạt",IF(F7&gt;=0.9,"Cận đích","Chưa đạt")))</f>
        <v/>
      </c>
    </row>
    <row r="8">
      <c r="B8" s="123" t="inlineStr">
        <is>
          <t>Site check (Key account)</t>
        </is>
      </c>
      <c r="C8" s="124" t="inlineStr">
        <is>
          <t>Roadshow</t>
        </is>
      </c>
      <c r="D8" s="100">
        <f>SUMIF(Tracking!$E$6:$E$65,Parameters!$C$7,Tracking!$J$6:$J$65)</f>
        <v/>
      </c>
      <c r="E8" s="100">
        <f>SUMIF(Tracking!$E$6:$E$65,Parameters!$C$7,Tracking!$K$6:$K$65)</f>
        <v/>
      </c>
      <c r="F8" s="101">
        <f>IF(D8&lt;=0,0,E8/D8)</f>
        <v/>
      </c>
      <c r="G8" s="102">
        <f>IF(D8&lt;=0,0,IF(F8&lt;Parameters!$C$15,0,IF(F8&lt;=Parameters!$C$17,Parameters!$C$16+(F8-Parameters!$C$15)/(Parameters!$C$17-Parameters!$C$15)*(Parameters!$C$18-Parameters!$C$16),MIN(Parameters!$C$20,Parameters!$C$18+(F8-Parameters!$C$17)/(Parameters!$C$19-Parameters!$C$17)*(Parameters!$C$20-Parameters!$C$18)))))</f>
        <v/>
      </c>
      <c r="H8" s="125">
        <f>KPI_Framework!$F$7</f>
        <v/>
      </c>
      <c r="I8" s="126">
        <f>IF(D8&lt;=0,"Chưa có target",IF(F8&gt;=1,"Đạt",IF(F8&gt;=0.9,"Cận đích","Chưa đạt")))</f>
        <v/>
      </c>
    </row>
    <row r="9">
      <c r="B9" s="127" t="inlineStr">
        <is>
          <t>Spec-in Value</t>
        </is>
      </c>
      <c r="C9" s="128" t="inlineStr">
        <is>
          <t>MVND</t>
        </is>
      </c>
      <c r="D9" s="103">
        <f>SUMIF(Tracking!$E$6:$E$65,Parameters!$C$7,Tracking!$O$6:$O$65)</f>
        <v/>
      </c>
      <c r="E9" s="103">
        <f>SUMIF(Tracking!$E$6:$E$65,Parameters!$C$7,Tracking!$P$6:$P$65)</f>
        <v/>
      </c>
      <c r="F9" s="104">
        <f>IF(D9&lt;=0,0,E9/D9)</f>
        <v/>
      </c>
      <c r="G9" s="115">
        <f>IF(D9&lt;=0,0,IF(F9&lt;Parameters!$C$15,0,IF(F9&lt;=Parameters!$C$17,Parameters!$C$16+(F9-Parameters!$C$15)/(Parameters!$C$17-Parameters!$C$15)*(Parameters!$C$18-Parameters!$C$16),MIN(Parameters!$C$20,Parameters!$C$18+(F9-Parameters!$C$17)/(Parameters!$C$19-Parameters!$C$17)*(Parameters!$C$20-Parameters!$C$18)))))</f>
        <v/>
      </c>
      <c r="H9" s="129">
        <f>KPI_Framework!$F$8</f>
        <v/>
      </c>
      <c r="I9" s="130">
        <f>IF(D9&lt;=0,"Chưa có target",IF(F9&gt;=1,"Đạt",IF(F9&gt;=0.9,"Cận đích","Chưa đạt")))</f>
        <v/>
      </c>
    </row>
    <row r="10">
      <c r="B10" s="127" t="inlineStr">
        <is>
          <t>Engaged Architect</t>
        </is>
      </c>
      <c r="C10" s="128" t="inlineStr">
        <is>
          <t>D&amp;B</t>
        </is>
      </c>
      <c r="D10" s="103">
        <f>SUMIF(Tracking!$E$6:$E$65,Parameters!$C$7,Tracking!$R$6:$R$65)</f>
        <v/>
      </c>
      <c r="E10" s="103">
        <f>SUMIF(Tracking!$E$6:$E$65,Parameters!$C$7,Tracking!$S$6:$S$65)</f>
        <v/>
      </c>
      <c r="F10" s="104">
        <f>IF(D10&lt;=0,0,E10/D10)</f>
        <v/>
      </c>
      <c r="G10" s="115">
        <f>IF(D10&lt;=0,0,IF(F10&lt;Parameters!$C$15,0,IF(F10&lt;=Parameters!$C$17,Parameters!$C$16+(F10-Parameters!$C$15)/(Parameters!$C$17-Parameters!$C$15)*(Parameters!$C$18-Parameters!$C$16),MIN(Parameters!$C$20,Parameters!$C$18+(F10-Parameters!$C$17)/(Parameters!$C$19-Parameters!$C$17)*(Parameters!$C$20-Parameters!$C$18)))))</f>
        <v/>
      </c>
      <c r="H10" s="129">
        <f>KPI_Framework!$F$9</f>
        <v/>
      </c>
      <c r="I10" s="130">
        <f>IF(D10&lt;=0,"Chưa có target",IF(F10&gt;=1,"Đạt",IF(F10&gt;=0.9,"Cận đích","Chưa đạt")))</f>
        <v/>
      </c>
    </row>
    <row r="11">
      <c r="B11" s="131" t="inlineStr">
        <is>
          <t>Spec-in Design (theo dõi)</t>
        </is>
      </c>
      <c r="C11" s="132" t="inlineStr">
        <is>
          <t>Designs</t>
        </is>
      </c>
      <c r="D11" s="107">
        <f>SUMIF(Tracking!$E$6:$E$65,Parameters!$C$7,Tracking!$Z$6:$Z$65)</f>
        <v/>
      </c>
      <c r="E11" s="107">
        <f>SUMIF(Tracking!$E$6:$E$65,Parameters!$C$7,Tracking!$AA$6:$AA$65)</f>
        <v/>
      </c>
      <c r="F11" s="133">
        <f>IF(D11&lt;=0,0,E11/D11)</f>
        <v/>
      </c>
      <c r="G11" s="108">
        <f>IF(D11&lt;=0,0,IF(F11&lt;Parameters!$C$15,0,IF(F11&lt;=Parameters!$C$17,Parameters!$C$16+(F11-Parameters!$C$15)/(Parameters!$C$17-Parameters!$C$15)*(Parameters!$C$18-Parameters!$C$16),MIN(Parameters!$C$20,Parameters!$C$18+(F11-Parameters!$C$17)/(Parameters!$C$19-Parameters!$C$17)*(Parameters!$C$20-Parameters!$C$18)))))</f>
        <v/>
      </c>
      <c r="H11" s="134">
        <f>KPI_Framework!$F$10</f>
        <v/>
      </c>
      <c r="I11" s="135">
        <f>IF(D11&lt;=0,"Chưa có target",IF(F11&gt;=1,"Đạt",IF(F11&gt;=0.9,"Cận đích","Chưa đạt")))</f>
        <v/>
      </c>
    </row>
    <row r="12">
      <c r="B12" s="136" t="inlineStr">
        <is>
          <t>Blended payout factor</t>
        </is>
      </c>
      <c r="G12" s="137">
        <f>IFERROR(SUMPRODUCT(G7:G11,H7:H11)/SUM(H7:H11),0)</f>
        <v/>
      </c>
      <c r="H12" s="138">
        <f>SUM(H7:H11)</f>
        <v/>
      </c>
      <c r="I12" s="30" t="inlineStr">
        <is>
          <t>Tổng weight (phải = 100%)</t>
        </is>
      </c>
    </row>
    <row r="14" ht="20" customHeight="1">
      <c r="B14" s="122" t="inlineStr">
        <is>
          <t>2. THEO REGION / BY REGION (luỹ kế đến quý báo cáo)</t>
        </is>
      </c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20" t="n"/>
    </row>
    <row r="15" ht="34" customHeight="1">
      <c r="B15" s="28" t="inlineStr">
        <is>
          <t>Region</t>
        </is>
      </c>
      <c r="C15" s="28" t="inlineStr">
        <is>
          <t>Headcount</t>
        </is>
      </c>
      <c r="D15" s="28" t="inlineStr">
        <is>
          <t>Invoiced Target</t>
        </is>
      </c>
      <c r="E15" s="28" t="inlineStr">
        <is>
          <t>Invoiced Actual</t>
        </is>
      </c>
      <c r="F15" s="28" t="inlineStr">
        <is>
          <t>Invoiced Ach %</t>
        </is>
      </c>
      <c r="G15" s="28" t="inlineStr">
        <is>
          <t>Site check Ach %</t>
        </is>
      </c>
      <c r="H15" s="28" t="inlineStr">
        <is>
          <t>Lead factor (avg)</t>
        </is>
      </c>
      <c r="I15" s="28" t="inlineStr">
        <is>
          <t>Focus Ach (avg)</t>
        </is>
      </c>
      <c r="J15" s="28" t="inlineStr">
        <is>
          <t>Gate (avg)</t>
        </is>
      </c>
      <c r="K15" s="28" t="inlineStr">
        <is>
          <t>Net Lead factor (avg)</t>
        </is>
      </c>
      <c r="L15" s="28" t="inlineStr">
        <is>
          <t>Est. FY payout</t>
        </is>
      </c>
      <c r="M15" s="28" t="inlineStr">
        <is>
          <t>% of pot</t>
        </is>
      </c>
    </row>
    <row r="16">
      <c r="B16" s="139">
        <f>Parameters!$B$33</f>
        <v/>
      </c>
      <c r="C16" s="140">
        <f>IF($B16="",0,COUNTIFS(Tracking!$C$6:$C$65,$B16,Tracking!$E$6:$E$65,Parameters!$C$7))</f>
        <v/>
      </c>
      <c r="D16" s="53">
        <f>IF($B16="",0,SUMIFS(Tracking!$F$6:$F$65,Tracking!$C$6:$C$65,$B16,Tracking!$E$6:$E$65,Parameters!$C$7))</f>
        <v/>
      </c>
      <c r="E16" s="53">
        <f>IF($B16="",0,SUMIFS(Tracking!$G$6:$G$65,Tracking!$C$6:$C$65,$B16,Tracking!$E$6:$E$65,Parameters!$C$7))</f>
        <v/>
      </c>
      <c r="F16" s="141">
        <f>IF(D16&lt;=0,0,E16/D16)</f>
        <v/>
      </c>
      <c r="G16" s="142">
        <f>IF($B16="",0,IFERROR(SUMIFS(Tracking!$K$6:$K$65,Tracking!$C$6:$C$65,$B16,Tracking!$E$6:$E$65,Parameters!$C$7)/SUMIFS(Tracking!$J$6:$J$65,Tracking!$C$6:$C$65,$B16,Tracking!$E$6:$E$65,Parameters!$C$7),0))</f>
        <v/>
      </c>
      <c r="H16" s="142">
        <f>IF($B16="",0,IFERROR(AVERAGEIFS(Tracking!$N$6:$N$65,Tracking!$C$6:$C$65,$B16,Tracking!$E$6:$E$65,Parameters!$C$7),0))</f>
        <v/>
      </c>
      <c r="I16" s="142">
        <f>IF($B16="",0,IFERROR(AVERAGEIFS(Tracking!$U$6:$U$65,Tracking!$C$6:$C$65,$B16,Tracking!$E$6:$E$65,Parameters!$C$7),0))</f>
        <v/>
      </c>
      <c r="J16" s="143">
        <f>IF($B16="",0,IFERROR(AVERAGEIFS(Tracking!$W$6:$W$65,Tracking!$C$6:$C$65,$B16,Tracking!$E$6:$E$65,Parameters!$C$7),0))</f>
        <v/>
      </c>
      <c r="K16" s="141">
        <f>IF($B16="",0,IFERROR(AVERAGEIFS(Tracking!$X$6:$X$65,Tracking!$C$6:$C$65,$B16,Tracking!$E$6:$E$65,Parameters!$C$7),0))</f>
        <v/>
      </c>
      <c r="L16" s="53">
        <f>IF($B16="",0,SUMIF(Incentive_Calc!$D$6:$D$20,$B16,Incentive_Calc!$Y$6:$Y$20))</f>
        <v/>
      </c>
      <c r="M16" s="142">
        <f>IF($B16="",0,IFERROR(L16/SUMIF(Incentive_Calc!$D$6:$D$20,$B16,Incentive_Calc!$F$6:$F$20),0))</f>
        <v/>
      </c>
    </row>
    <row r="17">
      <c r="B17" s="139">
        <f>Parameters!$B$34</f>
        <v/>
      </c>
      <c r="C17" s="140">
        <f>IF($B17="",0,COUNTIFS(Tracking!$C$6:$C$65,$B17,Tracking!$E$6:$E$65,Parameters!$C$7))</f>
        <v/>
      </c>
      <c r="D17" s="53">
        <f>IF($B17="",0,SUMIFS(Tracking!$F$6:$F$65,Tracking!$C$6:$C$65,$B17,Tracking!$E$6:$E$65,Parameters!$C$7))</f>
        <v/>
      </c>
      <c r="E17" s="53">
        <f>IF($B17="",0,SUMIFS(Tracking!$G$6:$G$65,Tracking!$C$6:$C$65,$B17,Tracking!$E$6:$E$65,Parameters!$C$7))</f>
        <v/>
      </c>
      <c r="F17" s="141">
        <f>IF(D17&lt;=0,0,E17/D17)</f>
        <v/>
      </c>
      <c r="G17" s="142">
        <f>IF($B17="",0,IFERROR(SUMIFS(Tracking!$K$6:$K$65,Tracking!$C$6:$C$65,$B17,Tracking!$E$6:$E$65,Parameters!$C$7)/SUMIFS(Tracking!$J$6:$J$65,Tracking!$C$6:$C$65,$B17,Tracking!$E$6:$E$65,Parameters!$C$7),0))</f>
        <v/>
      </c>
      <c r="H17" s="142">
        <f>IF($B17="",0,IFERROR(AVERAGEIFS(Tracking!$N$6:$N$65,Tracking!$C$6:$C$65,$B17,Tracking!$E$6:$E$65,Parameters!$C$7),0))</f>
        <v/>
      </c>
      <c r="I17" s="142">
        <f>IF($B17="",0,IFERROR(AVERAGEIFS(Tracking!$U$6:$U$65,Tracking!$C$6:$C$65,$B17,Tracking!$E$6:$E$65,Parameters!$C$7),0))</f>
        <v/>
      </c>
      <c r="J17" s="143">
        <f>IF($B17="",0,IFERROR(AVERAGEIFS(Tracking!$W$6:$W$65,Tracking!$C$6:$C$65,$B17,Tracking!$E$6:$E$65,Parameters!$C$7),0))</f>
        <v/>
      </c>
      <c r="K17" s="141">
        <f>IF($B17="",0,IFERROR(AVERAGEIFS(Tracking!$X$6:$X$65,Tracking!$C$6:$C$65,$B17,Tracking!$E$6:$E$65,Parameters!$C$7),0))</f>
        <v/>
      </c>
      <c r="L17" s="53">
        <f>IF($B17="",0,SUMIF(Incentive_Calc!$D$6:$D$20,$B17,Incentive_Calc!$Y$6:$Y$20))</f>
        <v/>
      </c>
      <c r="M17" s="142">
        <f>IF($B17="",0,IFERROR(L17/SUMIF(Incentive_Calc!$D$6:$D$20,$B17,Incentive_Calc!$F$6:$F$20),0))</f>
        <v/>
      </c>
    </row>
    <row r="18">
      <c r="B18" s="139">
        <f>Parameters!$B$35</f>
        <v/>
      </c>
      <c r="C18" s="140">
        <f>IF($B18="",0,COUNTIFS(Tracking!$C$6:$C$65,$B18,Tracking!$E$6:$E$65,Parameters!$C$7))</f>
        <v/>
      </c>
      <c r="D18" s="53">
        <f>IF($B18="",0,SUMIFS(Tracking!$F$6:$F$65,Tracking!$C$6:$C$65,$B18,Tracking!$E$6:$E$65,Parameters!$C$7))</f>
        <v/>
      </c>
      <c r="E18" s="53">
        <f>IF($B18="",0,SUMIFS(Tracking!$G$6:$G$65,Tracking!$C$6:$C$65,$B18,Tracking!$E$6:$E$65,Parameters!$C$7))</f>
        <v/>
      </c>
      <c r="F18" s="141">
        <f>IF(D18&lt;=0,0,E18/D18)</f>
        <v/>
      </c>
      <c r="G18" s="142">
        <f>IF($B18="",0,IFERROR(SUMIFS(Tracking!$K$6:$K$65,Tracking!$C$6:$C$65,$B18,Tracking!$E$6:$E$65,Parameters!$C$7)/SUMIFS(Tracking!$J$6:$J$65,Tracking!$C$6:$C$65,$B18,Tracking!$E$6:$E$65,Parameters!$C$7),0))</f>
        <v/>
      </c>
      <c r="H18" s="142">
        <f>IF($B18="",0,IFERROR(AVERAGEIFS(Tracking!$N$6:$N$65,Tracking!$C$6:$C$65,$B18,Tracking!$E$6:$E$65,Parameters!$C$7),0))</f>
        <v/>
      </c>
      <c r="I18" s="142">
        <f>IF($B18="",0,IFERROR(AVERAGEIFS(Tracking!$U$6:$U$65,Tracking!$C$6:$C$65,$B18,Tracking!$E$6:$E$65,Parameters!$C$7),0))</f>
        <v/>
      </c>
      <c r="J18" s="143">
        <f>IF($B18="",0,IFERROR(AVERAGEIFS(Tracking!$W$6:$W$65,Tracking!$C$6:$C$65,$B18,Tracking!$E$6:$E$65,Parameters!$C$7),0))</f>
        <v/>
      </c>
      <c r="K18" s="141">
        <f>IF($B18="",0,IFERROR(AVERAGEIFS(Tracking!$X$6:$X$65,Tracking!$C$6:$C$65,$B18,Tracking!$E$6:$E$65,Parameters!$C$7),0))</f>
        <v/>
      </c>
      <c r="L18" s="53">
        <f>IF($B18="",0,SUMIF(Incentive_Calc!$D$6:$D$20,$B18,Incentive_Calc!$Y$6:$Y$20))</f>
        <v/>
      </c>
      <c r="M18" s="142">
        <f>IF($B18="",0,IFERROR(L18/SUMIF(Incentive_Calc!$D$6:$D$20,$B18,Incentive_Calc!$F$6:$F$20),0))</f>
        <v/>
      </c>
    </row>
    <row r="19">
      <c r="B19" s="139">
        <f>Parameters!$B$36</f>
        <v/>
      </c>
      <c r="C19" s="140">
        <f>IF($B19="",0,COUNTIFS(Tracking!$C$6:$C$65,$B19,Tracking!$E$6:$E$65,Parameters!$C$7))</f>
        <v/>
      </c>
      <c r="D19" s="53">
        <f>IF($B19="",0,SUMIFS(Tracking!$F$6:$F$65,Tracking!$C$6:$C$65,$B19,Tracking!$E$6:$E$65,Parameters!$C$7))</f>
        <v/>
      </c>
      <c r="E19" s="53">
        <f>IF($B19="",0,SUMIFS(Tracking!$G$6:$G$65,Tracking!$C$6:$C$65,$B19,Tracking!$E$6:$E$65,Parameters!$C$7))</f>
        <v/>
      </c>
      <c r="F19" s="141">
        <f>IF(D19&lt;=0,0,E19/D19)</f>
        <v/>
      </c>
      <c r="G19" s="142">
        <f>IF($B19="",0,IFERROR(SUMIFS(Tracking!$K$6:$K$65,Tracking!$C$6:$C$65,$B19,Tracking!$E$6:$E$65,Parameters!$C$7)/SUMIFS(Tracking!$J$6:$J$65,Tracking!$C$6:$C$65,$B19,Tracking!$E$6:$E$65,Parameters!$C$7),0))</f>
        <v/>
      </c>
      <c r="H19" s="142">
        <f>IF($B19="",0,IFERROR(AVERAGEIFS(Tracking!$N$6:$N$65,Tracking!$C$6:$C$65,$B19,Tracking!$E$6:$E$65,Parameters!$C$7),0))</f>
        <v/>
      </c>
      <c r="I19" s="142">
        <f>IF($B19="",0,IFERROR(AVERAGEIFS(Tracking!$U$6:$U$65,Tracking!$C$6:$C$65,$B19,Tracking!$E$6:$E$65,Parameters!$C$7),0))</f>
        <v/>
      </c>
      <c r="J19" s="143">
        <f>IF($B19="",0,IFERROR(AVERAGEIFS(Tracking!$W$6:$W$65,Tracking!$C$6:$C$65,$B19,Tracking!$E$6:$E$65,Parameters!$C$7),0))</f>
        <v/>
      </c>
      <c r="K19" s="141">
        <f>IF($B19="",0,IFERROR(AVERAGEIFS(Tracking!$X$6:$X$65,Tracking!$C$6:$C$65,$B19,Tracking!$E$6:$E$65,Parameters!$C$7),0))</f>
        <v/>
      </c>
      <c r="L19" s="53">
        <f>IF($B19="",0,SUMIF(Incentive_Calc!$D$6:$D$20,$B19,Incentive_Calc!$Y$6:$Y$20))</f>
        <v/>
      </c>
      <c r="M19" s="142">
        <f>IF($B19="",0,IFERROR(L19/SUMIF(Incentive_Calc!$D$6:$D$20,$B19,Incentive_Calc!$F$6:$F$20),0))</f>
        <v/>
      </c>
    </row>
    <row r="20">
      <c r="B20" s="139">
        <f>Parameters!$B$37</f>
        <v/>
      </c>
      <c r="C20" s="140">
        <f>IF($B20="",0,COUNTIFS(Tracking!$C$6:$C$65,$B20,Tracking!$E$6:$E$65,Parameters!$C$7))</f>
        <v/>
      </c>
      <c r="D20" s="53">
        <f>IF($B20="",0,SUMIFS(Tracking!$F$6:$F$65,Tracking!$C$6:$C$65,$B20,Tracking!$E$6:$E$65,Parameters!$C$7))</f>
        <v/>
      </c>
      <c r="E20" s="53">
        <f>IF($B20="",0,SUMIFS(Tracking!$G$6:$G$65,Tracking!$C$6:$C$65,$B20,Tracking!$E$6:$E$65,Parameters!$C$7))</f>
        <v/>
      </c>
      <c r="F20" s="141">
        <f>IF(D20&lt;=0,0,E20/D20)</f>
        <v/>
      </c>
      <c r="G20" s="142">
        <f>IF($B20="",0,IFERROR(SUMIFS(Tracking!$K$6:$K$65,Tracking!$C$6:$C$65,$B20,Tracking!$E$6:$E$65,Parameters!$C$7)/SUMIFS(Tracking!$J$6:$J$65,Tracking!$C$6:$C$65,$B20,Tracking!$E$6:$E$65,Parameters!$C$7),0))</f>
        <v/>
      </c>
      <c r="H20" s="142">
        <f>IF($B20="",0,IFERROR(AVERAGEIFS(Tracking!$N$6:$N$65,Tracking!$C$6:$C$65,$B20,Tracking!$E$6:$E$65,Parameters!$C$7),0))</f>
        <v/>
      </c>
      <c r="I20" s="142">
        <f>IF($B20="",0,IFERROR(AVERAGEIFS(Tracking!$U$6:$U$65,Tracking!$C$6:$C$65,$B20,Tracking!$E$6:$E$65,Parameters!$C$7),0))</f>
        <v/>
      </c>
      <c r="J20" s="143">
        <f>IF($B20="",0,IFERROR(AVERAGEIFS(Tracking!$W$6:$W$65,Tracking!$C$6:$C$65,$B20,Tracking!$E$6:$E$65,Parameters!$C$7),0))</f>
        <v/>
      </c>
      <c r="K20" s="141">
        <f>IF($B20="",0,IFERROR(AVERAGEIFS(Tracking!$X$6:$X$65,Tracking!$C$6:$C$65,$B20,Tracking!$E$6:$E$65,Parameters!$C$7),0))</f>
        <v/>
      </c>
      <c r="L20" s="53">
        <f>IF($B20="",0,SUMIF(Incentive_Calc!$D$6:$D$20,$B20,Incentive_Calc!$Y$6:$Y$20))</f>
        <v/>
      </c>
      <c r="M20" s="142">
        <f>IF($B20="",0,IFERROR(L20/SUMIF(Incentive_Calc!$D$6:$D$20,$B20,Incentive_Calc!$F$6:$F$20),0))</f>
        <v/>
      </c>
    </row>
    <row r="21">
      <c r="B21" s="139">
        <f>Parameters!$B$38</f>
        <v/>
      </c>
      <c r="C21" s="140">
        <f>IF($B21="",0,COUNTIFS(Tracking!$C$6:$C$65,$B21,Tracking!$E$6:$E$65,Parameters!$C$7))</f>
        <v/>
      </c>
      <c r="D21" s="53">
        <f>IF($B21="",0,SUMIFS(Tracking!$F$6:$F$65,Tracking!$C$6:$C$65,$B21,Tracking!$E$6:$E$65,Parameters!$C$7))</f>
        <v/>
      </c>
      <c r="E21" s="53">
        <f>IF($B21="",0,SUMIFS(Tracking!$G$6:$G$65,Tracking!$C$6:$C$65,$B21,Tracking!$E$6:$E$65,Parameters!$C$7))</f>
        <v/>
      </c>
      <c r="F21" s="141">
        <f>IF(D21&lt;=0,0,E21/D21)</f>
        <v/>
      </c>
      <c r="G21" s="142">
        <f>IF($B21="",0,IFERROR(SUMIFS(Tracking!$K$6:$K$65,Tracking!$C$6:$C$65,$B21,Tracking!$E$6:$E$65,Parameters!$C$7)/SUMIFS(Tracking!$J$6:$J$65,Tracking!$C$6:$C$65,$B21,Tracking!$E$6:$E$65,Parameters!$C$7),0))</f>
        <v/>
      </c>
      <c r="H21" s="142">
        <f>IF($B21="",0,IFERROR(AVERAGEIFS(Tracking!$N$6:$N$65,Tracking!$C$6:$C$65,$B21,Tracking!$E$6:$E$65,Parameters!$C$7),0))</f>
        <v/>
      </c>
      <c r="I21" s="142">
        <f>IF($B21="",0,IFERROR(AVERAGEIFS(Tracking!$U$6:$U$65,Tracking!$C$6:$C$65,$B21,Tracking!$E$6:$E$65,Parameters!$C$7),0))</f>
        <v/>
      </c>
      <c r="J21" s="143">
        <f>IF($B21="",0,IFERROR(AVERAGEIFS(Tracking!$W$6:$W$65,Tracking!$C$6:$C$65,$B21,Tracking!$E$6:$E$65,Parameters!$C$7),0))</f>
        <v/>
      </c>
      <c r="K21" s="141">
        <f>IF($B21="",0,IFERROR(AVERAGEIFS(Tracking!$X$6:$X$65,Tracking!$C$6:$C$65,$B21,Tracking!$E$6:$E$65,Parameters!$C$7),0))</f>
        <v/>
      </c>
      <c r="L21" s="53">
        <f>IF($B21="",0,SUMIF(Incentive_Calc!$D$6:$D$20,$B21,Incentive_Calc!$Y$6:$Y$20))</f>
        <v/>
      </c>
      <c r="M21" s="142">
        <f>IF($B21="",0,IFERROR(L21/SUMIF(Incentive_Calc!$D$6:$D$20,$B21,Incentive_Calc!$F$6:$F$20),0))</f>
        <v/>
      </c>
    </row>
    <row r="22">
      <c r="B22" s="139">
        <f>Parameters!$B$39</f>
        <v/>
      </c>
      <c r="C22" s="140">
        <f>IF($B22="",0,COUNTIFS(Tracking!$C$6:$C$65,$B22,Tracking!$E$6:$E$65,Parameters!$C$7))</f>
        <v/>
      </c>
      <c r="D22" s="53">
        <f>IF($B22="",0,SUMIFS(Tracking!$F$6:$F$65,Tracking!$C$6:$C$65,$B22,Tracking!$E$6:$E$65,Parameters!$C$7))</f>
        <v/>
      </c>
      <c r="E22" s="53">
        <f>IF($B22="",0,SUMIFS(Tracking!$G$6:$G$65,Tracking!$C$6:$C$65,$B22,Tracking!$E$6:$E$65,Parameters!$C$7))</f>
        <v/>
      </c>
      <c r="F22" s="141">
        <f>IF(D22&lt;=0,0,E22/D22)</f>
        <v/>
      </c>
      <c r="G22" s="142">
        <f>IF($B22="",0,IFERROR(SUMIFS(Tracking!$K$6:$K$65,Tracking!$C$6:$C$65,$B22,Tracking!$E$6:$E$65,Parameters!$C$7)/SUMIFS(Tracking!$J$6:$J$65,Tracking!$C$6:$C$65,$B22,Tracking!$E$6:$E$65,Parameters!$C$7),0))</f>
        <v/>
      </c>
      <c r="H22" s="142">
        <f>IF($B22="",0,IFERROR(AVERAGEIFS(Tracking!$N$6:$N$65,Tracking!$C$6:$C$65,$B22,Tracking!$E$6:$E$65,Parameters!$C$7),0))</f>
        <v/>
      </c>
      <c r="I22" s="142">
        <f>IF($B22="",0,IFERROR(AVERAGEIFS(Tracking!$U$6:$U$65,Tracking!$C$6:$C$65,$B22,Tracking!$E$6:$E$65,Parameters!$C$7),0))</f>
        <v/>
      </c>
      <c r="J22" s="143">
        <f>IF($B22="",0,IFERROR(AVERAGEIFS(Tracking!$W$6:$W$65,Tracking!$C$6:$C$65,$B22,Tracking!$E$6:$E$65,Parameters!$C$7),0))</f>
        <v/>
      </c>
      <c r="K22" s="141">
        <f>IF($B22="",0,IFERROR(AVERAGEIFS(Tracking!$X$6:$X$65,Tracking!$C$6:$C$65,$B22,Tracking!$E$6:$E$65,Parameters!$C$7),0))</f>
        <v/>
      </c>
      <c r="L22" s="53">
        <f>IF($B22="",0,SUMIF(Incentive_Calc!$D$6:$D$20,$B22,Incentive_Calc!$Y$6:$Y$20))</f>
        <v/>
      </c>
      <c r="M22" s="142">
        <f>IF($B22="",0,IFERROR(L22/SUMIF(Incentive_Calc!$D$6:$D$20,$B22,Incentive_Calc!$F$6:$F$20),0))</f>
        <v/>
      </c>
    </row>
    <row r="23">
      <c r="B23" s="139">
        <f>Parameters!$B$40</f>
        <v/>
      </c>
      <c r="C23" s="140">
        <f>IF($B23="",0,COUNTIFS(Tracking!$C$6:$C$65,$B23,Tracking!$E$6:$E$65,Parameters!$C$7))</f>
        <v/>
      </c>
      <c r="D23" s="53">
        <f>IF($B23="",0,SUMIFS(Tracking!$F$6:$F$65,Tracking!$C$6:$C$65,$B23,Tracking!$E$6:$E$65,Parameters!$C$7))</f>
        <v/>
      </c>
      <c r="E23" s="53">
        <f>IF($B23="",0,SUMIFS(Tracking!$G$6:$G$65,Tracking!$C$6:$C$65,$B23,Tracking!$E$6:$E$65,Parameters!$C$7))</f>
        <v/>
      </c>
      <c r="F23" s="141">
        <f>IF(D23&lt;=0,0,E23/D23)</f>
        <v/>
      </c>
      <c r="G23" s="142">
        <f>IF($B23="",0,IFERROR(SUMIFS(Tracking!$K$6:$K$65,Tracking!$C$6:$C$65,$B23,Tracking!$E$6:$E$65,Parameters!$C$7)/SUMIFS(Tracking!$J$6:$J$65,Tracking!$C$6:$C$65,$B23,Tracking!$E$6:$E$65,Parameters!$C$7),0))</f>
        <v/>
      </c>
      <c r="H23" s="142">
        <f>IF($B23="",0,IFERROR(AVERAGEIFS(Tracking!$N$6:$N$65,Tracking!$C$6:$C$65,$B23,Tracking!$E$6:$E$65,Parameters!$C$7),0))</f>
        <v/>
      </c>
      <c r="I23" s="142">
        <f>IF($B23="",0,IFERROR(AVERAGEIFS(Tracking!$U$6:$U$65,Tracking!$C$6:$C$65,$B23,Tracking!$E$6:$E$65,Parameters!$C$7),0))</f>
        <v/>
      </c>
      <c r="J23" s="143">
        <f>IF($B23="",0,IFERROR(AVERAGEIFS(Tracking!$W$6:$W$65,Tracking!$C$6:$C$65,$B23,Tracking!$E$6:$E$65,Parameters!$C$7),0))</f>
        <v/>
      </c>
      <c r="K23" s="141">
        <f>IF($B23="",0,IFERROR(AVERAGEIFS(Tracking!$X$6:$X$65,Tracking!$C$6:$C$65,$B23,Tracking!$E$6:$E$65,Parameters!$C$7),0))</f>
        <v/>
      </c>
      <c r="L23" s="53">
        <f>IF($B23="",0,SUMIF(Incentive_Calc!$D$6:$D$20,$B23,Incentive_Calc!$Y$6:$Y$20))</f>
        <v/>
      </c>
      <c r="M23" s="142">
        <f>IF($B23="",0,IFERROR(L23/SUMIF(Incentive_Calc!$D$6:$D$20,$B23,Incentive_Calc!$F$6:$F$20),0))</f>
        <v/>
      </c>
    </row>
    <row r="24">
      <c r="B24" s="136" t="inlineStr">
        <is>
          <t>TOTAL</t>
        </is>
      </c>
      <c r="C24" s="144">
        <f>SUM(C16:C23)</f>
        <v/>
      </c>
      <c r="D24" s="56">
        <f>SUM(D16:D23)</f>
        <v/>
      </c>
      <c r="E24" s="56">
        <f>SUM(E16:E23)</f>
        <v/>
      </c>
      <c r="F24" s="69">
        <f>IF(D24&lt;=0,0,E24/D24)</f>
        <v/>
      </c>
      <c r="L24" s="56">
        <f>SUM(L16:L23)</f>
        <v/>
      </c>
    </row>
    <row r="26" ht="20" customHeight="1">
      <c r="B26" s="122" t="inlineStr">
        <is>
          <t>3. THEO TỪNG NGƯỜI / BY SALES PERSON (luỹ kế đến quý báo cáo)</t>
        </is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20" t="n"/>
    </row>
    <row r="27" ht="34" customHeight="1">
      <c r="B27" s="28" t="inlineStr">
        <is>
          <t>Rank</t>
        </is>
      </c>
      <c r="C27" s="28" t="inlineStr">
        <is>
          <t>Emp Code</t>
        </is>
      </c>
      <c r="D27" s="28" t="inlineStr">
        <is>
          <t>Name</t>
        </is>
      </c>
      <c r="E27" s="28" t="inlineStr">
        <is>
          <t>Region</t>
        </is>
      </c>
      <c r="F27" s="28" t="inlineStr">
        <is>
          <t>Invoiced Ach %</t>
        </is>
      </c>
      <c r="G27" s="28" t="inlineStr">
        <is>
          <t>Site check Ach %</t>
        </is>
      </c>
      <c r="H27" s="28" t="inlineStr">
        <is>
          <t>Lead factor</t>
        </is>
      </c>
      <c r="I27" s="28" t="inlineStr">
        <is>
          <t>Focus Ach %</t>
        </is>
      </c>
      <c r="J27" s="28" t="inlineStr">
        <is>
          <t>Gate %</t>
        </is>
      </c>
      <c r="K27" s="28" t="inlineStr">
        <is>
          <t>Net Lead factor</t>
        </is>
      </c>
      <c r="L27" s="28" t="inlineStr">
        <is>
          <t>Status</t>
        </is>
      </c>
      <c r="M27" s="28" t="inlineStr">
        <is>
          <t>TOTAL FY payout</t>
        </is>
      </c>
    </row>
    <row r="28">
      <c r="B28" s="140">
        <f>IF($C28="","",RANK(K28,$K$28:$K$42,0))</f>
        <v/>
      </c>
      <c r="C28" s="113">
        <f>IFERROR(INDEX(Tracking!$A$6:$A$65,(ROW()-28)*4+Parameters!$C$7),"")</f>
        <v/>
      </c>
      <c r="D28" s="83">
        <f>IFERROR(INDEX(Tracking!$B$6:$B$65,(ROW()-28)*4+Parameters!$C$7),"")</f>
        <v/>
      </c>
      <c r="E28" s="113">
        <f>IFERROR(INDEX(Tracking!$C$6:$C$65,(ROW()-28)*4+Parameters!$C$7),"")</f>
        <v/>
      </c>
      <c r="F28" s="102">
        <f>IFERROR(INDEX(Tracking!$H$6:$H$65,(ROW()-28)*4+Parameters!$C$7),"")</f>
        <v/>
      </c>
      <c r="G28" s="102">
        <f>IFERROR(INDEX(Tracking!$L$6:$L$65,(ROW()-28)*4+Parameters!$C$7),"")</f>
        <v/>
      </c>
      <c r="H28" s="101">
        <f>IFERROR(INDEX(Tracking!$N$6:$N$65,(ROW()-28)*4+Parameters!$C$7),"")</f>
        <v/>
      </c>
      <c r="I28" s="115">
        <f>IFERROR(INDEX(Tracking!$U$6:$U$65,(ROW()-28)*4+Parameters!$C$7),"")</f>
        <v/>
      </c>
      <c r="J28" s="129">
        <f>IFERROR(INDEX(Tracking!$W$6:$W$65,(ROW()-28)*4+Parameters!$C$7),"")</f>
        <v/>
      </c>
      <c r="K28" s="69">
        <f>IFERROR(INDEX(Tracking!$X$6:$X$65,(ROW()-28)*4+Parameters!$C$7),"")</f>
        <v/>
      </c>
      <c r="L28" s="145">
        <f>IFERROR(INDEX(Tracking!$Y$6:$Y$65,(ROW()-28)*4+Parameters!$C$7),"")</f>
        <v/>
      </c>
      <c r="M28" s="146">
        <f>IF($C28="","",IFERROR(INDEX(Incentive_Calc!$Y$6:$Y$20,ROW()-28+1),""))</f>
        <v/>
      </c>
    </row>
    <row r="29">
      <c r="B29" s="140">
        <f>IF($C29="","",RANK(K29,$K$28:$K$42,0))</f>
        <v/>
      </c>
      <c r="C29" s="113">
        <f>IFERROR(INDEX(Tracking!$A$6:$A$65,(ROW()-28)*4+Parameters!$C$7),"")</f>
        <v/>
      </c>
      <c r="D29" s="83">
        <f>IFERROR(INDEX(Tracking!$B$6:$B$65,(ROW()-28)*4+Parameters!$C$7),"")</f>
        <v/>
      </c>
      <c r="E29" s="113">
        <f>IFERROR(INDEX(Tracking!$C$6:$C$65,(ROW()-28)*4+Parameters!$C$7),"")</f>
        <v/>
      </c>
      <c r="F29" s="102">
        <f>IFERROR(INDEX(Tracking!$H$6:$H$65,(ROW()-28)*4+Parameters!$C$7),"")</f>
        <v/>
      </c>
      <c r="G29" s="102">
        <f>IFERROR(INDEX(Tracking!$L$6:$L$65,(ROW()-28)*4+Parameters!$C$7),"")</f>
        <v/>
      </c>
      <c r="H29" s="101">
        <f>IFERROR(INDEX(Tracking!$N$6:$N$65,(ROW()-28)*4+Parameters!$C$7),"")</f>
        <v/>
      </c>
      <c r="I29" s="115">
        <f>IFERROR(INDEX(Tracking!$U$6:$U$65,(ROW()-28)*4+Parameters!$C$7),"")</f>
        <v/>
      </c>
      <c r="J29" s="129">
        <f>IFERROR(INDEX(Tracking!$W$6:$W$65,(ROW()-28)*4+Parameters!$C$7),"")</f>
        <v/>
      </c>
      <c r="K29" s="69">
        <f>IFERROR(INDEX(Tracking!$X$6:$X$65,(ROW()-28)*4+Parameters!$C$7),"")</f>
        <v/>
      </c>
      <c r="L29" s="145">
        <f>IFERROR(INDEX(Tracking!$Y$6:$Y$65,(ROW()-28)*4+Parameters!$C$7),"")</f>
        <v/>
      </c>
      <c r="M29" s="146">
        <f>IF($C29="","",IFERROR(INDEX(Incentive_Calc!$Y$6:$Y$20,ROW()-28+1),""))</f>
        <v/>
      </c>
    </row>
    <row r="30">
      <c r="B30" s="140">
        <f>IF($C30="","",RANK(K30,$K$28:$K$42,0))</f>
        <v/>
      </c>
      <c r="C30" s="113">
        <f>IFERROR(INDEX(Tracking!$A$6:$A$65,(ROW()-28)*4+Parameters!$C$7),"")</f>
        <v/>
      </c>
      <c r="D30" s="83">
        <f>IFERROR(INDEX(Tracking!$B$6:$B$65,(ROW()-28)*4+Parameters!$C$7),"")</f>
        <v/>
      </c>
      <c r="E30" s="113">
        <f>IFERROR(INDEX(Tracking!$C$6:$C$65,(ROW()-28)*4+Parameters!$C$7),"")</f>
        <v/>
      </c>
      <c r="F30" s="102">
        <f>IFERROR(INDEX(Tracking!$H$6:$H$65,(ROW()-28)*4+Parameters!$C$7),"")</f>
        <v/>
      </c>
      <c r="G30" s="102">
        <f>IFERROR(INDEX(Tracking!$L$6:$L$65,(ROW()-28)*4+Parameters!$C$7),"")</f>
        <v/>
      </c>
      <c r="H30" s="101">
        <f>IFERROR(INDEX(Tracking!$N$6:$N$65,(ROW()-28)*4+Parameters!$C$7),"")</f>
        <v/>
      </c>
      <c r="I30" s="115">
        <f>IFERROR(INDEX(Tracking!$U$6:$U$65,(ROW()-28)*4+Parameters!$C$7),"")</f>
        <v/>
      </c>
      <c r="J30" s="129">
        <f>IFERROR(INDEX(Tracking!$W$6:$W$65,(ROW()-28)*4+Parameters!$C$7),"")</f>
        <v/>
      </c>
      <c r="K30" s="69">
        <f>IFERROR(INDEX(Tracking!$X$6:$X$65,(ROW()-28)*4+Parameters!$C$7),"")</f>
        <v/>
      </c>
      <c r="L30" s="145">
        <f>IFERROR(INDEX(Tracking!$Y$6:$Y$65,(ROW()-28)*4+Parameters!$C$7),"")</f>
        <v/>
      </c>
      <c r="M30" s="146">
        <f>IF($C30="","",IFERROR(INDEX(Incentive_Calc!$Y$6:$Y$20,ROW()-28+1),""))</f>
        <v/>
      </c>
    </row>
    <row r="31">
      <c r="B31" s="140">
        <f>IF($C31="","",RANK(K31,$K$28:$K$42,0))</f>
        <v/>
      </c>
      <c r="C31" s="113">
        <f>IFERROR(INDEX(Tracking!$A$6:$A$65,(ROW()-28)*4+Parameters!$C$7),"")</f>
        <v/>
      </c>
      <c r="D31" s="83">
        <f>IFERROR(INDEX(Tracking!$B$6:$B$65,(ROW()-28)*4+Parameters!$C$7),"")</f>
        <v/>
      </c>
      <c r="E31" s="113">
        <f>IFERROR(INDEX(Tracking!$C$6:$C$65,(ROW()-28)*4+Parameters!$C$7),"")</f>
        <v/>
      </c>
      <c r="F31" s="102">
        <f>IFERROR(INDEX(Tracking!$H$6:$H$65,(ROW()-28)*4+Parameters!$C$7),"")</f>
        <v/>
      </c>
      <c r="G31" s="102">
        <f>IFERROR(INDEX(Tracking!$L$6:$L$65,(ROW()-28)*4+Parameters!$C$7),"")</f>
        <v/>
      </c>
      <c r="H31" s="101">
        <f>IFERROR(INDEX(Tracking!$N$6:$N$65,(ROW()-28)*4+Parameters!$C$7),"")</f>
        <v/>
      </c>
      <c r="I31" s="115">
        <f>IFERROR(INDEX(Tracking!$U$6:$U$65,(ROW()-28)*4+Parameters!$C$7),"")</f>
        <v/>
      </c>
      <c r="J31" s="129">
        <f>IFERROR(INDEX(Tracking!$W$6:$W$65,(ROW()-28)*4+Parameters!$C$7),"")</f>
        <v/>
      </c>
      <c r="K31" s="69">
        <f>IFERROR(INDEX(Tracking!$X$6:$X$65,(ROW()-28)*4+Parameters!$C$7),"")</f>
        <v/>
      </c>
      <c r="L31" s="145">
        <f>IFERROR(INDEX(Tracking!$Y$6:$Y$65,(ROW()-28)*4+Parameters!$C$7),"")</f>
        <v/>
      </c>
      <c r="M31" s="146">
        <f>IF($C31="","",IFERROR(INDEX(Incentive_Calc!$Y$6:$Y$20,ROW()-28+1),""))</f>
        <v/>
      </c>
    </row>
    <row r="32">
      <c r="B32" s="140">
        <f>IF($C32="","",RANK(K32,$K$28:$K$42,0))</f>
        <v/>
      </c>
      <c r="C32" s="113">
        <f>IFERROR(INDEX(Tracking!$A$6:$A$65,(ROW()-28)*4+Parameters!$C$7),"")</f>
        <v/>
      </c>
      <c r="D32" s="83">
        <f>IFERROR(INDEX(Tracking!$B$6:$B$65,(ROW()-28)*4+Parameters!$C$7),"")</f>
        <v/>
      </c>
      <c r="E32" s="113">
        <f>IFERROR(INDEX(Tracking!$C$6:$C$65,(ROW()-28)*4+Parameters!$C$7),"")</f>
        <v/>
      </c>
      <c r="F32" s="102">
        <f>IFERROR(INDEX(Tracking!$H$6:$H$65,(ROW()-28)*4+Parameters!$C$7),"")</f>
        <v/>
      </c>
      <c r="G32" s="102">
        <f>IFERROR(INDEX(Tracking!$L$6:$L$65,(ROW()-28)*4+Parameters!$C$7),"")</f>
        <v/>
      </c>
      <c r="H32" s="101">
        <f>IFERROR(INDEX(Tracking!$N$6:$N$65,(ROW()-28)*4+Parameters!$C$7),"")</f>
        <v/>
      </c>
      <c r="I32" s="115">
        <f>IFERROR(INDEX(Tracking!$U$6:$U$65,(ROW()-28)*4+Parameters!$C$7),"")</f>
        <v/>
      </c>
      <c r="J32" s="129">
        <f>IFERROR(INDEX(Tracking!$W$6:$W$65,(ROW()-28)*4+Parameters!$C$7),"")</f>
        <v/>
      </c>
      <c r="K32" s="69">
        <f>IFERROR(INDEX(Tracking!$X$6:$X$65,(ROW()-28)*4+Parameters!$C$7),"")</f>
        <v/>
      </c>
      <c r="L32" s="145">
        <f>IFERROR(INDEX(Tracking!$Y$6:$Y$65,(ROW()-28)*4+Parameters!$C$7),"")</f>
        <v/>
      </c>
      <c r="M32" s="146">
        <f>IF($C32="","",IFERROR(INDEX(Incentive_Calc!$Y$6:$Y$20,ROW()-28+1),""))</f>
        <v/>
      </c>
    </row>
    <row r="33">
      <c r="B33" s="140">
        <f>IF($C33="","",RANK(K33,$K$28:$K$42,0))</f>
        <v/>
      </c>
      <c r="C33" s="113">
        <f>IFERROR(INDEX(Tracking!$A$6:$A$65,(ROW()-28)*4+Parameters!$C$7),"")</f>
        <v/>
      </c>
      <c r="D33" s="83">
        <f>IFERROR(INDEX(Tracking!$B$6:$B$65,(ROW()-28)*4+Parameters!$C$7),"")</f>
        <v/>
      </c>
      <c r="E33" s="113">
        <f>IFERROR(INDEX(Tracking!$C$6:$C$65,(ROW()-28)*4+Parameters!$C$7),"")</f>
        <v/>
      </c>
      <c r="F33" s="102">
        <f>IFERROR(INDEX(Tracking!$H$6:$H$65,(ROW()-28)*4+Parameters!$C$7),"")</f>
        <v/>
      </c>
      <c r="G33" s="102">
        <f>IFERROR(INDEX(Tracking!$L$6:$L$65,(ROW()-28)*4+Parameters!$C$7),"")</f>
        <v/>
      </c>
      <c r="H33" s="101">
        <f>IFERROR(INDEX(Tracking!$N$6:$N$65,(ROW()-28)*4+Parameters!$C$7),"")</f>
        <v/>
      </c>
      <c r="I33" s="115">
        <f>IFERROR(INDEX(Tracking!$U$6:$U$65,(ROW()-28)*4+Parameters!$C$7),"")</f>
        <v/>
      </c>
      <c r="J33" s="129">
        <f>IFERROR(INDEX(Tracking!$W$6:$W$65,(ROW()-28)*4+Parameters!$C$7),"")</f>
        <v/>
      </c>
      <c r="K33" s="69">
        <f>IFERROR(INDEX(Tracking!$X$6:$X$65,(ROW()-28)*4+Parameters!$C$7),"")</f>
        <v/>
      </c>
      <c r="L33" s="145">
        <f>IFERROR(INDEX(Tracking!$Y$6:$Y$65,(ROW()-28)*4+Parameters!$C$7),"")</f>
        <v/>
      </c>
      <c r="M33" s="146">
        <f>IF($C33="","",IFERROR(INDEX(Incentive_Calc!$Y$6:$Y$20,ROW()-28+1),""))</f>
        <v/>
      </c>
    </row>
    <row r="34">
      <c r="B34" s="140">
        <f>IF($C34="","",RANK(K34,$K$28:$K$42,0))</f>
        <v/>
      </c>
      <c r="C34" s="113">
        <f>IFERROR(INDEX(Tracking!$A$6:$A$65,(ROW()-28)*4+Parameters!$C$7),"")</f>
        <v/>
      </c>
      <c r="D34" s="83">
        <f>IFERROR(INDEX(Tracking!$B$6:$B$65,(ROW()-28)*4+Parameters!$C$7),"")</f>
        <v/>
      </c>
      <c r="E34" s="113">
        <f>IFERROR(INDEX(Tracking!$C$6:$C$65,(ROW()-28)*4+Parameters!$C$7),"")</f>
        <v/>
      </c>
      <c r="F34" s="102">
        <f>IFERROR(INDEX(Tracking!$H$6:$H$65,(ROW()-28)*4+Parameters!$C$7),"")</f>
        <v/>
      </c>
      <c r="G34" s="102">
        <f>IFERROR(INDEX(Tracking!$L$6:$L$65,(ROW()-28)*4+Parameters!$C$7),"")</f>
        <v/>
      </c>
      <c r="H34" s="101">
        <f>IFERROR(INDEX(Tracking!$N$6:$N$65,(ROW()-28)*4+Parameters!$C$7),"")</f>
        <v/>
      </c>
      <c r="I34" s="115">
        <f>IFERROR(INDEX(Tracking!$U$6:$U$65,(ROW()-28)*4+Parameters!$C$7),"")</f>
        <v/>
      </c>
      <c r="J34" s="129">
        <f>IFERROR(INDEX(Tracking!$W$6:$W$65,(ROW()-28)*4+Parameters!$C$7),"")</f>
        <v/>
      </c>
      <c r="K34" s="69">
        <f>IFERROR(INDEX(Tracking!$X$6:$X$65,(ROW()-28)*4+Parameters!$C$7),"")</f>
        <v/>
      </c>
      <c r="L34" s="145">
        <f>IFERROR(INDEX(Tracking!$Y$6:$Y$65,(ROW()-28)*4+Parameters!$C$7),"")</f>
        <v/>
      </c>
      <c r="M34" s="146">
        <f>IF($C34="","",IFERROR(INDEX(Incentive_Calc!$Y$6:$Y$20,ROW()-28+1),""))</f>
        <v/>
      </c>
    </row>
    <row r="35">
      <c r="B35" s="140">
        <f>IF($C35="","",RANK(K35,$K$28:$K$42,0))</f>
        <v/>
      </c>
      <c r="C35" s="113">
        <f>IFERROR(INDEX(Tracking!$A$6:$A$65,(ROW()-28)*4+Parameters!$C$7),"")</f>
        <v/>
      </c>
      <c r="D35" s="83">
        <f>IFERROR(INDEX(Tracking!$B$6:$B$65,(ROW()-28)*4+Parameters!$C$7),"")</f>
        <v/>
      </c>
      <c r="E35" s="113">
        <f>IFERROR(INDEX(Tracking!$C$6:$C$65,(ROW()-28)*4+Parameters!$C$7),"")</f>
        <v/>
      </c>
      <c r="F35" s="102">
        <f>IFERROR(INDEX(Tracking!$H$6:$H$65,(ROW()-28)*4+Parameters!$C$7),"")</f>
        <v/>
      </c>
      <c r="G35" s="102">
        <f>IFERROR(INDEX(Tracking!$L$6:$L$65,(ROW()-28)*4+Parameters!$C$7),"")</f>
        <v/>
      </c>
      <c r="H35" s="101">
        <f>IFERROR(INDEX(Tracking!$N$6:$N$65,(ROW()-28)*4+Parameters!$C$7),"")</f>
        <v/>
      </c>
      <c r="I35" s="115">
        <f>IFERROR(INDEX(Tracking!$U$6:$U$65,(ROW()-28)*4+Parameters!$C$7),"")</f>
        <v/>
      </c>
      <c r="J35" s="129">
        <f>IFERROR(INDEX(Tracking!$W$6:$W$65,(ROW()-28)*4+Parameters!$C$7),"")</f>
        <v/>
      </c>
      <c r="K35" s="69">
        <f>IFERROR(INDEX(Tracking!$X$6:$X$65,(ROW()-28)*4+Parameters!$C$7),"")</f>
        <v/>
      </c>
      <c r="L35" s="145">
        <f>IFERROR(INDEX(Tracking!$Y$6:$Y$65,(ROW()-28)*4+Parameters!$C$7),"")</f>
        <v/>
      </c>
      <c r="M35" s="146">
        <f>IF($C35="","",IFERROR(INDEX(Incentive_Calc!$Y$6:$Y$20,ROW()-28+1),""))</f>
        <v/>
      </c>
    </row>
    <row r="36">
      <c r="B36" s="140">
        <f>IF($C36="","",RANK(K36,$K$28:$K$42,0))</f>
        <v/>
      </c>
      <c r="C36" s="113">
        <f>IFERROR(INDEX(Tracking!$A$6:$A$65,(ROW()-28)*4+Parameters!$C$7),"")</f>
        <v/>
      </c>
      <c r="D36" s="83">
        <f>IFERROR(INDEX(Tracking!$B$6:$B$65,(ROW()-28)*4+Parameters!$C$7),"")</f>
        <v/>
      </c>
      <c r="E36" s="113">
        <f>IFERROR(INDEX(Tracking!$C$6:$C$65,(ROW()-28)*4+Parameters!$C$7),"")</f>
        <v/>
      </c>
      <c r="F36" s="102">
        <f>IFERROR(INDEX(Tracking!$H$6:$H$65,(ROW()-28)*4+Parameters!$C$7),"")</f>
        <v/>
      </c>
      <c r="G36" s="102">
        <f>IFERROR(INDEX(Tracking!$L$6:$L$65,(ROW()-28)*4+Parameters!$C$7),"")</f>
        <v/>
      </c>
      <c r="H36" s="101">
        <f>IFERROR(INDEX(Tracking!$N$6:$N$65,(ROW()-28)*4+Parameters!$C$7),"")</f>
        <v/>
      </c>
      <c r="I36" s="115">
        <f>IFERROR(INDEX(Tracking!$U$6:$U$65,(ROW()-28)*4+Parameters!$C$7),"")</f>
        <v/>
      </c>
      <c r="J36" s="129">
        <f>IFERROR(INDEX(Tracking!$W$6:$W$65,(ROW()-28)*4+Parameters!$C$7),"")</f>
        <v/>
      </c>
      <c r="K36" s="69">
        <f>IFERROR(INDEX(Tracking!$X$6:$X$65,(ROW()-28)*4+Parameters!$C$7),"")</f>
        <v/>
      </c>
      <c r="L36" s="145">
        <f>IFERROR(INDEX(Tracking!$Y$6:$Y$65,(ROW()-28)*4+Parameters!$C$7),"")</f>
        <v/>
      </c>
      <c r="M36" s="146">
        <f>IF($C36="","",IFERROR(INDEX(Incentive_Calc!$Y$6:$Y$20,ROW()-28+1),""))</f>
        <v/>
      </c>
    </row>
    <row r="37">
      <c r="B37" s="140">
        <f>IF($C37="","",RANK(K37,$K$28:$K$42,0))</f>
        <v/>
      </c>
      <c r="C37" s="113">
        <f>IFERROR(INDEX(Tracking!$A$6:$A$65,(ROW()-28)*4+Parameters!$C$7),"")</f>
        <v/>
      </c>
      <c r="D37" s="83">
        <f>IFERROR(INDEX(Tracking!$B$6:$B$65,(ROW()-28)*4+Parameters!$C$7),"")</f>
        <v/>
      </c>
      <c r="E37" s="113">
        <f>IFERROR(INDEX(Tracking!$C$6:$C$65,(ROW()-28)*4+Parameters!$C$7),"")</f>
        <v/>
      </c>
      <c r="F37" s="102">
        <f>IFERROR(INDEX(Tracking!$H$6:$H$65,(ROW()-28)*4+Parameters!$C$7),"")</f>
        <v/>
      </c>
      <c r="G37" s="102">
        <f>IFERROR(INDEX(Tracking!$L$6:$L$65,(ROW()-28)*4+Parameters!$C$7),"")</f>
        <v/>
      </c>
      <c r="H37" s="101">
        <f>IFERROR(INDEX(Tracking!$N$6:$N$65,(ROW()-28)*4+Parameters!$C$7),"")</f>
        <v/>
      </c>
      <c r="I37" s="115">
        <f>IFERROR(INDEX(Tracking!$U$6:$U$65,(ROW()-28)*4+Parameters!$C$7),"")</f>
        <v/>
      </c>
      <c r="J37" s="129">
        <f>IFERROR(INDEX(Tracking!$W$6:$W$65,(ROW()-28)*4+Parameters!$C$7),"")</f>
        <v/>
      </c>
      <c r="K37" s="69">
        <f>IFERROR(INDEX(Tracking!$X$6:$X$65,(ROW()-28)*4+Parameters!$C$7),"")</f>
        <v/>
      </c>
      <c r="L37" s="145">
        <f>IFERROR(INDEX(Tracking!$Y$6:$Y$65,(ROW()-28)*4+Parameters!$C$7),"")</f>
        <v/>
      </c>
      <c r="M37" s="146">
        <f>IF($C37="","",IFERROR(INDEX(Incentive_Calc!$Y$6:$Y$20,ROW()-28+1),""))</f>
        <v/>
      </c>
    </row>
    <row r="38">
      <c r="B38" s="140">
        <f>IF($C38="","",RANK(K38,$K$28:$K$42,0))</f>
        <v/>
      </c>
      <c r="C38" s="113">
        <f>IFERROR(INDEX(Tracking!$A$6:$A$65,(ROW()-28)*4+Parameters!$C$7),"")</f>
        <v/>
      </c>
      <c r="D38" s="83">
        <f>IFERROR(INDEX(Tracking!$B$6:$B$65,(ROW()-28)*4+Parameters!$C$7),"")</f>
        <v/>
      </c>
      <c r="E38" s="113">
        <f>IFERROR(INDEX(Tracking!$C$6:$C$65,(ROW()-28)*4+Parameters!$C$7),"")</f>
        <v/>
      </c>
      <c r="F38" s="102">
        <f>IFERROR(INDEX(Tracking!$H$6:$H$65,(ROW()-28)*4+Parameters!$C$7),"")</f>
        <v/>
      </c>
      <c r="G38" s="102">
        <f>IFERROR(INDEX(Tracking!$L$6:$L$65,(ROW()-28)*4+Parameters!$C$7),"")</f>
        <v/>
      </c>
      <c r="H38" s="101">
        <f>IFERROR(INDEX(Tracking!$N$6:$N$65,(ROW()-28)*4+Parameters!$C$7),"")</f>
        <v/>
      </c>
      <c r="I38" s="115">
        <f>IFERROR(INDEX(Tracking!$U$6:$U$65,(ROW()-28)*4+Parameters!$C$7),"")</f>
        <v/>
      </c>
      <c r="J38" s="129">
        <f>IFERROR(INDEX(Tracking!$W$6:$W$65,(ROW()-28)*4+Parameters!$C$7),"")</f>
        <v/>
      </c>
      <c r="K38" s="69">
        <f>IFERROR(INDEX(Tracking!$X$6:$X$65,(ROW()-28)*4+Parameters!$C$7),"")</f>
        <v/>
      </c>
      <c r="L38" s="145">
        <f>IFERROR(INDEX(Tracking!$Y$6:$Y$65,(ROW()-28)*4+Parameters!$C$7),"")</f>
        <v/>
      </c>
      <c r="M38" s="146">
        <f>IF($C38="","",IFERROR(INDEX(Incentive_Calc!$Y$6:$Y$20,ROW()-28+1),""))</f>
        <v/>
      </c>
    </row>
    <row r="39">
      <c r="B39" s="140">
        <f>IF($C39="","",RANK(K39,$K$28:$K$42,0))</f>
        <v/>
      </c>
      <c r="C39" s="113">
        <f>IFERROR(INDEX(Tracking!$A$6:$A$65,(ROW()-28)*4+Parameters!$C$7),"")</f>
        <v/>
      </c>
      <c r="D39" s="83">
        <f>IFERROR(INDEX(Tracking!$B$6:$B$65,(ROW()-28)*4+Parameters!$C$7),"")</f>
        <v/>
      </c>
      <c r="E39" s="113">
        <f>IFERROR(INDEX(Tracking!$C$6:$C$65,(ROW()-28)*4+Parameters!$C$7),"")</f>
        <v/>
      </c>
      <c r="F39" s="102">
        <f>IFERROR(INDEX(Tracking!$H$6:$H$65,(ROW()-28)*4+Parameters!$C$7),"")</f>
        <v/>
      </c>
      <c r="G39" s="102">
        <f>IFERROR(INDEX(Tracking!$L$6:$L$65,(ROW()-28)*4+Parameters!$C$7),"")</f>
        <v/>
      </c>
      <c r="H39" s="101">
        <f>IFERROR(INDEX(Tracking!$N$6:$N$65,(ROW()-28)*4+Parameters!$C$7),"")</f>
        <v/>
      </c>
      <c r="I39" s="115">
        <f>IFERROR(INDEX(Tracking!$U$6:$U$65,(ROW()-28)*4+Parameters!$C$7),"")</f>
        <v/>
      </c>
      <c r="J39" s="129">
        <f>IFERROR(INDEX(Tracking!$W$6:$W$65,(ROW()-28)*4+Parameters!$C$7),"")</f>
        <v/>
      </c>
      <c r="K39" s="69">
        <f>IFERROR(INDEX(Tracking!$X$6:$X$65,(ROW()-28)*4+Parameters!$C$7),"")</f>
        <v/>
      </c>
      <c r="L39" s="145">
        <f>IFERROR(INDEX(Tracking!$Y$6:$Y$65,(ROW()-28)*4+Parameters!$C$7),"")</f>
        <v/>
      </c>
      <c r="M39" s="146">
        <f>IF($C39="","",IFERROR(INDEX(Incentive_Calc!$Y$6:$Y$20,ROW()-28+1),""))</f>
        <v/>
      </c>
    </row>
    <row r="40">
      <c r="B40" s="140">
        <f>IF($C40="","",RANK(K40,$K$28:$K$42,0))</f>
        <v/>
      </c>
      <c r="C40" s="113">
        <f>IFERROR(INDEX(Tracking!$A$6:$A$65,(ROW()-28)*4+Parameters!$C$7),"")</f>
        <v/>
      </c>
      <c r="D40" s="83">
        <f>IFERROR(INDEX(Tracking!$B$6:$B$65,(ROW()-28)*4+Parameters!$C$7),"")</f>
        <v/>
      </c>
      <c r="E40" s="113">
        <f>IFERROR(INDEX(Tracking!$C$6:$C$65,(ROW()-28)*4+Parameters!$C$7),"")</f>
        <v/>
      </c>
      <c r="F40" s="102">
        <f>IFERROR(INDEX(Tracking!$H$6:$H$65,(ROW()-28)*4+Parameters!$C$7),"")</f>
        <v/>
      </c>
      <c r="G40" s="102">
        <f>IFERROR(INDEX(Tracking!$L$6:$L$65,(ROW()-28)*4+Parameters!$C$7),"")</f>
        <v/>
      </c>
      <c r="H40" s="101">
        <f>IFERROR(INDEX(Tracking!$N$6:$N$65,(ROW()-28)*4+Parameters!$C$7),"")</f>
        <v/>
      </c>
      <c r="I40" s="115">
        <f>IFERROR(INDEX(Tracking!$U$6:$U$65,(ROW()-28)*4+Parameters!$C$7),"")</f>
        <v/>
      </c>
      <c r="J40" s="129">
        <f>IFERROR(INDEX(Tracking!$W$6:$W$65,(ROW()-28)*4+Parameters!$C$7),"")</f>
        <v/>
      </c>
      <c r="K40" s="69">
        <f>IFERROR(INDEX(Tracking!$X$6:$X$65,(ROW()-28)*4+Parameters!$C$7),"")</f>
        <v/>
      </c>
      <c r="L40" s="145">
        <f>IFERROR(INDEX(Tracking!$Y$6:$Y$65,(ROW()-28)*4+Parameters!$C$7),"")</f>
        <v/>
      </c>
      <c r="M40" s="146">
        <f>IF($C40="","",IFERROR(INDEX(Incentive_Calc!$Y$6:$Y$20,ROW()-28+1),""))</f>
        <v/>
      </c>
    </row>
    <row r="41">
      <c r="B41" s="140">
        <f>IF($C41="","",RANK(K41,$K$28:$K$42,0))</f>
        <v/>
      </c>
      <c r="C41" s="113">
        <f>IFERROR(INDEX(Tracking!$A$6:$A$65,(ROW()-28)*4+Parameters!$C$7),"")</f>
        <v/>
      </c>
      <c r="D41" s="83">
        <f>IFERROR(INDEX(Tracking!$B$6:$B$65,(ROW()-28)*4+Parameters!$C$7),"")</f>
        <v/>
      </c>
      <c r="E41" s="113">
        <f>IFERROR(INDEX(Tracking!$C$6:$C$65,(ROW()-28)*4+Parameters!$C$7),"")</f>
        <v/>
      </c>
      <c r="F41" s="102">
        <f>IFERROR(INDEX(Tracking!$H$6:$H$65,(ROW()-28)*4+Parameters!$C$7),"")</f>
        <v/>
      </c>
      <c r="G41" s="102">
        <f>IFERROR(INDEX(Tracking!$L$6:$L$65,(ROW()-28)*4+Parameters!$C$7),"")</f>
        <v/>
      </c>
      <c r="H41" s="101">
        <f>IFERROR(INDEX(Tracking!$N$6:$N$65,(ROW()-28)*4+Parameters!$C$7),"")</f>
        <v/>
      </c>
      <c r="I41" s="115">
        <f>IFERROR(INDEX(Tracking!$U$6:$U$65,(ROW()-28)*4+Parameters!$C$7),"")</f>
        <v/>
      </c>
      <c r="J41" s="129">
        <f>IFERROR(INDEX(Tracking!$W$6:$W$65,(ROW()-28)*4+Parameters!$C$7),"")</f>
        <v/>
      </c>
      <c r="K41" s="69">
        <f>IFERROR(INDEX(Tracking!$X$6:$X$65,(ROW()-28)*4+Parameters!$C$7),"")</f>
        <v/>
      </c>
      <c r="L41" s="145">
        <f>IFERROR(INDEX(Tracking!$Y$6:$Y$65,(ROW()-28)*4+Parameters!$C$7),"")</f>
        <v/>
      </c>
      <c r="M41" s="146">
        <f>IF($C41="","",IFERROR(INDEX(Incentive_Calc!$Y$6:$Y$20,ROW()-28+1),""))</f>
        <v/>
      </c>
    </row>
    <row r="42">
      <c r="B42" s="140">
        <f>IF($C42="","",RANK(K42,$K$28:$K$42,0))</f>
        <v/>
      </c>
      <c r="C42" s="113">
        <f>IFERROR(INDEX(Tracking!$A$6:$A$65,(ROW()-28)*4+Parameters!$C$7),"")</f>
        <v/>
      </c>
      <c r="D42" s="83">
        <f>IFERROR(INDEX(Tracking!$B$6:$B$65,(ROW()-28)*4+Parameters!$C$7),"")</f>
        <v/>
      </c>
      <c r="E42" s="113">
        <f>IFERROR(INDEX(Tracking!$C$6:$C$65,(ROW()-28)*4+Parameters!$C$7),"")</f>
        <v/>
      </c>
      <c r="F42" s="102">
        <f>IFERROR(INDEX(Tracking!$H$6:$H$65,(ROW()-28)*4+Parameters!$C$7),"")</f>
        <v/>
      </c>
      <c r="G42" s="102">
        <f>IFERROR(INDEX(Tracking!$L$6:$L$65,(ROW()-28)*4+Parameters!$C$7),"")</f>
        <v/>
      </c>
      <c r="H42" s="101">
        <f>IFERROR(INDEX(Tracking!$N$6:$N$65,(ROW()-28)*4+Parameters!$C$7),"")</f>
        <v/>
      </c>
      <c r="I42" s="115">
        <f>IFERROR(INDEX(Tracking!$U$6:$U$65,(ROW()-28)*4+Parameters!$C$7),"")</f>
        <v/>
      </c>
      <c r="J42" s="129">
        <f>IFERROR(INDEX(Tracking!$W$6:$W$65,(ROW()-28)*4+Parameters!$C$7),"")</f>
        <v/>
      </c>
      <c r="K42" s="69">
        <f>IFERROR(INDEX(Tracking!$X$6:$X$65,(ROW()-28)*4+Parameters!$C$7),"")</f>
        <v/>
      </c>
      <c r="L42" s="145">
        <f>IFERROR(INDEX(Tracking!$Y$6:$Y$65,(ROW()-28)*4+Parameters!$C$7),"")</f>
        <v/>
      </c>
      <c r="M42" s="146">
        <f>IF($C42="","",IFERROR(INDEX(Incentive_Calc!$Y$6:$Y$20,ROW()-28+1),""))</f>
        <v/>
      </c>
    </row>
  </sheetData>
  <mergeCells count="3">
    <mergeCell ref="B5:M5"/>
    <mergeCell ref="B14:M14"/>
    <mergeCell ref="B26:M26"/>
  </mergeCells>
  <conditionalFormatting sqref="F7:F11">
    <cfRule type="colorScale" priority="1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F16:F23">
    <cfRule type="colorScale" priority="2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K28:K42">
    <cfRule type="colorScale" priority="3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H28:H42">
    <cfRule type="colorScale" priority="4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2026-09-17T05:01:41Z</dcterms:created>
  <dcterms:modified xsi:type="dcterms:W3CDTF">2026-09-17T05:05:10Z</dcterms:modified>
</cp:coreProperties>
</file>