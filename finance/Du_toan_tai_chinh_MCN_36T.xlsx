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Kich_ban" sheetId="2" state="visible" r:id="rId2"/>
    <sheet name="Gia_dinh" sheetId="3" state="visible" r:id="rId3"/>
    <sheet name="Don_vi_IP" sheetId="4" state="visible" r:id="rId4"/>
    <sheet name="Don_vi_IP_AI" sheetId="5" state="visible" r:id="rId5"/>
    <sheet name="Doi_hinh" sheetId="6" state="visible" r:id="rId6"/>
    <sheet name="Doanh_thu" sheetId="7" state="visible" r:id="rId7"/>
    <sheet name="Chi_phi" sheetId="8" state="visible" r:id="rId8"/>
    <sheet name="PnL" sheetId="9" state="visible" r:id="rId9"/>
    <sheet name="Dong_tien" sheetId="10" state="visible" r:id="rId10"/>
  </sheets>
  <definedNames/>
  <calcPr calcId="124519" fullCalcOnLoad="1"/>
</workbook>
</file>

<file path=xl/styles.xml><?xml version="1.0" encoding="utf-8"?>
<styleSheet xmlns="http://schemas.openxmlformats.org/spreadsheetml/2006/main">
  <numFmts count="4">
    <numFmt numFmtId="164" formatCode="yyyy-mm-dd"/>
    <numFmt numFmtId="165" formatCode="mm/yyyy"/>
    <numFmt numFmtId="166" formatCode="#,##0.0"/>
    <numFmt numFmtId="167" formatCode="0.0%"/>
  </numFmts>
  <fonts count="8">
    <font>
      <name val="Calibri"/>
      <family val="2"/>
      <color theme="1"/>
      <sz val="11"/>
      <scheme val="minor"/>
    </font>
    <font>
      <b val="1"/>
      <color rgb="001F3864"/>
      <sz val="14"/>
    </font>
    <font>
      <b val="1"/>
    </font>
    <font>
      <b val="1"/>
      <color rgb="001F3864"/>
    </font>
    <font>
      <b val="1"/>
      <sz val="12"/>
    </font>
    <font>
      <b val="1"/>
      <color rgb="00FFFFFF"/>
    </font>
    <font>
      <i val="1"/>
      <sz val="9"/>
    </font>
    <font>
      <b val="1"/>
      <color rgb="001F3864"/>
      <sz val="16"/>
    </font>
  </fonts>
  <fills count="7">
    <fill>
      <patternFill/>
    </fill>
    <fill>
      <patternFill patternType="gray125"/>
    </fill>
    <fill>
      <patternFill patternType="solid">
        <fgColor rgb="00FFF9C4"/>
      </patternFill>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7" fillId="0" borderId="0" pivotButton="0" quotePrefix="0" xfId="0"/>
    <xf numFmtId="0" fontId="2" fillId="0" borderId="0" pivotButton="0" quotePrefix="0" xfId="0"/>
    <xf numFmtId="0" fontId="0" fillId="0" borderId="0" applyAlignment="1" pivotButton="0" quotePrefix="0" xfId="0">
      <alignment vertical="top" wrapText="1"/>
    </xf>
    <xf numFmtId="0" fontId="3" fillId="4" borderId="0" pivotButton="0" quotePrefix="0" xfId="0"/>
    <xf numFmtId="0" fontId="0" fillId="4" borderId="0" pivotButton="0" quotePrefix="0" xfId="0"/>
    <xf numFmtId="0" fontId="6" fillId="0" borderId="0" pivotButton="0" quotePrefix="0" xfId="0"/>
    <xf numFmtId="0" fontId="1" fillId="0" borderId="0" pivotButton="0" quotePrefix="0" xfId="0"/>
    <xf numFmtId="0" fontId="5" fillId="3" borderId="0" pivotButton="0" quotePrefix="0" xfId="0"/>
    <xf numFmtId="0" fontId="5" fillId="3" borderId="0" applyAlignment="1" pivotButton="0" quotePrefix="0" xfId="0">
      <alignment horizontal="center" vertical="center" wrapText="1"/>
    </xf>
    <xf numFmtId="0" fontId="6" fillId="0" borderId="0" applyAlignment="1" pivotButton="0" quotePrefix="0" xfId="0">
      <alignment vertical="top" wrapText="1"/>
    </xf>
    <xf numFmtId="3" fontId="0" fillId="0" borderId="0" pivotButton="0" quotePrefix="0" xfId="0"/>
    <xf numFmtId="167" fontId="0" fillId="0" borderId="0" pivotButton="0" quotePrefix="0" xfId="0"/>
    <xf numFmtId="3" fontId="2" fillId="6" borderId="0" pivotButton="0" quotePrefix="0" xfId="0"/>
    <xf numFmtId="0" fontId="3" fillId="0" borderId="0" pivotButton="0" quotePrefix="0" xfId="0"/>
    <xf numFmtId="0" fontId="4" fillId="2" borderId="1" pivotButton="0" quotePrefix="0" xfId="0"/>
    <xf numFmtId="165" fontId="0" fillId="2" borderId="1" pivotButton="0" quotePrefix="0" xfId="0"/>
    <xf numFmtId="166" fontId="0" fillId="2" borderId="1" pivotButton="0" quotePrefix="0" xfId="0"/>
    <xf numFmtId="166" fontId="2" fillId="5" borderId="1" pivotButton="0" quotePrefix="0" xfId="0"/>
    <xf numFmtId="167" fontId="0" fillId="2" borderId="1" pivotButton="0" quotePrefix="0" xfId="0"/>
    <xf numFmtId="167" fontId="2" fillId="5" borderId="1" pivotButton="0" quotePrefix="0" xfId="0"/>
    <xf numFmtId="167" fontId="2" fillId="5" borderId="0" pivotButton="0" quotePrefix="0" xfId="0"/>
    <xf numFmtId="2" fontId="2" fillId="5" borderId="0" pivotButton="0" quotePrefix="0" xfId="0"/>
    <xf numFmtId="167" fontId="0" fillId="4" borderId="0" pivotButton="0" quotePrefix="0" xfId="0"/>
    <xf numFmtId="166" fontId="0" fillId="4" borderId="0" pivotButton="0" quotePrefix="0" xfId="0"/>
    <xf numFmtId="166" fontId="0" fillId="0" borderId="0" pivotButton="0" quotePrefix="0" xfId="0"/>
    <xf numFmtId="166" fontId="2" fillId="6" borderId="0" pivotButton="0" quotePrefix="0" xfId="0"/>
    <xf numFmtId="167" fontId="2" fillId="6" borderId="0" pivotButton="0" quotePrefix="0" xfId="0"/>
    <xf numFmtId="0" fontId="0" fillId="3" borderId="0" pivotButton="0" quotePrefix="0" xfId="0"/>
    <xf numFmtId="3" fontId="5" fillId="3" borderId="0" applyAlignment="1" pivotButton="0" quotePrefix="0" xfId="0">
      <alignment horizontal="center"/>
    </xf>
    <xf numFmtId="165" fontId="5" fillId="3" borderId="0" applyAlignment="1" pivotButton="0" quotePrefix="0" xfId="0">
      <alignment horizontal="center"/>
    </xf>
    <xf numFmtId="0" fontId="5" fillId="3" borderId="0" applyAlignment="1" pivotButton="0" quotePrefix="0" xfId="0">
      <alignment horizontal="center"/>
    </xf>
    <xf numFmtId="166" fontId="2" fillId="5" borderId="0" pivotButton="0" quotePrefix="0" xfId="0"/>
    <xf numFmtId="2" fontId="0" fillId="6" borderId="0" pivotButton="0" quotePrefix="0" xfId="0"/>
    <xf numFmtId="3" fontId="2" fillId="5" borderId="0" pivotButton="0" quotePrefix="0" xfId="0"/>
    <xf numFmtId="167" fontId="0" fillId="6" borderId="0" pivotButton="0" quotePrefix="0" xfId="0"/>
    <xf numFmtId="166" fontId="0" fillId="6" borderId="0" pivotButton="0" quotePrefix="0" xfId="0"/>
    <xf numFmtId="3"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2"/>
  <sheetViews>
    <sheetView workbookViewId="0">
      <selection activeCell="A1" sqref="A1"/>
    </sheetView>
  </sheetViews>
  <sheetFormatPr baseColWidth="8" defaultRowHeight="15"/>
  <cols>
    <col width="3" customWidth="1" min="1" max="1"/>
    <col width="26" customWidth="1" min="2" max="2"/>
    <col width="110" customWidth="1" min="3" max="3"/>
  </cols>
  <sheetData>
    <row r="1">
      <c r="B1" s="1" t="inlineStr">
        <is>
          <t>BẢN DỰ TOÁN TÀI CHÍNH MCN — 36 THÁNG</t>
        </is>
      </c>
    </row>
    <row r="4" ht="28" customHeight="1">
      <c r="B4" s="2" t="inlineStr">
        <is>
          <t>Mục đích</t>
        </is>
      </c>
      <c r="C4" s="3" t="inlineStr">
        <is>
          <t>Bản dự toán phục vụ gọi vốn cho mô hình MCN: (1) build và grow IP người thật, (2) dùng IP bán hàng livestream ăn chia sẻ doanh thu, (3) scale bằng IP AI.</t>
        </is>
      </c>
    </row>
    <row r="5" ht="15" customHeight="1">
      <c r="B5" s="2" t="inlineStr">
        <is>
          <t>Đơn vị tiền tệ</t>
        </is>
      </c>
      <c r="C5" s="3" t="inlineStr">
        <is>
          <t>TRIỆU VND ở mọi sheet. 1.000 = 1 tỷ đồng.</t>
        </is>
      </c>
    </row>
    <row r="6" ht="15" customHeight="1">
      <c r="B6" s="2" t="inlineStr">
        <is>
          <t>Kỳ dự báo</t>
        </is>
      </c>
      <c r="C6" s="3" t="inlineStr">
        <is>
          <t>36 thang, bat dau tu thang dat o Gia_dinh!B5 (mac dinh 01/2027).</t>
        </is>
      </c>
    </row>
    <row r="7" ht="28" customHeight="1">
      <c r="B7" s="2" t="inlineStr">
        <is>
          <t>Cách dùng</t>
        </is>
      </c>
      <c r="C7" s="3" t="inlineStr">
        <is>
          <t>Chỉ sửa các ô màu vàng ở sheet Gia_dinh. Đổi kịch bản tại Gia_dinh!B4 (Downside / Base / Upside) — toàn bộ mô hình tự tính lại.</t>
        </is>
      </c>
    </row>
    <row r="9">
      <c r="B9" s="4" t="inlineStr">
        <is>
          <t>CÁC SHEET</t>
        </is>
      </c>
      <c r="C9" s="5" t="n"/>
    </row>
    <row r="10" ht="28" customHeight="1">
      <c r="B10" s="2" t="inlineStr">
        <is>
          <t>Gia_dinh</t>
        </is>
      </c>
      <c r="C10" s="3" t="inlineStr">
        <is>
          <t>Toàn bộ tham số, ba cột giá trị cho ba kịch bản, cột ĐANG ÁP DỤNG là giá trị mô hình đang dùng. Cột cuối ghi căn cứ của từng giả định.</t>
        </is>
      </c>
    </row>
    <row r="11" ht="28" customHeight="1">
      <c r="B11" s="2" t="inlineStr">
        <is>
          <t>Don_vi_IP</t>
        </is>
      </c>
      <c r="C11" s="3" t="inlineStr">
        <is>
          <t>Unit economics của MỘT IP người thật theo tuổi 0-36 tháng: doanh thu, từng dòng chi phí, lãi gộp, lãi gộp luỹ kế, đỉnh vốn và tháng hoà vốn của một IP.</t>
        </is>
      </c>
    </row>
    <row r="12" ht="15" customHeight="1">
      <c r="B12" s="2" t="inlineStr">
        <is>
          <t>Don_vi_IP_AI</t>
        </is>
      </c>
      <c r="C12" s="3" t="inlineStr">
        <is>
          <t>Unit economics của MỘT IP AI, cùng cấu trúc.</t>
        </is>
      </c>
    </row>
    <row r="13" ht="28" customHeight="1">
      <c r="B13" s="2" t="inlineStr">
        <is>
          <t>Doi_hinh</t>
        </is>
      </c>
      <c r="C13" s="3" t="inlineStr">
        <is>
          <t>Mô hình cohort: số IP ở từng tuổi trong từng tháng = số IP ký mới của tháng tương ứng nhân tỷ lệ sống sót. Đây là nơi cơ chế sàng lọc (cửa T3, cửa T9, rời bỏ hàng năm) chạy.</t>
        </is>
      </c>
    </row>
    <row r="14" ht="28" customHeight="1">
      <c r="B14" s="2" t="inlineStr">
        <is>
          <t>Doanh_thu</t>
        </is>
      </c>
      <c r="C14" s="3" t="inlineStr">
        <is>
          <t>GMV gộp, GMV ròng, và ba dòng doanh thu: hoa hồng affiliate IP người thật, phí booking, hoa hồng affiliate IP AI.</t>
        </is>
      </c>
    </row>
    <row r="15" ht="15" customHeight="1">
      <c r="B15" s="2" t="inlineStr">
        <is>
          <t>Chi_phi</t>
        </is>
      </c>
      <c r="C15" s="3" t="inlineStr">
        <is>
          <t>Chi phí trực tiếp (lấy từ unit economics nhân đội hình) và chi phí tầng công ty.</t>
        </is>
      </c>
    </row>
    <row r="16" ht="15" customHeight="1">
      <c r="B16" s="2" t="inlineStr">
        <is>
          <t>PnL</t>
        </is>
      </c>
      <c r="C16" s="3" t="inlineStr">
        <is>
          <t>Kết quả kinh doanh theo tháng và bảng tổng hợp theo năm 1/2/3.</t>
        </is>
      </c>
    </row>
    <row r="17" ht="15" customHeight="1">
      <c r="B17" s="2" t="inlineStr">
        <is>
          <t>Dong_tien</t>
        </is>
      </c>
      <c r="C17" s="3" t="inlineStr">
        <is>
          <t>Dòng tiền theo tháng, có độ trễ thu tiền (DSO) và trả talent (DPO), nhu cầu vốn luỹ kế và runway.</t>
        </is>
      </c>
    </row>
    <row r="18" ht="15" customHeight="1">
      <c r="B18" s="2" t="inlineStr">
        <is>
          <t>Kich_ban</t>
        </is>
      </c>
      <c r="C18" s="3" t="inlineStr">
        <is>
          <t>Tóm tắt năm kịch bản, gồm hai bài kiểm định rủi ro.</t>
        </is>
      </c>
    </row>
    <row r="20">
      <c r="B20" s="4" t="inlineStr">
        <is>
          <t>BA ĐIỀU CẦN ĐỌC KỸ</t>
        </is>
      </c>
      <c r="C20" s="5" t="n"/>
    </row>
    <row r="21" ht="28" customHeight="1">
      <c r="B21" s="2" t="inlineStr">
        <is>
          <t>1. Phí nền tảng</t>
        </is>
      </c>
      <c r="C21" s="3" t="inlineStr">
        <is>
          <t>Phí TikTok Shop 12,5% (Marketplace) / 15,5% (Mall) do NGƯỜI BÁN chịu, không phải chi phí của MCN, nên không xuất hiện trong bảng này. Chỉ đưa vào nếu MCN tự bán hàng của mình.</t>
        </is>
      </c>
    </row>
    <row r="22" ht="28" customHeight="1">
      <c r="B22" s="2" t="inlineStr">
        <is>
          <t>2. Doanh thu ghi nhận</t>
        </is>
      </c>
      <c r="C22" s="3" t="inlineStr">
        <is>
          <t>Doanh thu MCN = hoa hồng nhãn hàng trả, ghi nhận TRƯỚC khi chia cho talent. Phần chia cho talent nằm trong giá vốn. GMV không phải doanh thu.</t>
        </is>
      </c>
    </row>
    <row r="23" ht="42" customHeight="1">
      <c r="B23" s="2" t="inlineStr">
        <is>
          <t>3. Kịch bản downside</t>
        </is>
      </c>
      <c r="C23" s="3" t="inlineStr">
        <is>
          <t>Một IP chạy dưới ~35tr GMV/phiên ở trạng thái ổn định thì không bao giờ hoàn vốn: càng nuôi lâu càng lỗ. Vì vậy mô hình có hai cửa sàng lọc (tuổi 3 và tuổi 9) và một kịch bản 'Downside + cơ chế cắt' cho thấy việc dừng tuyển sớm giảm thiệt hại thế nào.</t>
        </is>
      </c>
    </row>
    <row r="25">
      <c r="B25" s="4" t="inlineStr">
        <is>
          <t>GIỚI HẠN CỦA BẢN DỰ TOÁN</t>
        </is>
      </c>
      <c r="C25" s="5" t="n"/>
    </row>
    <row r="26" ht="42" customHeight="1">
      <c r="B26" s="2" t="inlineStr">
        <is>
          <t>Giả định, không phải số thực</t>
        </is>
      </c>
      <c r="C26" s="3" t="inlineStr">
        <is>
          <t>Mọi con số là giả định làm việc, chưa có số liệu vận hành thực tế. Cột 'Căn cứ / nguồn' ở sheet Gia_dinh ghi rõ từng dòng đến từ đâu: 'Unit econ' là bộ giả định đơn vị đã chốt, 'Dự toán' là giả định bổ sung của bản dự toán này.</t>
        </is>
      </c>
    </row>
    <row r="27" ht="28" customHeight="1">
      <c r="B27" s="2" t="inlineStr">
        <is>
          <t>Tham số nhạy nhất</t>
        </is>
      </c>
      <c r="C27" s="3" t="inlineStr">
        <is>
          <t>Theo thứ tự ảnh hưởng: GMV/phiên ổn định, tỷ lệ huỷ &amp; hoàn hàng, hoa hồng affiliate, tỷ lệ chia cho talent, tỷ lệ rơi rụng tại cửa sàng lọc, GMV/giờ của IP AI. Có số liệu thực dòng nào thì thay dòng đó trước.</t>
        </is>
      </c>
    </row>
    <row r="28" ht="28" customHeight="1">
      <c r="B28" s="2" t="inlineStr">
        <is>
          <t>Kịch bản Upside</t>
        </is>
      </c>
      <c r="C28" s="3" t="inlineStr">
        <is>
          <t>Upside giả định MỌI IP đều đạt 110tr GMV/phiên — mức của nhóm creator đầu bảng. Đây là trần lý thuyết để đo độ nhạy, không nên dùng làm cam kết với nhà đầu tư.</t>
        </is>
      </c>
    </row>
    <row r="29" ht="28" customHeight="1">
      <c r="B29" s="2" t="inlineStr">
        <is>
          <t>Chưa mô hình hoá</t>
        </is>
      </c>
      <c r="C29" s="3" t="inlineStr">
        <is>
          <t>Lãi vay, biến động tỷ giá, thuế TNCN của talent, dự phòng công nợ khó đòi, và chi phí pháp lý cho tranh chấp hợp đồng độc quyền.</t>
        </is>
      </c>
    </row>
    <row r="30" ht="28" customHeight="1">
      <c r="B30" s="2" t="inlineStr">
        <is>
          <t>Thuế TNDN</t>
        </is>
      </c>
      <c r="C30" s="3" t="inlineStr">
        <is>
          <t>Tính 20% trên thu nhập chịu thuế sau khi bù hết lỗ luỹ kế, nộp trong chính tháng phát sinh. Thực tế tạm nộp theo quý — chênh lệch này không đổi kết luận.</t>
        </is>
      </c>
    </row>
    <row r="32">
      <c r="B32" s="6" t="inlineStr">
        <is>
          <t>Tạo từ finance/build_model.py + finance/params.py. Sửa tham số trong params.py rồi chạy lại script để sinh bản mới, hoặc sửa trực tiếp ở Gia_dinh.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 customWidth="1" min="1" max="1"/>
    <col width="44" customWidth="1" min="2" max="2"/>
    <col width="20" customWidth="1" min="3" max="3"/>
    <col width="20" customWidth="1" min="4" max="4"/>
    <col width="20" customWidth="1" min="5" max="5"/>
    <col width="20" customWidth="1" min="6" max="6"/>
    <col width="20" customWidth="1" min="7" max="7"/>
  </cols>
  <sheetData>
    <row r="1">
      <c r="A1" s="7" t="inlineStr">
        <is>
          <t>TÓM TẮT KỊCH BẢN (triệu VND)</t>
        </is>
      </c>
    </row>
    <row r="2">
      <c r="A2" t="inlineStr">
        <is>
          <t>Bảng này là ảnh chụp tính sẵn cho cả năm kịch bản. Các sheet còn lại chạy theo kịch bản chọn ở Gia_dinh!B4 — đổi ô đó sẽ thấy số ở đây KHÔNG đổi, đây là chủ ý.</t>
        </is>
      </c>
    </row>
    <row r="4">
      <c r="B4" s="8" t="inlineStr">
        <is>
          <t>Chỉ tiêu</t>
        </is>
      </c>
      <c r="C4" s="9" t="inlineStr">
        <is>
          <t>Downside</t>
        </is>
      </c>
      <c r="D4" s="9" t="inlineStr">
        <is>
          <t>Base</t>
        </is>
      </c>
      <c r="E4" s="9" t="inlineStr">
        <is>
          <t>Upside</t>
        </is>
      </c>
      <c r="F4" s="9" t="inlineStr">
        <is>
          <t>Base + sốc tầng AI</t>
        </is>
      </c>
      <c r="G4" s="9" t="inlineStr">
        <is>
          <t>Downside + cơ chế cắt</t>
        </is>
      </c>
    </row>
    <row r="5" ht="46" customHeight="1">
      <c r="C5" s="10" t="inlineStr">
        <is>
          <t>GMV/phiên ổn định 30tr, huỷ/hoàn 25%, hoa hồng 15%</t>
        </is>
      </c>
      <c r="D5" s="10" t="inlineStr">
        <is>
          <t>GMV/phiên ổn định 60tr, huỷ/hoàn 18%, hoa hồng 20%</t>
        </is>
      </c>
      <c r="E5" s="10" t="inlineStr">
        <is>
          <t>GMV/phiên ổn định 110tr, huỷ/hoàn 13%, hoa hồng 24%</t>
        </is>
      </c>
      <c r="F5" s="10" t="inlineStr">
        <is>
          <t>Kiểm định: nền tảng siết nội dung AI, tầng AI mất 60% GMV trong 1 quý từ T25</t>
        </is>
      </c>
      <c r="G5" s="10" t="inlineStr">
        <is>
          <t>Dừng tuyển IP mới từ T7 và không triển khai tầng AI khi thấy unit economics âm</t>
        </is>
      </c>
    </row>
    <row r="6">
      <c r="B6" t="inlineStr">
        <is>
          <t>Doanh thu Nam 1</t>
        </is>
      </c>
      <c r="C6" s="11" t="n">
        <v>1599.591531792678</v>
      </c>
      <c r="D6" s="11" t="n">
        <v>6157.121024686471</v>
      </c>
      <c r="E6" s="11" t="n">
        <v>28331.72405148447</v>
      </c>
      <c r="F6" s="11" t="n">
        <v>6157.121024686471</v>
      </c>
      <c r="G6" s="11" t="n">
        <v>1363.341531792678</v>
      </c>
    </row>
    <row r="7">
      <c r="B7" t="inlineStr">
        <is>
          <t>Doanh thu Nam 2</t>
        </is>
      </c>
      <c r="C7" s="11" t="n">
        <v>9486.52465860076</v>
      </c>
      <c r="D7" s="11" t="n">
        <v>60472.99399259553</v>
      </c>
      <c r="E7" s="11" t="n">
        <v>342845.4864438848</v>
      </c>
      <c r="F7" s="11" t="n">
        <v>60472.99399259553</v>
      </c>
      <c r="G7" s="11" t="n">
        <v>2995.211590223446</v>
      </c>
    </row>
    <row r="8">
      <c r="B8" t="inlineStr">
        <is>
          <t>Doanh thu Nam 3</t>
        </is>
      </c>
      <c r="C8" s="11" t="n">
        <v>24101.21974099127</v>
      </c>
      <c r="D8" s="11" t="n">
        <v>162790.0849461502</v>
      </c>
      <c r="E8" s="11" t="n">
        <v>875699.1463066663</v>
      </c>
      <c r="F8" s="11" t="n">
        <v>155640.5203431345</v>
      </c>
      <c r="G8" s="11" t="n">
        <v>2266.649257119644</v>
      </c>
    </row>
    <row r="9">
      <c r="B9" t="inlineStr">
        <is>
          <t>GMV gop Nam 3</t>
        </is>
      </c>
      <c r="C9" s="11" t="n">
        <v>196599.3301956264</v>
      </c>
      <c r="D9" s="11" t="n">
        <v>1017232.359654399</v>
      </c>
      <c r="E9" s="11" t="n">
        <v>3782691.166917664</v>
      </c>
      <c r="F9" s="11" t="n">
        <v>971401.8173273749</v>
      </c>
      <c r="G9" s="11" t="n">
        <v>20147.99339661906</v>
      </c>
    </row>
    <row r="10">
      <c r="B10" t="inlineStr">
        <is>
          <t>Doanh thu tu IP AI — Nam 3</t>
        </is>
      </c>
      <c r="C10" s="11" t="n">
        <v>11902.77056389976</v>
      </c>
      <c r="D10" s="11" t="n">
        <v>78702.42972483941</v>
      </c>
      <c r="E10" s="11" t="n">
        <v>373592.2268754804</v>
      </c>
      <c r="F10" s="11" t="n">
        <v>71552.86512182366</v>
      </c>
      <c r="G10" s="11" t="n">
        <v>0</v>
      </c>
    </row>
    <row r="11">
      <c r="B11" t="inlineStr">
        <is>
          <t>Loi nhuan gop Nam 3</t>
        </is>
      </c>
      <c r="C11" s="11" t="n">
        <v>-13289.67717981187</v>
      </c>
      <c r="D11" s="11" t="n">
        <v>41258.60459477378</v>
      </c>
      <c r="E11" s="11" t="n">
        <v>499715.046093047</v>
      </c>
      <c r="F11" s="11" t="n">
        <v>35896.43114251197</v>
      </c>
      <c r="G11" s="11" t="n">
        <v>-579.254810152798</v>
      </c>
    </row>
    <row r="12">
      <c r="B12" t="inlineStr">
        <is>
          <t>EBITDA Nam 1</t>
        </is>
      </c>
      <c r="C12" s="11" t="n">
        <v>-13062.89224852302</v>
      </c>
      <c r="D12" s="11" t="n">
        <v>-12473.97965465801</v>
      </c>
      <c r="E12" s="11" t="n">
        <v>-5228.445433276166</v>
      </c>
      <c r="F12" s="11" t="n">
        <v>-12473.97965465801</v>
      </c>
      <c r="G12" s="11" t="n">
        <v>-10717.22974852302</v>
      </c>
    </row>
    <row r="13">
      <c r="B13" t="inlineStr">
        <is>
          <t>EBITDA Nam 2</t>
        </is>
      </c>
      <c r="C13" s="11" t="n">
        <v>-20245.00547104155</v>
      </c>
      <c r="D13" s="11" t="n">
        <v>-6537.116333717145</v>
      </c>
      <c r="E13" s="11" t="n">
        <v>155388.243329346</v>
      </c>
      <c r="F13" s="11" t="n">
        <v>-6537.116333717145</v>
      </c>
      <c r="G13" s="11" t="n">
        <v>-7712.759309652694</v>
      </c>
    </row>
    <row r="14">
      <c r="B14" t="inlineStr">
        <is>
          <t>EBITDA Nam 3</t>
        </is>
      </c>
      <c r="C14" s="11" t="n">
        <v>-24317.71377204161</v>
      </c>
      <c r="D14" s="11" t="n">
        <v>23157.40204638928</v>
      </c>
      <c r="E14" s="11" t="n">
        <v>455770.3217038471</v>
      </c>
      <c r="F14" s="11" t="n">
        <v>18009.71553221794</v>
      </c>
      <c r="G14" s="11" t="n">
        <v>-7352.254287866388</v>
      </c>
    </row>
    <row r="15">
      <c r="B15" t="inlineStr">
        <is>
          <t>Bien EBITDA Nam 3</t>
        </is>
      </c>
      <c r="C15" s="12" t="n">
        <v>-1.008982700186004</v>
      </c>
      <c r="D15" s="12" t="n">
        <v>0.1422531479976166</v>
      </c>
      <c r="E15" s="12" t="n">
        <v>0.5204645038494056</v>
      </c>
      <c r="F15" s="12" t="n">
        <v>0.1157135397164738</v>
      </c>
      <c r="G15" s="12" t="n">
        <v>-3.243666511160753</v>
      </c>
    </row>
    <row r="16">
      <c r="B16" t="inlineStr">
        <is>
          <t>Loi nhuan sau thue luy ke 3 nam</t>
        </is>
      </c>
      <c r="C16" s="11" t="n">
        <v>-57761.61149160617</v>
      </c>
      <c r="D16" s="11" t="n">
        <v>3178.378179744637</v>
      </c>
      <c r="E16" s="11" t="n">
        <v>484560.6290132667</v>
      </c>
      <c r="F16" s="11" t="n">
        <v>-1174.713789490551</v>
      </c>
      <c r="G16" s="11" t="n">
        <v>-25878.24334604209</v>
      </c>
    </row>
    <row r="17">
      <c r="B17" t="inlineStr">
        <is>
          <t>Thang EBITDA duong dau tien</t>
        </is>
      </c>
      <c r="C17" s="11" t="inlineStr">
        <is>
          <t>Không đạt trong 36 tháng</t>
        </is>
      </c>
      <c r="D17" s="11" t="n">
        <v>22</v>
      </c>
      <c r="E17" s="11" t="n">
        <v>11</v>
      </c>
      <c r="F17" s="11" t="n">
        <v>22</v>
      </c>
      <c r="G17" s="11" t="inlineStr">
        <is>
          <t>Không đạt trong 36 tháng</t>
        </is>
      </c>
    </row>
    <row r="18">
      <c r="B18" t="inlineStr">
        <is>
          <t>Thang dong tien duong dau tien</t>
        </is>
      </c>
      <c r="C18" s="11" t="inlineStr">
        <is>
          <t>Không đạt trong 36 tháng</t>
        </is>
      </c>
      <c r="D18" s="11" t="n">
        <v>29</v>
      </c>
      <c r="E18" s="11" t="n">
        <v>13</v>
      </c>
      <c r="F18" s="11" t="n">
        <v>25</v>
      </c>
      <c r="G18" s="11" t="inlineStr">
        <is>
          <t>Không đạt trong 36 tháng</t>
        </is>
      </c>
    </row>
    <row r="19">
      <c r="B19" t="inlineStr">
        <is>
          <t>Nhu cau von dinh diem</t>
        </is>
      </c>
      <c r="C19" s="11" t="n">
        <v>62812.07215632588</v>
      </c>
      <c r="D19" s="11" t="n">
        <v>31799.75631927077</v>
      </c>
      <c r="E19" s="11" t="n">
        <v>12982.42133458499</v>
      </c>
      <c r="F19" s="11" t="n">
        <v>36765.64340928862</v>
      </c>
      <c r="G19" s="11" t="n">
        <v>26187.47495782542</v>
      </c>
    </row>
    <row r="20">
      <c r="B20" t="inlineStr">
        <is>
          <t>Tien cuoi ky thang 36</t>
        </is>
      </c>
      <c r="C20" s="11" t="n">
        <v>-20812.07215632587</v>
      </c>
      <c r="D20" s="11" t="n">
        <v>19612.41917835821</v>
      </c>
      <c r="E20" s="11" t="n">
        <v>439317.3079038733</v>
      </c>
      <c r="F20" s="11" t="n">
        <v>15259.32720912302</v>
      </c>
      <c r="G20" s="11" t="n">
        <v>15812.52504217458</v>
      </c>
    </row>
    <row r="21">
      <c r="B21" t="inlineStr">
        <is>
          <t>So IP nguoi that hoat dong cuoi ky</t>
        </is>
      </c>
      <c r="C21" s="11" t="n">
        <v>26.26849613414596</v>
      </c>
      <c r="D21" s="11" t="n">
        <v>57.85736677707109</v>
      </c>
      <c r="E21" s="11" t="n">
        <v>97.84732206360694</v>
      </c>
      <c r="F21" s="11" t="n">
        <v>57.85736677707109</v>
      </c>
      <c r="G21" s="11" t="n">
        <v>2.444272026752121</v>
      </c>
    </row>
    <row r="22">
      <c r="B22" t="inlineStr">
        <is>
          <t>So IP AI hoat dong cuoi ky</t>
        </is>
      </c>
      <c r="C22" s="11" t="n">
        <v>62.28982358426185</v>
      </c>
      <c r="D22" s="11" t="n">
        <v>141.5065268597517</v>
      </c>
      <c r="E22" s="11" t="n">
        <v>266.8182895935045</v>
      </c>
      <c r="F22" s="11" t="n">
        <v>141.5065268597517</v>
      </c>
      <c r="G22" s="11" t="n">
        <v>0</v>
      </c>
    </row>
    <row r="23">
      <c r="B23" t="inlineStr">
        <is>
          <t>Tong nhan su tang cong ty cuoi ky</t>
        </is>
      </c>
      <c r="C23" s="11" t="n">
        <v>16</v>
      </c>
      <c r="D23" s="11" t="n">
        <v>24</v>
      </c>
      <c r="E23" s="11" t="n">
        <v>35</v>
      </c>
      <c r="F23" s="11" t="n">
        <v>24</v>
      </c>
      <c r="G23" s="11" t="n">
        <v>8</v>
      </c>
    </row>
    <row r="25">
      <c r="B25" s="7" t="inlineStr">
        <is>
          <t>ĐỐI CHIẾU VỚI MÔ HÌNH ĐANG CHẠY (công thức sống)</t>
        </is>
      </c>
    </row>
    <row r="26">
      <c r="B26" t="inlineStr">
        <is>
          <t>Kịch bản đang chạy ở Gia_dinh!B4</t>
        </is>
      </c>
      <c r="C26" s="2">
        <f>Gia_dinh!$B$4</f>
        <v/>
      </c>
    </row>
    <row r="27">
      <c r="B27" t="inlineStr">
        <is>
          <t>Doanh thu Năm 1</t>
        </is>
      </c>
      <c r="C27" s="13">
        <f>PnL!C49</f>
        <v/>
      </c>
    </row>
    <row r="28">
      <c r="B28" t="inlineStr">
        <is>
          <t>Doanh thu Năm 2</t>
        </is>
      </c>
      <c r="C28" s="13">
        <f>PnL!D49</f>
        <v/>
      </c>
    </row>
    <row r="29">
      <c r="B29" t="inlineStr">
        <is>
          <t>Doanh thu Năm 3</t>
        </is>
      </c>
      <c r="C29" s="13">
        <f>PnL!E49</f>
        <v/>
      </c>
    </row>
    <row r="30">
      <c r="B30" t="inlineStr">
        <is>
          <t>EBITDA Năm 3</t>
        </is>
      </c>
      <c r="C30" s="13">
        <f>PnL!E55</f>
        <v/>
      </c>
    </row>
    <row r="31">
      <c r="B31" t="inlineStr">
        <is>
          <t>Nhu cầu vốn đỉnh điểm</t>
        </is>
      </c>
      <c r="C31" s="13">
        <f>MAX(Dong_tien!D25:AM25)</f>
        <v/>
      </c>
    </row>
    <row r="32">
      <c r="B32" t="inlineStr">
        <is>
          <t>Tiền cuối kỳ tháng 36</t>
        </is>
      </c>
      <c r="C32" s="13">
        <f>Dong_tien!AM21</f>
        <v/>
      </c>
    </row>
    <row r="34">
      <c r="B34" t="inlineStr">
        <is>
          <t>Nếu cột này không trùng với cột kịch bản tương ứng ở trên thì một giả định đã bị sửa tay.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2" customWidth="1" min="3" max="3"/>
    <col width="12" customWidth="1" min="4" max="4"/>
    <col width="12" customWidth="1" min="5" max="5"/>
    <col width="15" customWidth="1" min="6" max="6"/>
    <col width="92" customWidth="1" min="7" max="7"/>
  </cols>
  <sheetData>
    <row r="1">
      <c r="A1" s="7" t="inlineStr">
        <is>
          <t>MÔ HÌNH TÀI CHÍNH MCN — BẢNG GIẢ ĐỊNH</t>
        </is>
      </c>
    </row>
    <row r="2">
      <c r="A2" t="inlineStr">
        <is>
          <t>Mọi ô màu vàng là ô nhập liệu. Đổi kịch bản ở B4, toàn bộ mô hình tự tính lại.</t>
        </is>
      </c>
    </row>
    <row r="3">
      <c r="A3" s="2" t="inlineStr">
        <is>
          <t>Đơn vị tiền tệ</t>
        </is>
      </c>
      <c r="B3" t="inlineStr">
        <is>
          <t>triệu VND</t>
        </is>
      </c>
    </row>
    <row r="4">
      <c r="A4" s="14" t="inlineStr">
        <is>
          <t>KỊCH BẢN ĐANG CHẠY</t>
        </is>
      </c>
      <c r="B4" s="15" t="inlineStr">
        <is>
          <t>Base</t>
        </is>
      </c>
      <c r="C4" t="inlineStr">
        <is>
          <t>&lt;- chọn Downside / Base / Upside</t>
        </is>
      </c>
    </row>
    <row r="5">
      <c r="A5" t="inlineStr">
        <is>
          <t>Tháng bắt đầu dự báo</t>
        </is>
      </c>
      <c r="B5" s="16" t="n">
        <v>46388</v>
      </c>
    </row>
    <row r="6">
      <c r="A6" t="inlineStr">
        <is>
          <t>Chỉ số kịch bản</t>
        </is>
      </c>
      <c r="B6">
        <f>MATCH($B$4,$C$8:$E$8,0)</f>
        <v/>
      </c>
    </row>
    <row r="8">
      <c r="A8" s="8" t="inlineStr">
        <is>
          <t>Tham số</t>
        </is>
      </c>
      <c r="B8" s="8" t="inlineStr">
        <is>
          <t>Đơn vị</t>
        </is>
      </c>
      <c r="C8" s="8" t="inlineStr">
        <is>
          <t>Downside</t>
        </is>
      </c>
      <c r="D8" s="8" t="inlineStr">
        <is>
          <t>Base</t>
        </is>
      </c>
      <c r="E8" s="8" t="inlineStr">
        <is>
          <t>Upside</t>
        </is>
      </c>
      <c r="F8" s="8" t="inlineStr">
        <is>
          <t>ĐANG ÁP DỤNG</t>
        </is>
      </c>
      <c r="G8" s="8" t="inlineStr">
        <is>
          <t>Căn cứ / nguồn</t>
        </is>
      </c>
    </row>
    <row r="9">
      <c r="A9" s="4" t="inlineStr">
        <is>
          <t>A. KẾ HOẠCH ĐỘI HÌNH IP (quyết định của công ty)</t>
        </is>
      </c>
      <c r="B9" s="5" t="n"/>
      <c r="C9" s="5" t="n"/>
      <c r="D9" s="5" t="n"/>
      <c r="E9" s="5" t="n"/>
      <c r="F9" s="5" t="n"/>
      <c r="G9" s="5" t="n"/>
    </row>
    <row r="10">
      <c r="A10" t="inlineStr">
        <is>
          <t>Số IP người thật ký mới / tháng — T1-T6</t>
        </is>
      </c>
      <c r="B10" t="inlineStr">
        <is>
          <t>IP/tháng</t>
        </is>
      </c>
      <c r="C10" s="17" t="n">
        <v>2</v>
      </c>
      <c r="D10" s="17" t="n">
        <v>2</v>
      </c>
      <c r="E10" s="17" t="n">
        <v>3</v>
      </c>
      <c r="F10" s="18">
        <f>INDEX($C10:$E10,1,$B$6)</f>
        <v/>
      </c>
      <c r="G10" t="inlineStr">
        <is>
          <t>Dự toán: năng lực casting + ươm tạo giai đoạn đầu</t>
        </is>
      </c>
    </row>
    <row r="11">
      <c r="A11" t="inlineStr">
        <is>
          <t>Số IP người thật ký mới / tháng — T7-T18</t>
        </is>
      </c>
      <c r="B11" t="inlineStr">
        <is>
          <t>IP/tháng</t>
        </is>
      </c>
      <c r="C11" s="17" t="n">
        <v>2</v>
      </c>
      <c r="D11" s="17" t="n">
        <v>3</v>
      </c>
      <c r="E11" s="17" t="n">
        <v>4</v>
      </c>
      <c r="F11" s="18">
        <f>INDEX($C11:$E11,1,$B$6)</f>
        <v/>
      </c>
      <c r="G11" t="inlineStr">
        <is>
          <t>Dự toán: tăng khi quy trình ươm tạo chạy ổn định</t>
        </is>
      </c>
    </row>
    <row r="12">
      <c r="A12" t="inlineStr">
        <is>
          <t>Số IP người thật ký mới / tháng — T19-T36</t>
        </is>
      </c>
      <c r="B12" t="inlineStr">
        <is>
          <t>IP/tháng</t>
        </is>
      </c>
      <c r="C12" s="17" t="n">
        <v>2</v>
      </c>
      <c r="D12" s="17" t="n">
        <v>3</v>
      </c>
      <c r="E12" s="17" t="n">
        <v>4</v>
      </c>
      <c r="F12" s="18">
        <f>INDEX($C12:$E12,1,$B$6)</f>
        <v/>
      </c>
      <c r="G12" t="inlineStr">
        <is>
          <t>Dự toán</t>
        </is>
      </c>
    </row>
    <row r="13">
      <c r="A13" t="inlineStr">
        <is>
          <t>Tháng bắt đầu ra mắt IP AI</t>
        </is>
      </c>
      <c r="B13" t="inlineStr">
        <is>
          <t>tháng</t>
        </is>
      </c>
      <c r="C13" s="17" t="n">
        <v>15</v>
      </c>
      <c r="D13" s="17" t="n">
        <v>13</v>
      </c>
      <c r="E13" s="17" t="n">
        <v>11</v>
      </c>
      <c r="F13" s="18">
        <f>INDEX($C13:$E13,1,$B$6)</f>
        <v/>
      </c>
      <c r="G13" t="inlineStr">
        <is>
          <t>Dự toán: sau khi có đủ dữ liệu bán hàng từ IP người thật</t>
        </is>
      </c>
    </row>
    <row r="14">
      <c r="A14" t="inlineStr">
        <is>
          <t>Số IP AI ra mắt / tháng — 12 tháng đầu</t>
        </is>
      </c>
      <c r="B14" t="inlineStr">
        <is>
          <t>IP/tháng</t>
        </is>
      </c>
      <c r="C14" s="17" t="n">
        <v>3</v>
      </c>
      <c r="D14" s="17" t="n">
        <v>5</v>
      </c>
      <c r="E14" s="17" t="n">
        <v>8</v>
      </c>
      <c r="F14" s="18">
        <f>INDEX($C14:$E14,1,$B$6)</f>
        <v/>
      </c>
      <c r="G14" t="inlineStr">
        <is>
          <t>Dự toán</t>
        </is>
      </c>
    </row>
    <row r="15">
      <c r="A15" t="inlineStr">
        <is>
          <t>Số IP AI ra mắt / tháng — giai đoạn sau</t>
        </is>
      </c>
      <c r="B15" t="inlineStr">
        <is>
          <t>IP/tháng</t>
        </is>
      </c>
      <c r="C15" s="17" t="n">
        <v>5</v>
      </c>
      <c r="D15" s="17" t="n">
        <v>10</v>
      </c>
      <c r="E15" s="17" t="n">
        <v>16</v>
      </c>
      <c r="F15" s="18">
        <f>INDEX($C15:$E15,1,$B$6)</f>
        <v/>
      </c>
      <c r="G15" t="inlineStr">
        <is>
          <t>Dự toán</t>
        </is>
      </c>
    </row>
    <row r="17">
      <c r="A17" s="4" t="inlineStr">
        <is>
          <t>B. CƠ CHẾ SÀNG LỌC &amp; RƠI RỤNG IP NGƯỜI THẬT</t>
        </is>
      </c>
      <c r="B17" s="5" t="n"/>
      <c r="C17" s="5" t="n"/>
      <c r="D17" s="5" t="n"/>
      <c r="E17" s="5" t="n"/>
      <c r="F17" s="5" t="n"/>
      <c r="G17" s="5" t="n"/>
    </row>
    <row r="18">
      <c r="A18" t="inlineStr">
        <is>
          <t>Cửa sàng lọc 1 — tuổi IP (tháng)</t>
        </is>
      </c>
      <c r="B18" t="inlineStr">
        <is>
          <t>tháng</t>
        </is>
      </c>
      <c r="C18" s="17" t="n">
        <v>3</v>
      </c>
      <c r="D18" s="17" t="n">
        <v>3</v>
      </c>
      <c r="E18" s="17" t="n">
        <v>3</v>
      </c>
      <c r="F18" s="18">
        <f>INDEX($C18:$E18,1,$B$6)</f>
        <v/>
      </c>
      <c r="G18" t="inlineStr">
        <is>
          <t>Unit econ: chuyển cửa về T2 tiết kiệm ~126tr mỗi 10 IP tuyển</t>
        </is>
      </c>
    </row>
    <row r="19">
      <c r="A19" t="inlineStr">
        <is>
          <t>% IP bị loại tại cửa 1</t>
        </is>
      </c>
      <c r="B19" t="inlineStr">
        <is>
          <t>%</t>
        </is>
      </c>
      <c r="C19" s="19" t="n">
        <v>0.45</v>
      </c>
      <c r="D19" s="19" t="n">
        <v>0.3</v>
      </c>
      <c r="E19" s="19" t="n">
        <v>0.2</v>
      </c>
      <c r="F19" s="20">
        <f>INDEX($C19:$E19,1,$B$6)</f>
        <v/>
      </c>
      <c r="G19" t="inlineStr">
        <is>
          <t>Unit econ mục 6: 30% IP bị loại ở cửa tháng 3 (base)</t>
        </is>
      </c>
    </row>
    <row r="20">
      <c r="A20" t="inlineStr">
        <is>
          <t>Cửa sàng lọc 2 — tuổi IP (tháng)</t>
        </is>
      </c>
      <c r="B20" t="inlineStr">
        <is>
          <t>tháng</t>
        </is>
      </c>
      <c r="C20" s="17" t="n">
        <v>9</v>
      </c>
      <c r="D20" s="17" t="n">
        <v>9</v>
      </c>
      <c r="E20" s="17" t="n">
        <v>9</v>
      </c>
      <c r="F20" s="18">
        <f>INDEX($C20:$E20,1,$B$6)</f>
        <v/>
      </c>
      <c r="G20" t="inlineStr">
        <is>
          <t>Dự toán: cắt IP chưa đạt lãi gộp dương trước khi vào ổn định</t>
        </is>
      </c>
    </row>
    <row r="21">
      <c r="A21" t="inlineStr">
        <is>
          <t>% IP bị loại tại cửa 2</t>
        </is>
      </c>
      <c r="B21" t="inlineStr">
        <is>
          <t>%</t>
        </is>
      </c>
      <c r="C21" s="19" t="n">
        <v>0.35</v>
      </c>
      <c r="D21" s="19" t="n">
        <v>0.15</v>
      </c>
      <c r="E21" s="19" t="n">
        <v>0.05</v>
      </c>
      <c r="F21" s="20">
        <f>INDEX($C21:$E21,1,$B$6)</f>
        <v/>
      </c>
      <c r="G21" t="inlineStr">
        <is>
          <t>Dự toán: cơ chế cắt bắt buộc vì IP dưới ~35tr GMV/phiên không bao giờ hoàn vốn</t>
        </is>
      </c>
    </row>
    <row r="22">
      <c r="A22" t="inlineStr">
        <is>
          <t>Tỷ lệ IP rời bỏ / năm sau khi ổn định</t>
        </is>
      </c>
      <c r="B22" t="inlineStr">
        <is>
          <t>%/năm</t>
        </is>
      </c>
      <c r="C22" s="19" t="n">
        <v>0.25</v>
      </c>
      <c r="D22" s="19" t="n">
        <v>0.15</v>
      </c>
      <c r="E22" s="19" t="n">
        <v>0.1</v>
      </c>
      <c r="F22" s="20">
        <f>INDEX($C22:$E22,1,$B$6)</f>
        <v/>
      </c>
      <c r="G22" t="inlineStr">
        <is>
          <t>Unit econ: 15%/năm (base)</t>
        </is>
      </c>
    </row>
    <row r="23">
      <c r="A23" t="inlineStr">
        <is>
          <t>Tỷ lệ IP AI ngừng hoạt động / năm</t>
        </is>
      </c>
      <c r="B23" t="inlineStr">
        <is>
          <t>%/năm</t>
        </is>
      </c>
      <c r="C23" s="19" t="n">
        <v>0.4</v>
      </c>
      <c r="D23" s="19" t="n">
        <v>0.25</v>
      </c>
      <c r="E23" s="19" t="n">
        <v>0.15</v>
      </c>
      <c r="F23" s="20">
        <f>INDEX($C23:$E23,1,$B$6)</f>
        <v/>
      </c>
      <c r="G23" t="inlineStr">
        <is>
          <t>Dự toán: rủi ro nền tảng siết nội dung AI</t>
        </is>
      </c>
    </row>
    <row r="25">
      <c r="A25" s="4" t="inlineStr">
        <is>
          <t>C. DOANH THU CHUNG</t>
        </is>
      </c>
      <c r="B25" s="5" t="n"/>
      <c r="C25" s="5" t="n"/>
      <c r="D25" s="5" t="n"/>
      <c r="E25" s="5" t="n"/>
      <c r="F25" s="5" t="n"/>
      <c r="G25" s="5" t="n"/>
    </row>
    <row r="26">
      <c r="A26" t="inlineStr">
        <is>
          <t>Tỷ lệ huỷ &amp; hoàn hàng — IP người thật</t>
        </is>
      </c>
      <c r="B26" t="inlineStr">
        <is>
          <t>% GMV gộp</t>
        </is>
      </c>
      <c r="C26" s="19" t="n">
        <v>0.25</v>
      </c>
      <c r="D26" s="19" t="n">
        <v>0.18</v>
      </c>
      <c r="E26" s="19" t="n">
        <v>0.13</v>
      </c>
      <c r="F26" s="20">
        <f>INDEX($C26:$E26,1,$B$6)</f>
        <v/>
      </c>
      <c r="G26" t="inlineStr">
        <is>
          <t>Unit econ mục 4: base 18% (10% huỷ + 8% hoàn)</t>
        </is>
      </c>
    </row>
    <row r="27">
      <c r="A27" t="inlineStr">
        <is>
          <t>Hoa hồng affiliate từ nhãn hàng</t>
        </is>
      </c>
      <c r="B27" t="inlineStr">
        <is>
          <t>% GMV ròng</t>
        </is>
      </c>
      <c r="C27" s="19" t="n">
        <v>0.15</v>
      </c>
      <c r="D27" s="19" t="n">
        <v>0.2</v>
      </c>
      <c r="E27" s="19" t="n">
        <v>0.24</v>
      </c>
      <c r="F27" s="20">
        <f>INDEX($C27:$E27,1,$B$6)</f>
        <v/>
      </c>
      <c r="G27" t="inlineStr">
        <is>
          <t>Unit econ mục 1: dải 12-30%, tuỳ ngành hàng</t>
        </is>
      </c>
    </row>
    <row r="28">
      <c r="A28" t="inlineStr">
        <is>
          <t>Phí booking cố định mỗi phiên</t>
        </is>
      </c>
      <c r="B28" t="inlineStr">
        <is>
          <t>triệu/phiên</t>
        </is>
      </c>
      <c r="C28" s="17" t="n">
        <v>0</v>
      </c>
      <c r="D28" s="17" t="n">
        <v>0</v>
      </c>
      <c r="E28" s="17" t="n">
        <v>10</v>
      </c>
      <c r="F28" s="18">
        <f>INDEX($C28:$E28,1,$B$6)</f>
        <v/>
      </c>
      <c r="G28" t="inlineStr">
        <is>
          <t>Unit econ: 5-15tr/phiên với IP đã có tên tuổi; base để 0</t>
        </is>
      </c>
    </row>
    <row r="29">
      <c r="A29" t="inlineStr">
        <is>
          <t>Tuổi IP bắt đầu thu phí booking</t>
        </is>
      </c>
      <c r="B29" t="inlineStr">
        <is>
          <t>tháng</t>
        </is>
      </c>
      <c r="C29" s="17" t="n">
        <v>10</v>
      </c>
      <c r="D29" s="17" t="n">
        <v>10</v>
      </c>
      <c r="E29" s="17" t="n">
        <v>10</v>
      </c>
      <c r="F29" s="18">
        <f>INDEX($C29:$E29,1,$B$6)</f>
        <v/>
      </c>
      <c r="G29" t="inlineStr">
        <is>
          <t>Unit econ mục 1</t>
        </is>
      </c>
    </row>
    <row r="30">
      <c r="A30" t="inlineStr">
        <is>
          <t>Thưởng đạt target của nhãn hàng/sàn</t>
        </is>
      </c>
      <c r="B30" t="inlineStr">
        <is>
          <t>% GMV ròng</t>
        </is>
      </c>
      <c r="C30" s="19" t="n">
        <v>0</v>
      </c>
      <c r="D30" s="19" t="n">
        <v>0</v>
      </c>
      <c r="E30" s="19" t="n">
        <v>0.02</v>
      </c>
      <c r="F30" s="20">
        <f>INDEX($C30:$E30,1,$B$6)</f>
        <v/>
      </c>
      <c r="G30" t="inlineStr">
        <is>
          <t>Unit econ: 1-3% theo chiến dịch; base để 0</t>
        </is>
      </c>
    </row>
    <row r="32">
      <c r="A32" s="4" t="inlineStr">
        <is>
          <t>D. VÒNG ĐỜI 1 IP NGƯỜI THẬT</t>
        </is>
      </c>
      <c r="B32" s="5" t="n"/>
      <c r="C32" s="5" t="n"/>
      <c r="D32" s="5" t="n"/>
      <c r="E32" s="5" t="n"/>
      <c r="F32" s="5" t="n"/>
      <c r="G32" s="5" t="n"/>
    </row>
    <row r="33">
      <c r="A33" t="inlineStr">
        <is>
          <t>Chi phí dựng IP một lần (tuổi 0)</t>
        </is>
      </c>
      <c r="B33" t="inlineStr">
        <is>
          <t>triệu/IP</t>
        </is>
      </c>
      <c r="C33" s="17" t="n">
        <v>80</v>
      </c>
      <c r="D33" s="17" t="n">
        <v>60</v>
      </c>
      <c r="E33" s="17" t="n">
        <v>55</v>
      </c>
      <c r="F33" s="18">
        <f>INDEX($C33:$E33,1,$B$6)</f>
        <v/>
      </c>
      <c r="G33" t="inlineStr">
        <is>
          <t>Unit econ mục 3: casting 8 + đào tạo 15 + nhận diện 20 + thưởng ký 15 + pháp lý 2</t>
        </is>
      </c>
    </row>
    <row r="34">
      <c r="A34" t="inlineStr">
        <is>
          <t>GMV/phiên — ươm (tuổi 1-3)</t>
        </is>
      </c>
      <c r="B34" t="inlineStr">
        <is>
          <t>triệu</t>
        </is>
      </c>
      <c r="C34" s="17" t="n">
        <v>5</v>
      </c>
      <c r="D34" s="17" t="n">
        <v>10</v>
      </c>
      <c r="E34" s="17" t="n">
        <v>18</v>
      </c>
      <c r="F34" s="18">
        <f>INDEX($C34:$E34,1,$B$6)</f>
        <v/>
      </c>
      <c r="G34" t="inlineStr">
        <is>
          <t>Unit econ mục 2</t>
        </is>
      </c>
    </row>
    <row r="35">
      <c r="A35" t="inlineStr">
        <is>
          <t>Số phiên/tháng — ươm</t>
        </is>
      </c>
      <c r="B35" t="inlineStr">
        <is>
          <t>phiên</t>
        </is>
      </c>
      <c r="C35" s="17" t="n">
        <v>12</v>
      </c>
      <c r="D35" s="17" t="n">
        <v>12</v>
      </c>
      <c r="E35" s="17" t="n">
        <v>12</v>
      </c>
      <c r="F35" s="18">
        <f>INDEX($C35:$E35,1,$B$6)</f>
        <v/>
      </c>
      <c r="G35" t="inlineStr">
        <is>
          <t>Unit econ mục 2</t>
        </is>
      </c>
    </row>
    <row r="36">
      <c r="A36" t="inlineStr">
        <is>
          <t>GMV/phiên — tăng trưởng sớm (tuổi 4-6)</t>
        </is>
      </c>
      <c r="B36" t="inlineStr">
        <is>
          <t>triệu</t>
        </is>
      </c>
      <c r="C36" s="17" t="n">
        <v>12.5</v>
      </c>
      <c r="D36" s="17" t="n">
        <v>25</v>
      </c>
      <c r="E36" s="17" t="n">
        <v>46</v>
      </c>
      <c r="F36" s="18">
        <f>INDEX($C36:$E36,1,$B$6)</f>
        <v/>
      </c>
      <c r="G36" t="inlineStr">
        <is>
          <t>Unit econ mục 2</t>
        </is>
      </c>
    </row>
    <row r="37">
      <c r="A37" t="inlineStr">
        <is>
          <t>Số phiên/tháng — tăng trưởng sớm</t>
        </is>
      </c>
      <c r="B37" t="inlineStr">
        <is>
          <t>phiên</t>
        </is>
      </c>
      <c r="C37" s="17" t="n">
        <v>16</v>
      </c>
      <c r="D37" s="17" t="n">
        <v>16</v>
      </c>
      <c r="E37" s="17" t="n">
        <v>16</v>
      </c>
      <c r="F37" s="18">
        <f>INDEX($C37:$E37,1,$B$6)</f>
        <v/>
      </c>
      <c r="G37" t="inlineStr">
        <is>
          <t>Unit econ mục 2</t>
        </is>
      </c>
    </row>
    <row r="38">
      <c r="A38" t="inlineStr">
        <is>
          <t>GMV/phiên — tăng trưởng (tuổi 7-9)</t>
        </is>
      </c>
      <c r="B38" t="inlineStr">
        <is>
          <t>triệu</t>
        </is>
      </c>
      <c r="C38" s="17" t="n">
        <v>20</v>
      </c>
      <c r="D38" s="17" t="n">
        <v>40</v>
      </c>
      <c r="E38" s="17" t="n">
        <v>73</v>
      </c>
      <c r="F38" s="18">
        <f>INDEX($C38:$E38,1,$B$6)</f>
        <v/>
      </c>
      <c r="G38" t="inlineStr">
        <is>
          <t>Unit econ mục 2</t>
        </is>
      </c>
    </row>
    <row r="39">
      <c r="A39" t="inlineStr">
        <is>
          <t>Số phiên/tháng — tăng trưởng</t>
        </is>
      </c>
      <c r="B39" t="inlineStr">
        <is>
          <t>phiên</t>
        </is>
      </c>
      <c r="C39" s="17" t="n">
        <v>18</v>
      </c>
      <c r="D39" s="17" t="n">
        <v>18</v>
      </c>
      <c r="E39" s="17" t="n">
        <v>18</v>
      </c>
      <c r="F39" s="18">
        <f>INDEX($C39:$E39,1,$B$6)</f>
        <v/>
      </c>
      <c r="G39" t="inlineStr">
        <is>
          <t>Unit econ mục 2</t>
        </is>
      </c>
    </row>
    <row r="40">
      <c r="A40" t="inlineStr">
        <is>
          <t>GMV/phiên — ổn định (tuổi 10+)</t>
        </is>
      </c>
      <c r="B40" t="inlineStr">
        <is>
          <t>triệu</t>
        </is>
      </c>
      <c r="C40" s="17" t="n">
        <v>30</v>
      </c>
      <c r="D40" s="17" t="n">
        <v>60</v>
      </c>
      <c r="E40" s="17" t="n">
        <v>110</v>
      </c>
      <c r="F40" s="18">
        <f>INDEX($C40:$E40,1,$B$6)</f>
        <v/>
      </c>
      <c r="G40" t="inlineStr">
        <is>
          <t>Unit econ mục 8: biến quyết định sống còn, dưới 35tr không hoàn vốn</t>
        </is>
      </c>
    </row>
    <row r="41">
      <c r="A41" t="inlineStr">
        <is>
          <t>Số phiên/tháng — ổn định</t>
        </is>
      </c>
      <c r="B41" t="inlineStr">
        <is>
          <t>phiên</t>
        </is>
      </c>
      <c r="C41" s="17" t="n">
        <v>20</v>
      </c>
      <c r="D41" s="17" t="n">
        <v>20</v>
      </c>
      <c r="E41" s="17" t="n">
        <v>20</v>
      </c>
      <c r="F41" s="18">
        <f>INDEX($C41:$E41,1,$B$6)</f>
        <v/>
      </c>
      <c r="G41" t="inlineStr">
        <is>
          <t>Unit econ mục 2: 4 giờ/phiên</t>
        </is>
      </c>
    </row>
    <row r="43">
      <c r="A43" s="4" t="inlineStr">
        <is>
          <t>E. CHI PHÍ 1 IP NGƯỜI THẬT / THÁNG</t>
        </is>
      </c>
      <c r="B43" s="5" t="n"/>
      <c r="C43" s="5" t="n"/>
      <c r="D43" s="5" t="n"/>
      <c r="E43" s="5" t="n"/>
      <c r="F43" s="5" t="n"/>
      <c r="G43" s="5" t="n"/>
    </row>
    <row r="44">
      <c r="A44" t="inlineStr">
        <is>
          <t>Lương cứng talent — ươm (tuổi 1-3)</t>
        </is>
      </c>
      <c r="B44" t="inlineStr">
        <is>
          <t>triệu/tháng</t>
        </is>
      </c>
      <c r="C44" s="17" t="n">
        <v>12</v>
      </c>
      <c r="D44" s="17" t="n">
        <v>12</v>
      </c>
      <c r="E44" s="17" t="n">
        <v>12</v>
      </c>
      <c r="F44" s="18">
        <f>INDEX($C44:$E44,1,$B$6)</f>
        <v/>
      </c>
      <c r="G44" t="inlineStr">
        <is>
          <t>Unit econ mục 3</t>
        </is>
      </c>
    </row>
    <row r="45">
      <c r="A45" t="inlineStr">
        <is>
          <t>Lương cứng talent — từ tuổi 4</t>
        </is>
      </c>
      <c r="B45" t="inlineStr">
        <is>
          <t>triệu/tháng</t>
        </is>
      </c>
      <c r="C45" s="17" t="n">
        <v>15</v>
      </c>
      <c r="D45" s="17" t="n">
        <v>15</v>
      </c>
      <c r="E45" s="17" t="n">
        <v>15</v>
      </c>
      <c r="F45" s="18">
        <f>INDEX($C45:$E45,1,$B$6)</f>
        <v/>
      </c>
      <c r="G45" t="inlineStr">
        <is>
          <t>Unit econ mục 3: thị trường thuê ngoài 15-50tr</t>
        </is>
      </c>
    </row>
    <row r="46">
      <c r="A46" t="inlineStr">
        <is>
          <t>Chia hoa hồng cho talent</t>
        </is>
      </c>
      <c r="B46" t="inlineStr">
        <is>
          <t>% DT từ IP</t>
        </is>
      </c>
      <c r="C46" s="19" t="n">
        <v>0.3</v>
      </c>
      <c r="D46" s="19" t="n">
        <v>0.3</v>
      </c>
      <c r="E46" s="19" t="n">
        <v>0.28</v>
      </c>
      <c r="F46" s="20">
        <f>INDEX($C46:$E46,1,$B$6)</f>
        <v/>
      </c>
      <c r="G46" t="inlineStr">
        <is>
          <t>Unit econ mục 1: dải 25-35%, là quyết định thương mại</t>
        </is>
      </c>
    </row>
    <row r="47">
      <c r="A47" t="inlineStr">
        <is>
          <t>Ê-kíp nội dung + ê-kíp live phân bổ</t>
        </is>
      </c>
      <c r="B47" t="inlineStr">
        <is>
          <t>triệu/tháng</t>
        </is>
      </c>
      <c r="C47" s="17" t="n">
        <v>27</v>
      </c>
      <c r="D47" s="17" t="n">
        <v>27</v>
      </c>
      <c r="E47" s="17" t="n">
        <v>27</v>
      </c>
      <c r="F47" s="18">
        <f>INDEX($C47:$E47,1,$B$6)</f>
        <v/>
      </c>
      <c r="G47" t="inlineStr">
        <is>
          <t>Unit econ mục 3: 1 ê-kíp 3 người ~40tr phục vụ 1,5 IP</t>
        </is>
      </c>
    </row>
    <row r="48">
      <c r="A48" t="inlineStr">
        <is>
          <t>Studio, thiết bị, phần mềm phân bổ</t>
        </is>
      </c>
      <c r="B48" t="inlineStr">
        <is>
          <t>triệu/tháng</t>
        </is>
      </c>
      <c r="C48" s="17" t="n">
        <v>6</v>
      </c>
      <c r="D48" s="17" t="n">
        <v>6</v>
      </c>
      <c r="E48" s="17" t="n">
        <v>6</v>
      </c>
      <c r="F48" s="18">
        <f>INDEX($C48:$E48,1,$B$6)</f>
        <v/>
      </c>
      <c r="G48" t="inlineStr">
        <is>
          <t>Unit econ mục 3: 1 studio ~18tr phục vụ 3 IP theo ca</t>
        </is>
      </c>
    </row>
    <row r="49">
      <c r="A49" t="inlineStr">
        <is>
          <t>Quảng cáo kéo view — ươm</t>
        </is>
      </c>
      <c r="B49" t="inlineStr">
        <is>
          <t>% GMV ròng</t>
        </is>
      </c>
      <c r="C49" s="19" t="n">
        <v>0.08</v>
      </c>
      <c r="D49" s="19" t="n">
        <v>0.08</v>
      </c>
      <c r="E49" s="19" t="n">
        <v>0.08</v>
      </c>
      <c r="F49" s="20">
        <f>INDEX($C49:$E49,1,$B$6)</f>
        <v/>
      </c>
      <c r="G49" t="inlineStr">
        <is>
          <t>Unit econ script: LIFECYCLE giai đoạn 1</t>
        </is>
      </c>
    </row>
    <row r="50">
      <c r="A50" t="inlineStr">
        <is>
          <t>Quảng cáo kéo view — tăng trưởng sớm</t>
        </is>
      </c>
      <c r="B50" t="inlineStr">
        <is>
          <t>% GMV ròng</t>
        </is>
      </c>
      <c r="C50" s="19" t="n">
        <v>0.05</v>
      </c>
      <c r="D50" s="19" t="n">
        <v>0.05</v>
      </c>
      <c r="E50" s="19" t="n">
        <v>0.05</v>
      </c>
      <c r="F50" s="20">
        <f>INDEX($C50:$E50,1,$B$6)</f>
        <v/>
      </c>
      <c r="G50" t="inlineStr">
        <is>
          <t>Unit econ script: LIFECYCLE giai đoạn 2</t>
        </is>
      </c>
    </row>
    <row r="51">
      <c r="A51" t="inlineStr">
        <is>
          <t>Quảng cáo kéo view — tăng trưởng</t>
        </is>
      </c>
      <c r="B51" t="inlineStr">
        <is>
          <t>% GMV ròng</t>
        </is>
      </c>
      <c r="C51" s="19" t="n">
        <v>0.04</v>
      </c>
      <c r="D51" s="19" t="n">
        <v>0.04</v>
      </c>
      <c r="E51" s="19" t="n">
        <v>0.04</v>
      </c>
      <c r="F51" s="20">
        <f>INDEX($C51:$E51,1,$B$6)</f>
        <v/>
      </c>
      <c r="G51" t="inlineStr">
        <is>
          <t>Unit econ script: LIFECYCLE giai đoạn 3</t>
        </is>
      </c>
    </row>
    <row r="52">
      <c r="A52" t="inlineStr">
        <is>
          <t>Quảng cáo kéo view — ổn định</t>
        </is>
      </c>
      <c r="B52" t="inlineStr">
        <is>
          <t>% GMV ròng</t>
        </is>
      </c>
      <c r="C52" s="19" t="n">
        <v>0.03</v>
      </c>
      <c r="D52" s="19" t="n">
        <v>0.03</v>
      </c>
      <c r="E52" s="19" t="n">
        <v>0.03</v>
      </c>
      <c r="F52" s="20">
        <f>INDEX($C52:$E52,1,$B$6)</f>
        <v/>
      </c>
      <c r="G52" t="inlineStr">
        <is>
          <t>Unit econ script: LIFECYCLE giai đoạn 4</t>
        </is>
      </c>
    </row>
    <row r="53">
      <c r="A53" t="inlineStr">
        <is>
          <t>Mẫu sản phẩm, đạo cụ, phát sinh</t>
        </is>
      </c>
      <c r="B53" t="inlineStr">
        <is>
          <t>triệu/tháng</t>
        </is>
      </c>
      <c r="C53" s="17" t="n">
        <v>3</v>
      </c>
      <c r="D53" s="17" t="n">
        <v>3</v>
      </c>
      <c r="E53" s="17" t="n">
        <v>3</v>
      </c>
      <c r="F53" s="18">
        <f>INDEX($C53:$E53,1,$B$6)</f>
        <v/>
      </c>
      <c r="G53" t="inlineStr">
        <is>
          <t>Unit econ mục 3</t>
        </is>
      </c>
    </row>
    <row r="55">
      <c r="A55" s="4" t="inlineStr">
        <is>
          <t>F. 1 IP AI</t>
        </is>
      </c>
      <c r="B55" s="5" t="n"/>
      <c r="C55" s="5" t="n"/>
      <c r="D55" s="5" t="n"/>
      <c r="E55" s="5" t="n"/>
      <c r="F55" s="5" t="n"/>
      <c r="G55" s="5" t="n"/>
    </row>
    <row r="56">
      <c r="A56" t="inlineStr">
        <is>
          <t>Chi phí dựng IP AI một lần</t>
        </is>
      </c>
      <c r="B56" t="inlineStr">
        <is>
          <t>triệu/IP</t>
        </is>
      </c>
      <c r="C56" s="17" t="n">
        <v>30</v>
      </c>
      <c r="D56" s="17" t="n">
        <v>30</v>
      </c>
      <c r="E56" s="17" t="n">
        <v>30</v>
      </c>
      <c r="F56" s="18">
        <f>INDEX($C56:$E56,1,$B$6)</f>
        <v/>
      </c>
      <c r="G56" t="inlineStr">
        <is>
          <t>Unit econ mục 7: nhân vật + voice + persona + tích hợp</t>
        </is>
      </c>
    </row>
    <row r="57">
      <c r="A57" t="inlineStr">
        <is>
          <t>Số tháng ramp trước khi bán được</t>
        </is>
      </c>
      <c r="B57" t="inlineStr">
        <is>
          <t>tháng</t>
        </is>
      </c>
      <c r="C57" s="17" t="n">
        <v>2</v>
      </c>
      <c r="D57" s="17" t="n">
        <v>1</v>
      </c>
      <c r="E57" s="17" t="n">
        <v>0</v>
      </c>
      <c r="F57" s="18">
        <f>INDEX($C57:$E57,1,$B$6)</f>
        <v/>
      </c>
      <c r="G57" t="inlineStr">
        <is>
          <t>Unit econ: 6 / 4 / 2 tuần tương ứng downside-base-upside</t>
        </is>
      </c>
    </row>
    <row r="58">
      <c r="A58" t="inlineStr">
        <is>
          <t>GMV mỗi giờ live</t>
        </is>
      </c>
      <c r="B58" t="inlineStr">
        <is>
          <t>triệu/giờ</t>
        </is>
      </c>
      <c r="C58" s="17" t="n">
        <v>0.8</v>
      </c>
      <c r="D58" s="17" t="n">
        <v>1.5</v>
      </c>
      <c r="E58" s="17" t="n">
        <v>2.5</v>
      </c>
      <c r="F58" s="18">
        <f>INDEX($C58:$E58,1,$B$6)</f>
        <v/>
      </c>
      <c r="G58" t="inlineStr">
        <is>
          <t>Unit econ mục 8: tham số ít dữ liệu công khai nhất</t>
        </is>
      </c>
    </row>
    <row r="59">
      <c r="A59" t="inlineStr">
        <is>
          <t>Số giờ live mỗi ngày</t>
        </is>
      </c>
      <c r="B59" t="inlineStr">
        <is>
          <t>giờ</t>
        </is>
      </c>
      <c r="C59" s="17" t="n">
        <v>10</v>
      </c>
      <c r="D59" s="17" t="n">
        <v>12</v>
      </c>
      <c r="E59" s="17" t="n">
        <v>14</v>
      </c>
      <c r="F59" s="18">
        <f>INDEX($C59:$E59,1,$B$6)</f>
        <v/>
      </c>
      <c r="G59" t="inlineStr">
        <is>
          <t>Unit econ mục 7</t>
        </is>
      </c>
    </row>
    <row r="60">
      <c r="A60" t="inlineStr">
        <is>
          <t>Số ngày live mỗi tháng</t>
        </is>
      </c>
      <c r="B60" t="inlineStr">
        <is>
          <t>ngày</t>
        </is>
      </c>
      <c r="C60" s="17" t="n">
        <v>26</v>
      </c>
      <c r="D60" s="17" t="n">
        <v>26</v>
      </c>
      <c r="E60" s="17" t="n">
        <v>26</v>
      </c>
      <c r="F60" s="18">
        <f>INDEX($C60:$E60,1,$B$6)</f>
        <v/>
      </c>
      <c r="G60" t="inlineStr">
        <is>
          <t>Unit econ mục 7</t>
        </is>
      </c>
    </row>
    <row r="61">
      <c r="A61" t="inlineStr">
        <is>
          <t>Tỷ lệ huỷ &amp; hoàn hàng — IP AI</t>
        </is>
      </c>
      <c r="B61" t="inlineStr">
        <is>
          <t>% GMV gộp</t>
        </is>
      </c>
      <c r="C61" s="19" t="n">
        <v>0.25</v>
      </c>
      <c r="D61" s="19" t="n">
        <v>0.22</v>
      </c>
      <c r="E61" s="19" t="n">
        <v>0.2</v>
      </c>
      <c r="F61" s="20">
        <f>INDEX($C61:$E61,1,$B$6)</f>
        <v/>
      </c>
      <c r="G61" t="inlineStr">
        <is>
          <t>Unit econ mục 7: cao hơn IP người thật</t>
        </is>
      </c>
    </row>
    <row r="62">
      <c r="A62" t="inlineStr">
        <is>
          <t>Hoa hồng affiliate — IP AI</t>
        </is>
      </c>
      <c r="B62" t="inlineStr">
        <is>
          <t>% GMV ròng</t>
        </is>
      </c>
      <c r="C62" s="19" t="n">
        <v>0.18</v>
      </c>
      <c r="D62" s="19" t="n">
        <v>0.2</v>
      </c>
      <c r="E62" s="19" t="n">
        <v>0.22</v>
      </c>
      <c r="F62" s="20">
        <f>INDEX($C62:$E62,1,$B$6)</f>
        <v/>
      </c>
      <c r="G62" t="inlineStr">
        <is>
          <t>Unit econ script: AI_SCENARIOS</t>
        </is>
      </c>
    </row>
    <row r="63">
      <c r="A63" t="inlineStr">
        <is>
          <t>License &amp; compute / IP AI / tháng</t>
        </is>
      </c>
      <c r="B63" t="inlineStr">
        <is>
          <t>triệu/tháng</t>
        </is>
      </c>
      <c r="C63" s="17" t="n">
        <v>6</v>
      </c>
      <c r="D63" s="17" t="n">
        <v>8</v>
      </c>
      <c r="E63" s="17" t="n">
        <v>10</v>
      </c>
      <c r="F63" s="18">
        <f>INDEX($C63:$E63,1,$B$6)</f>
        <v/>
      </c>
      <c r="G63" t="inlineStr">
        <is>
          <t>Unit econ mục 7</t>
        </is>
      </c>
    </row>
    <row r="64">
      <c r="A64" t="inlineStr">
        <is>
          <t>Vận hành &amp; trực chat / IP AI / tháng</t>
        </is>
      </c>
      <c r="B64" t="inlineStr">
        <is>
          <t>triệu/tháng</t>
        </is>
      </c>
      <c r="C64" s="17" t="n">
        <v>10</v>
      </c>
      <c r="D64" s="17" t="n">
        <v>12</v>
      </c>
      <c r="E64" s="17" t="n">
        <v>14</v>
      </c>
      <c r="F64" s="18">
        <f>INDEX($C64:$E64,1,$B$6)</f>
        <v/>
      </c>
      <c r="G64" t="inlineStr">
        <is>
          <t>Unit econ mục 7: 1 người phụ trách 3-5 IP AI</t>
        </is>
      </c>
    </row>
    <row r="65">
      <c r="A65" t="inlineStr">
        <is>
          <t>Quảng cáo kéo view — IP AI</t>
        </is>
      </c>
      <c r="B65" t="inlineStr">
        <is>
          <t>% GMV ròng</t>
        </is>
      </c>
      <c r="C65" s="19" t="n">
        <v>0.05</v>
      </c>
      <c r="D65" s="19" t="n">
        <v>0.05</v>
      </c>
      <c r="E65" s="19" t="n">
        <v>0.04</v>
      </c>
      <c r="F65" s="20">
        <f>INDEX($C65:$E65,1,$B$6)</f>
        <v/>
      </c>
      <c r="G65" t="inlineStr">
        <is>
          <t>Unit econ script: AI_SCENARIOS</t>
        </is>
      </c>
    </row>
    <row r="66">
      <c r="A66" t="inlineStr">
        <is>
          <t>Chi phí khác / IP AI / tháng</t>
        </is>
      </c>
      <c r="B66" t="inlineStr">
        <is>
          <t>triệu/tháng</t>
        </is>
      </c>
      <c r="C66" s="17" t="n">
        <v>2</v>
      </c>
      <c r="D66" s="17" t="n">
        <v>2</v>
      </c>
      <c r="E66" s="17" t="n">
        <v>2</v>
      </c>
      <c r="F66" s="18">
        <f>INDEX($C66:$E66,1,$B$6)</f>
        <v/>
      </c>
      <c r="G66" t="inlineStr">
        <is>
          <t>Unit econ script: AI_SCENARIOS</t>
        </is>
      </c>
    </row>
    <row r="68">
      <c r="A68" s="4" t="inlineStr">
        <is>
          <t>G. CHI PHÍ TẦNG CÔNG TY (không phân bổ vào unit economics)</t>
        </is>
      </c>
      <c r="B68" s="5" t="n"/>
      <c r="C68" s="5" t="n"/>
      <c r="D68" s="5" t="n"/>
      <c r="E68" s="5" t="n"/>
      <c r="F68" s="5" t="n"/>
      <c r="G68" s="5" t="n"/>
    </row>
    <row r="69">
      <c r="A69" t="inlineStr">
        <is>
          <t>Số BOD / quản lý cấp cao</t>
        </is>
      </c>
      <c r="B69" t="inlineStr">
        <is>
          <t>người</t>
        </is>
      </c>
      <c r="C69" s="17" t="n">
        <v>3</v>
      </c>
      <c r="D69" s="17" t="n">
        <v>3</v>
      </c>
      <c r="E69" s="17" t="n">
        <v>3</v>
      </c>
      <c r="F69" s="18">
        <f>INDEX($C69:$E69,1,$B$6)</f>
        <v/>
      </c>
      <c r="G69" t="inlineStr">
        <is>
          <t>Dự toán</t>
        </is>
      </c>
    </row>
    <row r="70">
      <c r="A70" t="inlineStr">
        <is>
          <t>Lương BOD / quản lý cấp cao</t>
        </is>
      </c>
      <c r="B70" t="inlineStr">
        <is>
          <t>triệu/người</t>
        </is>
      </c>
      <c r="C70" s="17" t="n">
        <v>50</v>
      </c>
      <c r="D70" s="17" t="n">
        <v>50</v>
      </c>
      <c r="E70" s="17" t="n">
        <v>50</v>
      </c>
      <c r="F70" s="18">
        <f>INDEX($C70:$E70,1,$B$6)</f>
        <v/>
      </c>
      <c r="G70" t="inlineStr">
        <is>
          <t>Dự toán</t>
        </is>
      </c>
    </row>
    <row r="71">
      <c r="A71" t="inlineStr">
        <is>
          <t>Số IP người thật / 1 BD tìm nhãn hàng</t>
        </is>
      </c>
      <c r="B71" t="inlineStr">
        <is>
          <t>IP/người</t>
        </is>
      </c>
      <c r="C71" s="17" t="n">
        <v>8</v>
      </c>
      <c r="D71" s="17" t="n">
        <v>8</v>
      </c>
      <c r="E71" s="17" t="n">
        <v>8</v>
      </c>
      <c r="F71" s="18">
        <f>INDEX($C71:$E71,1,$B$6)</f>
        <v/>
      </c>
      <c r="G71" t="inlineStr">
        <is>
          <t>Dự toán</t>
        </is>
      </c>
    </row>
    <row r="72">
      <c r="A72" t="inlineStr">
        <is>
          <t>Lương BD / sales nhãn hàng</t>
        </is>
      </c>
      <c r="B72" t="inlineStr">
        <is>
          <t>triệu/người</t>
        </is>
      </c>
      <c r="C72" s="17" t="n">
        <v>20</v>
      </c>
      <c r="D72" s="17" t="n">
        <v>20</v>
      </c>
      <c r="E72" s="17" t="n">
        <v>20</v>
      </c>
      <c r="F72" s="18">
        <f>INDEX($C72:$E72,1,$B$6)</f>
        <v/>
      </c>
      <c r="G72" t="inlineStr">
        <is>
          <t>Dự toán</t>
        </is>
      </c>
    </row>
    <row r="73">
      <c r="A73" t="inlineStr">
        <is>
          <t>Số IP ký mới một tháng / 1 tuyển dụng</t>
        </is>
      </c>
      <c r="B73" t="inlineStr">
        <is>
          <t>IP/người</t>
        </is>
      </c>
      <c r="C73" s="17" t="n">
        <v>4</v>
      </c>
      <c r="D73" s="17" t="n">
        <v>4</v>
      </c>
      <c r="E73" s="17" t="n">
        <v>4</v>
      </c>
      <c r="F73" s="18">
        <f>INDEX($C73:$E73,1,$B$6)</f>
        <v/>
      </c>
      <c r="G73" t="inlineStr">
        <is>
          <t>Dự toán: phễu ~30 ứng viên cho 1 IP được chọn</t>
        </is>
      </c>
    </row>
    <row r="74">
      <c r="A74" t="inlineStr">
        <is>
          <t>Lương tuyển dụng &amp; đào tạo</t>
        </is>
      </c>
      <c r="B74" t="inlineStr">
        <is>
          <t>triệu/người</t>
        </is>
      </c>
      <c r="C74" s="17" t="n">
        <v>15</v>
      </c>
      <c r="D74" s="17" t="n">
        <v>15</v>
      </c>
      <c r="E74" s="17" t="n">
        <v>15</v>
      </c>
      <c r="F74" s="18">
        <f>INDEX($C74:$E74,1,$B$6)</f>
        <v/>
      </c>
      <c r="G74" t="inlineStr">
        <is>
          <t>Dự toán</t>
        </is>
      </c>
    </row>
    <row r="75">
      <c r="A75" t="inlineStr">
        <is>
          <t>Số tháng tuyển đội công nghệ trước IP AI</t>
        </is>
      </c>
      <c r="B75" t="inlineStr">
        <is>
          <t>tháng</t>
        </is>
      </c>
      <c r="C75" s="17" t="n">
        <v>3</v>
      </c>
      <c r="D75" s="17" t="n">
        <v>3</v>
      </c>
      <c r="E75" s="17" t="n">
        <v>3</v>
      </c>
      <c r="F75" s="18">
        <f>INDEX($C75:$E75,1,$B$6)</f>
        <v/>
      </c>
      <c r="G75" t="inlineStr">
        <is>
          <t>Dự toán</t>
        </is>
      </c>
    </row>
    <row r="76">
      <c r="A76" t="inlineStr">
        <is>
          <t>Số kỹ sư công nghệ nền</t>
        </is>
      </c>
      <c r="B76" t="inlineStr">
        <is>
          <t>người</t>
        </is>
      </c>
      <c r="C76" s="17" t="n">
        <v>2</v>
      </c>
      <c r="D76" s="17" t="n">
        <v>2</v>
      </c>
      <c r="E76" s="17" t="n">
        <v>2</v>
      </c>
      <c r="F76" s="18">
        <f>INDEX($C76:$E76,1,$B$6)</f>
        <v/>
      </c>
      <c r="G76" t="inlineStr">
        <is>
          <t>Dự toán</t>
        </is>
      </c>
    </row>
    <row r="77">
      <c r="A77" t="inlineStr">
        <is>
          <t>Số IP AI / 1 kỹ sư bổ sung</t>
        </is>
      </c>
      <c r="B77" t="inlineStr">
        <is>
          <t>IP/người</t>
        </is>
      </c>
      <c r="C77" s="17" t="n">
        <v>20</v>
      </c>
      <c r="D77" s="17" t="n">
        <v>20</v>
      </c>
      <c r="E77" s="17" t="n">
        <v>20</v>
      </c>
      <c r="F77" s="18">
        <f>INDEX($C77:$E77,1,$B$6)</f>
        <v/>
      </c>
      <c r="G77" t="inlineStr">
        <is>
          <t>Dự toán</t>
        </is>
      </c>
    </row>
    <row r="78">
      <c r="A78" t="inlineStr">
        <is>
          <t>Lương kỹ sư AI / công nghệ</t>
        </is>
      </c>
      <c r="B78" t="inlineStr">
        <is>
          <t>triệu/người</t>
        </is>
      </c>
      <c r="C78" s="17" t="n">
        <v>45</v>
      </c>
      <c r="D78" s="17" t="n">
        <v>45</v>
      </c>
      <c r="E78" s="17" t="n">
        <v>45</v>
      </c>
      <c r="F78" s="18">
        <f>INDEX($C78:$E78,1,$B$6)</f>
        <v/>
      </c>
      <c r="G78" t="inlineStr">
        <is>
          <t>Dự toán: mức thị trường VN</t>
        </is>
      </c>
    </row>
    <row r="79">
      <c r="A79" t="inlineStr">
        <is>
          <t>Số back office tối thiểu</t>
        </is>
      </c>
      <c r="B79" t="inlineStr">
        <is>
          <t>người</t>
        </is>
      </c>
      <c r="C79" s="17" t="n">
        <v>2</v>
      </c>
      <c r="D79" s="17" t="n">
        <v>2</v>
      </c>
      <c r="E79" s="17" t="n">
        <v>2</v>
      </c>
      <c r="F79" s="18">
        <f>INDEX($C79:$E79,1,$B$6)</f>
        <v/>
      </c>
      <c r="G79" t="inlineStr">
        <is>
          <t>Dự toán</t>
        </is>
      </c>
    </row>
    <row r="80">
      <c r="A80" t="inlineStr">
        <is>
          <t>Số nhân sự / 1 back office bổ sung</t>
        </is>
      </c>
      <c r="B80" t="inlineStr">
        <is>
          <t>người/người</t>
        </is>
      </c>
      <c r="C80" s="17" t="n">
        <v>25</v>
      </c>
      <c r="D80" s="17" t="n">
        <v>25</v>
      </c>
      <c r="E80" s="17" t="n">
        <v>25</v>
      </c>
      <c r="F80" s="18">
        <f>INDEX($C80:$E80,1,$B$6)</f>
        <v/>
      </c>
      <c r="G80" t="inlineStr">
        <is>
          <t>Dự toán</t>
        </is>
      </c>
    </row>
    <row r="81">
      <c r="A81" t="inlineStr">
        <is>
          <t>Lương back office (kế toán, HR, HC)</t>
        </is>
      </c>
      <c r="B81" t="inlineStr">
        <is>
          <t>triệu/người</t>
        </is>
      </c>
      <c r="C81" s="17" t="n">
        <v>15</v>
      </c>
      <c r="D81" s="17" t="n">
        <v>15</v>
      </c>
      <c r="E81" s="17" t="n">
        <v>15</v>
      </c>
      <c r="F81" s="18">
        <f>INDEX($C81:$E81,1,$B$6)</f>
        <v/>
      </c>
      <c r="G81" t="inlineStr">
        <is>
          <t>Dự toán</t>
        </is>
      </c>
    </row>
    <row r="82">
      <c r="A82" t="inlineStr">
        <is>
          <t>Phụ cấp trên lương (BHXH, thưởng)</t>
        </is>
      </c>
      <c r="B82" t="inlineStr">
        <is>
          <t>% lương</t>
        </is>
      </c>
      <c r="C82" s="19" t="n">
        <v>0.25</v>
      </c>
      <c r="D82" s="19" t="n">
        <v>0.25</v>
      </c>
      <c r="E82" s="19" t="n">
        <v>0.25</v>
      </c>
      <c r="F82" s="20">
        <f>INDEX($C82:$E82,1,$B$6)</f>
        <v/>
      </c>
      <c r="G82" t="inlineStr">
        <is>
          <t>BHXH/BHYT/BHTN phần DN ~21,5% + thưởng/phúc lợi</t>
        </is>
      </c>
    </row>
    <row r="83">
      <c r="A83" t="inlineStr">
        <is>
          <t>Marketing thương hiệu MCN &amp; tuyển IP</t>
        </is>
      </c>
      <c r="B83" t="inlineStr">
        <is>
          <t>triệu/tháng</t>
        </is>
      </c>
      <c r="C83" s="17" t="n">
        <v>100</v>
      </c>
      <c r="D83" s="17" t="n">
        <v>100</v>
      </c>
      <c r="E83" s="17" t="n">
        <v>100</v>
      </c>
      <c r="F83" s="18">
        <f>INDEX($C83:$E83,1,$B$6)</f>
        <v/>
      </c>
      <c r="G83" t="inlineStr">
        <is>
          <t>Dự toán: khác với quảng cáo kéo view đã tính trong unit</t>
        </is>
      </c>
    </row>
    <row r="84">
      <c r="A84" t="inlineStr">
        <is>
          <t>Công nghệ &amp; nền tảng dùng chung</t>
        </is>
      </c>
      <c r="B84" t="inlineStr">
        <is>
          <t>triệu/tháng</t>
        </is>
      </c>
      <c r="C84" s="17" t="n">
        <v>80</v>
      </c>
      <c r="D84" s="17" t="n">
        <v>80</v>
      </c>
      <c r="E84" s="17" t="n">
        <v>80</v>
      </c>
      <c r="F84" s="18">
        <f>INDEX($C84:$E84,1,$B$6)</f>
        <v/>
      </c>
      <c r="G84" t="inlineStr">
        <is>
          <t>Dự toán: phần mềm quản lý, data</t>
        </is>
      </c>
    </row>
    <row r="85">
      <c r="A85" t="inlineStr">
        <is>
          <t>Văn phòng</t>
        </is>
      </c>
      <c r="B85" t="inlineStr">
        <is>
          <t>triệu/tháng</t>
        </is>
      </c>
      <c r="C85" s="17" t="n">
        <v>60</v>
      </c>
      <c r="D85" s="17" t="n">
        <v>60</v>
      </c>
      <c r="E85" s="17" t="n">
        <v>60</v>
      </c>
      <c r="F85" s="18">
        <f>INDEX($C85:$E85,1,$B$6)</f>
        <v/>
      </c>
      <c r="G85" t="inlineStr">
        <is>
          <t>Dự toán</t>
        </is>
      </c>
    </row>
    <row r="86">
      <c r="A86" t="inlineStr">
        <is>
          <t>Pháp lý, kế toán, kiểm toán</t>
        </is>
      </c>
      <c r="B86" t="inlineStr">
        <is>
          <t>triệu/tháng</t>
        </is>
      </c>
      <c r="C86" s="17" t="n">
        <v>25</v>
      </c>
      <c r="D86" s="17" t="n">
        <v>25</v>
      </c>
      <c r="E86" s="17" t="n">
        <v>25</v>
      </c>
      <c r="F86" s="18">
        <f>INDEX($C86:$E86,1,$B$6)</f>
        <v/>
      </c>
      <c r="G86" t="inlineStr">
        <is>
          <t>Dự toán</t>
        </is>
      </c>
    </row>
    <row r="87">
      <c r="A87" t="inlineStr">
        <is>
          <t>Chi phí chung khác theo doanh thu</t>
        </is>
      </c>
      <c r="B87" t="inlineStr">
        <is>
          <t>% doanh thu</t>
        </is>
      </c>
      <c r="C87" s="19" t="n">
        <v>0.03</v>
      </c>
      <c r="D87" s="19" t="n">
        <v>0.03</v>
      </c>
      <c r="E87" s="19" t="n">
        <v>0.03</v>
      </c>
      <c r="F87" s="20">
        <f>INDEX($C87:$E87,1,$B$6)</f>
        <v/>
      </c>
      <c r="G87" t="inlineStr">
        <is>
          <t>Dự toán</t>
        </is>
      </c>
    </row>
    <row r="88">
      <c r="A88" t="inlineStr">
        <is>
          <t>Thiết bị cho 1 nhân sự tầng công ty</t>
        </is>
      </c>
      <c r="B88" t="inlineStr">
        <is>
          <t>triệu/người</t>
        </is>
      </c>
      <c r="C88" s="17" t="n">
        <v>12</v>
      </c>
      <c r="D88" s="17" t="n">
        <v>12</v>
      </c>
      <c r="E88" s="17" t="n">
        <v>12</v>
      </c>
      <c r="F88" s="18">
        <f>INDEX($C88:$E88,1,$B$6)</f>
        <v/>
      </c>
      <c r="G88" t="inlineStr">
        <is>
          <t>Dự toán</t>
        </is>
      </c>
    </row>
    <row r="89">
      <c r="A89" t="inlineStr">
        <is>
          <t>Số tháng khấu hao</t>
        </is>
      </c>
      <c r="B89" t="inlineStr">
        <is>
          <t>tháng</t>
        </is>
      </c>
      <c r="C89" s="17" t="n">
        <v>36</v>
      </c>
      <c r="D89" s="17" t="n">
        <v>36</v>
      </c>
      <c r="E89" s="17" t="n">
        <v>36</v>
      </c>
      <c r="F89" s="18">
        <f>INDEX($C89:$E89,1,$B$6)</f>
        <v/>
      </c>
      <c r="G89" t="inlineStr">
        <is>
          <t>Khấu hao đường thẳng</t>
        </is>
      </c>
    </row>
    <row r="91">
      <c r="A91" s="4" t="inlineStr">
        <is>
          <t>H. VỐN LƯU ĐỘNG, THUẾ &amp; GỌI VỐN</t>
        </is>
      </c>
      <c r="B91" s="5" t="n"/>
      <c r="C91" s="5" t="n"/>
      <c r="D91" s="5" t="n"/>
      <c r="E91" s="5" t="n"/>
      <c r="F91" s="5" t="n"/>
      <c r="G91" s="5" t="n"/>
    </row>
    <row r="92">
      <c r="A92" t="inlineStr">
        <is>
          <t>Số ngày thu tiền hoa hồng (DSO)</t>
        </is>
      </c>
      <c r="B92" t="inlineStr">
        <is>
          <t>ngày</t>
        </is>
      </c>
      <c r="C92" s="17" t="n">
        <v>60</v>
      </c>
      <c r="D92" s="17" t="n">
        <v>45</v>
      </c>
      <c r="E92" s="17" t="n">
        <v>30</v>
      </c>
      <c r="F92" s="18">
        <f>INDEX($C92:$E92,1,$B$6)</f>
        <v/>
      </c>
      <c r="G92" t="inlineStr">
        <is>
          <t>Sàn/nhãn hàng đối soát và trả sau 30-60 ngày</t>
        </is>
      </c>
    </row>
    <row r="93">
      <c r="A93" t="inlineStr">
        <is>
          <t>Số ngày trả chia sẻ cho talent (DPO)</t>
        </is>
      </c>
      <c r="B93" t="inlineStr">
        <is>
          <t>ngày</t>
        </is>
      </c>
      <c r="C93" s="17" t="n">
        <v>15</v>
      </c>
      <c r="D93" s="17" t="n">
        <v>15</v>
      </c>
      <c r="E93" s="17" t="n">
        <v>15</v>
      </c>
      <c r="F93" s="18">
        <f>INDEX($C93:$E93,1,$B$6)</f>
        <v/>
      </c>
      <c r="G93" t="inlineStr">
        <is>
          <t>Trả talent sau khi đối soát</t>
        </is>
      </c>
    </row>
    <row r="94">
      <c r="A94" t="inlineStr">
        <is>
          <t>Thue TNDN</t>
        </is>
      </c>
      <c r="B94" t="inlineStr">
        <is>
          <t>%</t>
        </is>
      </c>
      <c r="C94" s="19" t="n">
        <v>0.2</v>
      </c>
      <c r="D94" s="19" t="n">
        <v>0.2</v>
      </c>
      <c r="E94" s="19" t="n">
        <v>0.2</v>
      </c>
      <c r="F94" s="20">
        <f>INDEX($C94:$E94,1,$B$6)</f>
        <v/>
      </c>
      <c r="G94" t="inlineStr">
        <is>
          <t>Thuế suất phổ thông VN, có chuyển lỗ</t>
        </is>
      </c>
    </row>
    <row r="95">
      <c r="A95" t="inlineStr">
        <is>
          <t>Tiền mặt đầu kỳ</t>
        </is>
      </c>
      <c r="B95" t="inlineStr">
        <is>
          <t>triệu</t>
        </is>
      </c>
      <c r="C95" s="17" t="n">
        <v>0</v>
      </c>
      <c r="D95" s="17" t="n">
        <v>0</v>
      </c>
      <c r="E95" s="17" t="n">
        <v>0</v>
      </c>
      <c r="F95" s="18">
        <f>INDEX($C95:$E95,1,$B$6)</f>
        <v/>
      </c>
      <c r="G95" t="inlineStr"/>
    </row>
    <row r="96">
      <c r="A96" t="inlineStr">
        <is>
          <t>Vốn góp vòng 1</t>
        </is>
      </c>
      <c r="B96" t="inlineStr">
        <is>
          <t>triệu</t>
        </is>
      </c>
      <c r="C96" s="17" t="n">
        <v>30000</v>
      </c>
      <c r="D96" s="17" t="n">
        <v>30000</v>
      </c>
      <c r="E96" s="17" t="n">
        <v>30000</v>
      </c>
      <c r="F96" s="18">
        <f>INDEX($C96:$E96,1,$B$6)</f>
        <v/>
      </c>
      <c r="G96" t="inlineStr">
        <is>
          <t>Sheet Kich_ban: nhu cầu vốn đỉnh điểm base ~31,8 tỷ tại T28</t>
        </is>
      </c>
    </row>
    <row r="97">
      <c r="A97" t="inlineStr">
        <is>
          <t>Tháng giải ngân vòng 1</t>
        </is>
      </c>
      <c r="B97" t="inlineStr">
        <is>
          <t>tháng</t>
        </is>
      </c>
      <c r="C97" s="17" t="n">
        <v>1</v>
      </c>
      <c r="D97" s="17" t="n">
        <v>1</v>
      </c>
      <c r="E97" s="17" t="n">
        <v>1</v>
      </c>
      <c r="F97" s="18">
        <f>INDEX($C97:$E97,1,$B$6)</f>
        <v/>
      </c>
      <c r="G97" t="inlineStr"/>
    </row>
    <row r="98">
      <c r="A98" t="inlineStr">
        <is>
          <t>Vốn góp vòng 2</t>
        </is>
      </c>
      <c r="B98" t="inlineStr">
        <is>
          <t>triệu</t>
        </is>
      </c>
      <c r="C98" s="17" t="n">
        <v>12000</v>
      </c>
      <c r="D98" s="17" t="n">
        <v>12000</v>
      </c>
      <c r="E98" s="17" t="n">
        <v>12000</v>
      </c>
      <c r="F98" s="18">
        <f>INDEX($C98:$E98,1,$B$6)</f>
        <v/>
      </c>
      <c r="G98" t="inlineStr">
        <is>
          <t>Tranche 2 sau khi chứng minh unit economics (cohort đầu đã hoà vốn)</t>
        </is>
      </c>
    </row>
    <row r="99">
      <c r="A99" t="inlineStr">
        <is>
          <t>Tháng giải ngân vòng 2</t>
        </is>
      </c>
      <c r="B99" t="inlineStr">
        <is>
          <t>tháng</t>
        </is>
      </c>
      <c r="C99" s="17" t="n">
        <v>19</v>
      </c>
      <c r="D99" s="17" t="n">
        <v>19</v>
      </c>
      <c r="E99" s="17" t="n">
        <v>19</v>
      </c>
      <c r="F99" s="18">
        <f>INDEX($C99:$E99,1,$B$6)</f>
        <v/>
      </c>
      <c r="G99" t="inlineStr"/>
    </row>
    <row r="101">
      <c r="A101" s="4" t="inlineStr">
        <is>
          <t>I. KIỂM ĐỊNH RỦI RO: CÚ SỐC CHÍNH SÁCH NỀN TẢNG VỚI TẦNG AI</t>
        </is>
      </c>
      <c r="B101" s="5" t="n"/>
      <c r="C101" s="5" t="n"/>
      <c r="D101" s="5" t="n"/>
      <c r="E101" s="5" t="n"/>
      <c r="F101" s="5" t="n"/>
      <c r="G101" s="5" t="n"/>
    </row>
    <row r="102">
      <c r="A102" t="inlineStr">
        <is>
          <t>% GMV tầng IP AI bị mất</t>
        </is>
      </c>
      <c r="B102" t="inlineStr">
        <is>
          <t>%</t>
        </is>
      </c>
      <c r="C102" s="19" t="n">
        <v>0</v>
      </c>
      <c r="D102" s="19" t="n">
        <v>0</v>
      </c>
      <c r="E102" s="19" t="n">
        <v>0</v>
      </c>
      <c r="F102" s="20">
        <f>INDEX($C102:$E102,1,$B$6)</f>
        <v/>
      </c>
      <c r="G102" t="inlineStr">
        <is>
          <t>Unit econ mục 7: nên chạy thử kịch bản mất 60% GMV tầng AI trong một quý</t>
        </is>
      </c>
    </row>
    <row r="103">
      <c r="A103" t="inlineStr">
        <is>
          <t>Tháng bắt đầu cú sốc</t>
        </is>
      </c>
      <c r="B103" t="inlineStr">
        <is>
          <t>tháng</t>
        </is>
      </c>
      <c r="C103" s="17" t="n">
        <v>25</v>
      </c>
      <c r="D103" s="17" t="n">
        <v>25</v>
      </c>
      <c r="E103" s="17" t="n">
        <v>25</v>
      </c>
      <c r="F103" s="18">
        <f>INDEX($C103:$E103,1,$B$6)</f>
        <v/>
      </c>
      <c r="G103" t="inlineStr">
        <is>
          <t>Đặt 0% ở trên để tắt kiểm định</t>
        </is>
      </c>
    </row>
    <row r="104">
      <c r="A104" t="inlineStr">
        <is>
          <t>Số tháng kéo dài cú sốc</t>
        </is>
      </c>
      <c r="B104" t="inlineStr">
        <is>
          <t>tháng</t>
        </is>
      </c>
      <c r="C104" s="17" t="n">
        <v>3</v>
      </c>
      <c r="D104" s="17" t="n">
        <v>3</v>
      </c>
      <c r="E104" s="17" t="n">
        <v>3</v>
      </c>
      <c r="F104" s="18">
        <f>INDEX($C104:$E104,1,$B$6)</f>
        <v/>
      </c>
      <c r="G104" t="inlineStr"/>
    </row>
    <row r="106">
      <c r="A106" s="4" t="inlineStr">
        <is>
          <t>THAM SỐ DẪN XUẤT (tự động tính)</t>
        </is>
      </c>
      <c r="B106" s="5" t="n"/>
      <c r="C106" s="5" t="n"/>
      <c r="D106" s="5" t="n"/>
      <c r="E106" s="5" t="n"/>
      <c r="F106" s="5" t="n"/>
      <c r="G106" s="5" t="n"/>
    </row>
    <row r="107">
      <c r="A107" t="inlineStr">
        <is>
          <t>Tỷ lệ IP người thật rời bỏ / tháng</t>
        </is>
      </c>
      <c r="B107" t="inlineStr">
        <is>
          <t>%/thang</t>
        </is>
      </c>
      <c r="F107" s="21">
        <f>1-(1-Gia_dinh!$F$22)^(1/12)</f>
        <v/>
      </c>
    </row>
    <row r="108">
      <c r="A108" t="inlineStr">
        <is>
          <t>Tỷ lệ IP AI ngừng hoạt động / tháng</t>
        </is>
      </c>
      <c r="B108" t="inlineStr">
        <is>
          <t>%/thang</t>
        </is>
      </c>
      <c r="F108" s="21">
        <f>1-(1-Gia_dinh!$F$23)^(1/12)</f>
        <v/>
      </c>
    </row>
    <row r="109">
      <c r="A109" t="inlineStr">
        <is>
          <t>Thu tiền trong tháng phát sinh</t>
        </is>
      </c>
      <c r="B109" t="inlineStr">
        <is>
          <t>% doanh thu</t>
        </is>
      </c>
      <c r="F109" s="22">
        <f>MAX(0,MIN(1,1-Gia_dinh!$F$92/30))</f>
        <v/>
      </c>
    </row>
    <row r="110">
      <c r="A110" t="inlineStr">
        <is>
          <t>Thu tiền tháng kế tiếp</t>
        </is>
      </c>
      <c r="B110" t="inlineStr">
        <is>
          <t>% doanh thu</t>
        </is>
      </c>
      <c r="F110" s="22">
        <f>MAX(0,MIN(1,2-Gia_dinh!$F$92/30)-$F$109)</f>
        <v/>
      </c>
    </row>
    <row r="111">
      <c r="A111" t="inlineStr">
        <is>
          <t>Thu tiền sau 2 tháng</t>
        </is>
      </c>
      <c r="B111" t="inlineStr">
        <is>
          <t>% doanh thu</t>
        </is>
      </c>
      <c r="F111" s="22">
        <f>1-$F$109-$F$110</f>
        <v/>
      </c>
    </row>
    <row r="112">
      <c r="A112" t="inlineStr">
        <is>
          <t>Trả talent trong tháng</t>
        </is>
      </c>
      <c r="B112" t="inlineStr">
        <is>
          <t>% chia sẻ</t>
        </is>
      </c>
      <c r="F112" s="22">
        <f>MAX(0,MIN(1,1-Gia_dinh!$F$93/30))</f>
        <v/>
      </c>
    </row>
    <row r="113">
      <c r="A113" t="inlineStr">
        <is>
          <t>Trả talent tháng kế tiếp</t>
        </is>
      </c>
      <c r="B113" t="inlineStr">
        <is>
          <t>% chia sẻ</t>
        </is>
      </c>
      <c r="F113" s="22">
        <f>MAX(0,MIN(1,2-Gia_dinh!$F$93/30)-$F$112)</f>
        <v/>
      </c>
    </row>
    <row r="114">
      <c r="A114" t="inlineStr">
        <is>
          <t>Trả talent sau 2 tháng</t>
        </is>
      </c>
      <c r="B114" t="inlineStr">
        <is>
          <t>% chia sẻ</t>
        </is>
      </c>
      <c r="F114" s="22">
        <f>1-$F$112-$F$113</f>
        <v/>
      </c>
    </row>
  </sheetData>
  <dataValidations count="1">
    <dataValidation sqref="B4" showDropDown="0" showInputMessage="0" showErrorMessage="0" allowBlank="0" type="list">
      <formula1>"Downside,Base,Upside"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2" max="2"/>
    <col width="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c r="A1" s="7" t="inlineStr">
        <is>
          <t>UNIT ECONOMICS — MỘT IP NGƯỜI THẬT THEO TUỔI (triệu VND)</t>
        </is>
      </c>
    </row>
    <row r="2">
      <c r="A2" t="inlineStr">
        <is>
          <t>Tuổi 0 = tháng casting/dựng IP. Mỗi dòng dưới đây là kết quả của MỘT IP sống sót đến tuổi đó.</t>
        </is>
      </c>
    </row>
    <row r="4">
      <c r="B4" s="9" t="inlineStr">
        <is>
          <t>Tuổi (tháng)</t>
        </is>
      </c>
      <c r="C4" s="9" t="inlineStr">
        <is>
          <t>Giai đoạn</t>
        </is>
      </c>
      <c r="D4" s="9" t="inlineStr">
        <is>
          <t>Tỷ lệ sống sót</t>
        </is>
      </c>
      <c r="E4" s="9" t="inlineStr">
        <is>
          <t>GMV/phiên</t>
        </is>
      </c>
      <c r="F4" s="9" t="inlineStr">
        <is>
          <t>Số phiên</t>
        </is>
      </c>
      <c r="G4" s="9" t="inlineStr">
        <is>
          <t>GMV gộp</t>
        </is>
      </c>
      <c r="H4" s="9" t="inlineStr">
        <is>
          <t>GMV ròng</t>
        </is>
      </c>
      <c r="I4" s="9" t="inlineStr">
        <is>
          <t>Hoa hồng affiliate</t>
        </is>
      </c>
      <c r="J4" s="9" t="inlineStr">
        <is>
          <t>Phí booking</t>
        </is>
      </c>
      <c r="K4" s="9" t="inlineStr">
        <is>
          <t>Thưởng target</t>
        </is>
      </c>
      <c r="L4" s="9" t="inlineStr">
        <is>
          <t>DOANH THU MCN</t>
        </is>
      </c>
      <c r="M4" s="9" t="inlineStr">
        <is>
          <t>Chia hoa hồng talent</t>
        </is>
      </c>
      <c r="N4" s="9" t="inlineStr">
        <is>
          <t>Lương cứng talent</t>
        </is>
      </c>
      <c r="O4" s="9" t="inlineStr">
        <is>
          <t>Ê-kíp</t>
        </is>
      </c>
      <c r="P4" s="9" t="inlineStr">
        <is>
          <t>Studio</t>
        </is>
      </c>
      <c r="Q4" s="9" t="inlineStr">
        <is>
          <t>Quảng cáo kéo view</t>
        </is>
      </c>
      <c r="R4" s="9" t="inlineStr">
        <is>
          <t>Mẫu SP &amp; khác</t>
        </is>
      </c>
      <c r="S4" s="9" t="inlineStr">
        <is>
          <t>Chi phí dựng IP</t>
        </is>
      </c>
      <c r="T4" s="9" t="inlineStr">
        <is>
          <t>TỔNG CHI PHÍ TRỰC TIẾP</t>
        </is>
      </c>
      <c r="U4" s="9" t="inlineStr">
        <is>
          <t>LÃI GỘP</t>
        </is>
      </c>
      <c r="V4" s="9" t="inlineStr">
        <is>
          <t>Lãi gộp luỹ kế / IP</t>
        </is>
      </c>
    </row>
    <row r="5">
      <c r="B5" s="5" t="n">
        <v>0</v>
      </c>
      <c r="C5" s="5" t="inlineStr">
        <is>
          <t>Dựng IP</t>
        </is>
      </c>
      <c r="D5" s="23" t="n">
        <v>1</v>
      </c>
      <c r="E5" s="24">
        <f>IF(0=0,0,IF(0&lt;=3,Gia_dinh!$F$34,IF(0&lt;=6,Gia_dinh!$F$36,IF(0&lt;=9,Gia_dinh!$F$38,Gia_dinh!$F$40))))</f>
        <v/>
      </c>
      <c r="F5" s="24">
        <f>IF(0=0,0,IF(0&lt;=3,Gia_dinh!$F$35,IF(0&lt;=6,Gia_dinh!$F$37,IF(0&lt;=9,Gia_dinh!$F$39,Gia_dinh!$F$41))))</f>
        <v/>
      </c>
      <c r="G5" s="24">
        <f>E5*F5</f>
        <v/>
      </c>
      <c r="H5" s="24">
        <f>G5*(1-Gia_dinh!$F$26)</f>
        <v/>
      </c>
      <c r="I5" s="24">
        <f>H5*Gia_dinh!$F$27</f>
        <v/>
      </c>
      <c r="J5" s="24">
        <f>IF(0&gt;=Gia_dinh!$F$29,Gia_dinh!$F$28*F5,0)</f>
        <v/>
      </c>
      <c r="K5" s="24">
        <f>H5*Gia_dinh!$F$30</f>
        <v/>
      </c>
      <c r="L5" s="24">
        <f>SUM(I5:K5)</f>
        <v/>
      </c>
      <c r="M5" s="24">
        <f>L5*Gia_dinh!$F$46</f>
        <v/>
      </c>
      <c r="N5" s="24">
        <f>IF(0=0,0,IF(0&lt;=3,Gia_dinh!$F$44,Gia_dinh!$F$45))</f>
        <v/>
      </c>
      <c r="O5" s="24">
        <f>IF(0=0,0,Gia_dinh!$F$47)</f>
        <v/>
      </c>
      <c r="P5" s="24">
        <f>IF(0=0,0,Gia_dinh!$F$48)</f>
        <v/>
      </c>
      <c r="Q5" s="24">
        <f>H5*IF(0=0,0,IF(0&lt;=3,Gia_dinh!$F$49,IF(0&lt;=6,Gia_dinh!$F$50,IF(0&lt;=9,Gia_dinh!$F$51,Gia_dinh!$F$52))))</f>
        <v/>
      </c>
      <c r="R5" s="24">
        <f>IF(0=0,0,Gia_dinh!$F$53)</f>
        <v/>
      </c>
      <c r="S5" s="24">
        <f>IF(0=0,Gia_dinh!$F$33,0)</f>
        <v/>
      </c>
      <c r="T5" s="24">
        <f>SUM(M5:S5)</f>
        <v/>
      </c>
      <c r="U5" s="24">
        <f>L5-T5</f>
        <v/>
      </c>
      <c r="V5" s="24">
        <f>U5</f>
        <v/>
      </c>
    </row>
    <row r="6">
      <c r="B6" t="n">
        <v>1</v>
      </c>
      <c r="C6" t="inlineStr">
        <is>
          <t>Ươm</t>
        </is>
      </c>
      <c r="D6" s="12">
        <f>IF(1&gt;Gia_dinh!$F$18,1-Gia_dinh!$F$19,1)*IF(1&gt;Gia_dinh!$F$20,1-Gia_dinh!$F$21,1)*(1-Gia_dinh!$F$107)^MAX(0,1-9)</f>
        <v/>
      </c>
      <c r="E6" s="25">
        <f>IF(1=0,0,IF(1&lt;=3,Gia_dinh!$F$34,IF(1&lt;=6,Gia_dinh!$F$36,IF(1&lt;=9,Gia_dinh!$F$38,Gia_dinh!$F$40))))</f>
        <v/>
      </c>
      <c r="F6" s="25">
        <f>IF(1=0,0,IF(1&lt;=3,Gia_dinh!$F$35,IF(1&lt;=6,Gia_dinh!$F$37,IF(1&lt;=9,Gia_dinh!$F$39,Gia_dinh!$F$41))))</f>
        <v/>
      </c>
      <c r="G6" s="25">
        <f>E6*F6</f>
        <v/>
      </c>
      <c r="H6" s="25">
        <f>G6*(1-Gia_dinh!$F$26)</f>
        <v/>
      </c>
      <c r="I6" s="25">
        <f>H6*Gia_dinh!$F$27</f>
        <v/>
      </c>
      <c r="J6" s="25">
        <f>IF(1&gt;=Gia_dinh!$F$29,Gia_dinh!$F$28*F6,0)</f>
        <v/>
      </c>
      <c r="K6" s="25">
        <f>H6*Gia_dinh!$F$30</f>
        <v/>
      </c>
      <c r="L6" s="25">
        <f>SUM(I6:K6)</f>
        <v/>
      </c>
      <c r="M6" s="25">
        <f>L6*Gia_dinh!$F$46</f>
        <v/>
      </c>
      <c r="N6" s="25">
        <f>IF(1=0,0,IF(1&lt;=3,Gia_dinh!$F$44,Gia_dinh!$F$45))</f>
        <v/>
      </c>
      <c r="O6" s="25">
        <f>IF(1=0,0,Gia_dinh!$F$47)</f>
        <v/>
      </c>
      <c r="P6" s="25">
        <f>IF(1=0,0,Gia_dinh!$F$48)</f>
        <v/>
      </c>
      <c r="Q6" s="25">
        <f>H6*IF(1=0,0,IF(1&lt;=3,Gia_dinh!$F$49,IF(1&lt;=6,Gia_dinh!$F$50,IF(1&lt;=9,Gia_dinh!$F$51,Gia_dinh!$F$52))))</f>
        <v/>
      </c>
      <c r="R6" s="25">
        <f>IF(1=0,0,Gia_dinh!$F$53)</f>
        <v/>
      </c>
      <c r="S6" s="25">
        <f>IF(1=0,Gia_dinh!$F$33,0)</f>
        <v/>
      </c>
      <c r="T6" s="25">
        <f>SUM(M6:S6)</f>
        <v/>
      </c>
      <c r="U6" s="25">
        <f>L6-T6</f>
        <v/>
      </c>
      <c r="V6" s="25">
        <f>V5+U6</f>
        <v/>
      </c>
    </row>
    <row r="7">
      <c r="B7" t="n">
        <v>2</v>
      </c>
      <c r="C7" t="inlineStr">
        <is>
          <t>Ươm</t>
        </is>
      </c>
      <c r="D7" s="12">
        <f>IF(2&gt;Gia_dinh!$F$18,1-Gia_dinh!$F$19,1)*IF(2&gt;Gia_dinh!$F$20,1-Gia_dinh!$F$21,1)*(1-Gia_dinh!$F$107)^MAX(0,2-9)</f>
        <v/>
      </c>
      <c r="E7" s="25">
        <f>IF(2=0,0,IF(2&lt;=3,Gia_dinh!$F$34,IF(2&lt;=6,Gia_dinh!$F$36,IF(2&lt;=9,Gia_dinh!$F$38,Gia_dinh!$F$40))))</f>
        <v/>
      </c>
      <c r="F7" s="25">
        <f>IF(2=0,0,IF(2&lt;=3,Gia_dinh!$F$35,IF(2&lt;=6,Gia_dinh!$F$37,IF(2&lt;=9,Gia_dinh!$F$39,Gia_dinh!$F$41))))</f>
        <v/>
      </c>
      <c r="G7" s="25">
        <f>E7*F7</f>
        <v/>
      </c>
      <c r="H7" s="25">
        <f>G7*(1-Gia_dinh!$F$26)</f>
        <v/>
      </c>
      <c r="I7" s="25">
        <f>H7*Gia_dinh!$F$27</f>
        <v/>
      </c>
      <c r="J7" s="25">
        <f>IF(2&gt;=Gia_dinh!$F$29,Gia_dinh!$F$28*F7,0)</f>
        <v/>
      </c>
      <c r="K7" s="25">
        <f>H7*Gia_dinh!$F$30</f>
        <v/>
      </c>
      <c r="L7" s="25">
        <f>SUM(I7:K7)</f>
        <v/>
      </c>
      <c r="M7" s="25">
        <f>L7*Gia_dinh!$F$46</f>
        <v/>
      </c>
      <c r="N7" s="25">
        <f>IF(2=0,0,IF(2&lt;=3,Gia_dinh!$F$44,Gia_dinh!$F$45))</f>
        <v/>
      </c>
      <c r="O7" s="25">
        <f>IF(2=0,0,Gia_dinh!$F$47)</f>
        <v/>
      </c>
      <c r="P7" s="25">
        <f>IF(2=0,0,Gia_dinh!$F$48)</f>
        <v/>
      </c>
      <c r="Q7" s="25">
        <f>H7*IF(2=0,0,IF(2&lt;=3,Gia_dinh!$F$49,IF(2&lt;=6,Gia_dinh!$F$50,IF(2&lt;=9,Gia_dinh!$F$51,Gia_dinh!$F$52))))</f>
        <v/>
      </c>
      <c r="R7" s="25">
        <f>IF(2=0,0,Gia_dinh!$F$53)</f>
        <v/>
      </c>
      <c r="S7" s="25">
        <f>IF(2=0,Gia_dinh!$F$33,0)</f>
        <v/>
      </c>
      <c r="T7" s="25">
        <f>SUM(M7:S7)</f>
        <v/>
      </c>
      <c r="U7" s="25">
        <f>L7-T7</f>
        <v/>
      </c>
      <c r="V7" s="25">
        <f>V6+U7</f>
        <v/>
      </c>
    </row>
    <row r="8">
      <c r="B8" s="5" t="n">
        <v>3</v>
      </c>
      <c r="C8" s="5" t="inlineStr">
        <is>
          <t>Ươm</t>
        </is>
      </c>
      <c r="D8" s="23">
        <f>IF(3&gt;Gia_dinh!$F$18,1-Gia_dinh!$F$19,1)*IF(3&gt;Gia_dinh!$F$20,1-Gia_dinh!$F$21,1)*(1-Gia_dinh!$F$107)^MAX(0,3-9)</f>
        <v/>
      </c>
      <c r="E8" s="24">
        <f>IF(3=0,0,IF(3&lt;=3,Gia_dinh!$F$34,IF(3&lt;=6,Gia_dinh!$F$36,IF(3&lt;=9,Gia_dinh!$F$38,Gia_dinh!$F$40))))</f>
        <v/>
      </c>
      <c r="F8" s="24">
        <f>IF(3=0,0,IF(3&lt;=3,Gia_dinh!$F$35,IF(3&lt;=6,Gia_dinh!$F$37,IF(3&lt;=9,Gia_dinh!$F$39,Gia_dinh!$F$41))))</f>
        <v/>
      </c>
      <c r="G8" s="24">
        <f>E8*F8</f>
        <v/>
      </c>
      <c r="H8" s="24">
        <f>G8*(1-Gia_dinh!$F$26)</f>
        <v/>
      </c>
      <c r="I8" s="24">
        <f>H8*Gia_dinh!$F$27</f>
        <v/>
      </c>
      <c r="J8" s="24">
        <f>IF(3&gt;=Gia_dinh!$F$29,Gia_dinh!$F$28*F8,0)</f>
        <v/>
      </c>
      <c r="K8" s="24">
        <f>H8*Gia_dinh!$F$30</f>
        <v/>
      </c>
      <c r="L8" s="24">
        <f>SUM(I8:K8)</f>
        <v/>
      </c>
      <c r="M8" s="24">
        <f>L8*Gia_dinh!$F$46</f>
        <v/>
      </c>
      <c r="N8" s="24">
        <f>IF(3=0,0,IF(3&lt;=3,Gia_dinh!$F$44,Gia_dinh!$F$45))</f>
        <v/>
      </c>
      <c r="O8" s="24">
        <f>IF(3=0,0,Gia_dinh!$F$47)</f>
        <v/>
      </c>
      <c r="P8" s="24">
        <f>IF(3=0,0,Gia_dinh!$F$48)</f>
        <v/>
      </c>
      <c r="Q8" s="24">
        <f>H8*IF(3=0,0,IF(3&lt;=3,Gia_dinh!$F$49,IF(3&lt;=6,Gia_dinh!$F$50,IF(3&lt;=9,Gia_dinh!$F$51,Gia_dinh!$F$52))))</f>
        <v/>
      </c>
      <c r="R8" s="24">
        <f>IF(3=0,0,Gia_dinh!$F$53)</f>
        <v/>
      </c>
      <c r="S8" s="24">
        <f>IF(3=0,Gia_dinh!$F$33,0)</f>
        <v/>
      </c>
      <c r="T8" s="24">
        <f>SUM(M8:S8)</f>
        <v/>
      </c>
      <c r="U8" s="24">
        <f>L8-T8</f>
        <v/>
      </c>
      <c r="V8" s="24">
        <f>V7+U8</f>
        <v/>
      </c>
    </row>
    <row r="9">
      <c r="B9" t="n">
        <v>4</v>
      </c>
      <c r="C9" t="inlineStr">
        <is>
          <t>Tăng trưởng sớm</t>
        </is>
      </c>
      <c r="D9" s="12">
        <f>IF(4&gt;Gia_dinh!$F$18,1-Gia_dinh!$F$19,1)*IF(4&gt;Gia_dinh!$F$20,1-Gia_dinh!$F$21,1)*(1-Gia_dinh!$F$107)^MAX(0,4-9)</f>
        <v/>
      </c>
      <c r="E9" s="25">
        <f>IF(4=0,0,IF(4&lt;=3,Gia_dinh!$F$34,IF(4&lt;=6,Gia_dinh!$F$36,IF(4&lt;=9,Gia_dinh!$F$38,Gia_dinh!$F$40))))</f>
        <v/>
      </c>
      <c r="F9" s="25">
        <f>IF(4=0,0,IF(4&lt;=3,Gia_dinh!$F$35,IF(4&lt;=6,Gia_dinh!$F$37,IF(4&lt;=9,Gia_dinh!$F$39,Gia_dinh!$F$41))))</f>
        <v/>
      </c>
      <c r="G9" s="25">
        <f>E9*F9</f>
        <v/>
      </c>
      <c r="H9" s="25">
        <f>G9*(1-Gia_dinh!$F$26)</f>
        <v/>
      </c>
      <c r="I9" s="25">
        <f>H9*Gia_dinh!$F$27</f>
        <v/>
      </c>
      <c r="J9" s="25">
        <f>IF(4&gt;=Gia_dinh!$F$29,Gia_dinh!$F$28*F9,0)</f>
        <v/>
      </c>
      <c r="K9" s="25">
        <f>H9*Gia_dinh!$F$30</f>
        <v/>
      </c>
      <c r="L9" s="25">
        <f>SUM(I9:K9)</f>
        <v/>
      </c>
      <c r="M9" s="25">
        <f>L9*Gia_dinh!$F$46</f>
        <v/>
      </c>
      <c r="N9" s="25">
        <f>IF(4=0,0,IF(4&lt;=3,Gia_dinh!$F$44,Gia_dinh!$F$45))</f>
        <v/>
      </c>
      <c r="O9" s="25">
        <f>IF(4=0,0,Gia_dinh!$F$47)</f>
        <v/>
      </c>
      <c r="P9" s="25">
        <f>IF(4=0,0,Gia_dinh!$F$48)</f>
        <v/>
      </c>
      <c r="Q9" s="25">
        <f>H9*IF(4=0,0,IF(4&lt;=3,Gia_dinh!$F$49,IF(4&lt;=6,Gia_dinh!$F$50,IF(4&lt;=9,Gia_dinh!$F$51,Gia_dinh!$F$52))))</f>
        <v/>
      </c>
      <c r="R9" s="25">
        <f>IF(4=0,0,Gia_dinh!$F$53)</f>
        <v/>
      </c>
      <c r="S9" s="25">
        <f>IF(4=0,Gia_dinh!$F$33,0)</f>
        <v/>
      </c>
      <c r="T9" s="25">
        <f>SUM(M9:S9)</f>
        <v/>
      </c>
      <c r="U9" s="25">
        <f>L9-T9</f>
        <v/>
      </c>
      <c r="V9" s="25">
        <f>V8+U9</f>
        <v/>
      </c>
    </row>
    <row r="10">
      <c r="B10" t="n">
        <v>5</v>
      </c>
      <c r="C10" t="inlineStr">
        <is>
          <t>Tăng trưởng sớm</t>
        </is>
      </c>
      <c r="D10" s="12">
        <f>IF(5&gt;Gia_dinh!$F$18,1-Gia_dinh!$F$19,1)*IF(5&gt;Gia_dinh!$F$20,1-Gia_dinh!$F$21,1)*(1-Gia_dinh!$F$107)^MAX(0,5-9)</f>
        <v/>
      </c>
      <c r="E10" s="25">
        <f>IF(5=0,0,IF(5&lt;=3,Gia_dinh!$F$34,IF(5&lt;=6,Gia_dinh!$F$36,IF(5&lt;=9,Gia_dinh!$F$38,Gia_dinh!$F$40))))</f>
        <v/>
      </c>
      <c r="F10" s="25">
        <f>IF(5=0,0,IF(5&lt;=3,Gia_dinh!$F$35,IF(5&lt;=6,Gia_dinh!$F$37,IF(5&lt;=9,Gia_dinh!$F$39,Gia_dinh!$F$41))))</f>
        <v/>
      </c>
      <c r="G10" s="25">
        <f>E10*F10</f>
        <v/>
      </c>
      <c r="H10" s="25">
        <f>G10*(1-Gia_dinh!$F$26)</f>
        <v/>
      </c>
      <c r="I10" s="25">
        <f>H10*Gia_dinh!$F$27</f>
        <v/>
      </c>
      <c r="J10" s="25">
        <f>IF(5&gt;=Gia_dinh!$F$29,Gia_dinh!$F$28*F10,0)</f>
        <v/>
      </c>
      <c r="K10" s="25">
        <f>H10*Gia_dinh!$F$30</f>
        <v/>
      </c>
      <c r="L10" s="25">
        <f>SUM(I10:K10)</f>
        <v/>
      </c>
      <c r="M10" s="25">
        <f>L10*Gia_dinh!$F$46</f>
        <v/>
      </c>
      <c r="N10" s="25">
        <f>IF(5=0,0,IF(5&lt;=3,Gia_dinh!$F$44,Gia_dinh!$F$45))</f>
        <v/>
      </c>
      <c r="O10" s="25">
        <f>IF(5=0,0,Gia_dinh!$F$47)</f>
        <v/>
      </c>
      <c r="P10" s="25">
        <f>IF(5=0,0,Gia_dinh!$F$48)</f>
        <v/>
      </c>
      <c r="Q10" s="25">
        <f>H10*IF(5=0,0,IF(5&lt;=3,Gia_dinh!$F$49,IF(5&lt;=6,Gia_dinh!$F$50,IF(5&lt;=9,Gia_dinh!$F$51,Gia_dinh!$F$52))))</f>
        <v/>
      </c>
      <c r="R10" s="25">
        <f>IF(5=0,0,Gia_dinh!$F$53)</f>
        <v/>
      </c>
      <c r="S10" s="25">
        <f>IF(5=0,Gia_dinh!$F$33,0)</f>
        <v/>
      </c>
      <c r="T10" s="25">
        <f>SUM(M10:S10)</f>
        <v/>
      </c>
      <c r="U10" s="25">
        <f>L10-T10</f>
        <v/>
      </c>
      <c r="V10" s="25">
        <f>V9+U10</f>
        <v/>
      </c>
    </row>
    <row r="11">
      <c r="B11" s="5" t="n">
        <v>6</v>
      </c>
      <c r="C11" s="5" t="inlineStr">
        <is>
          <t>Tăng trưởng sớm</t>
        </is>
      </c>
      <c r="D11" s="23">
        <f>IF(6&gt;Gia_dinh!$F$18,1-Gia_dinh!$F$19,1)*IF(6&gt;Gia_dinh!$F$20,1-Gia_dinh!$F$21,1)*(1-Gia_dinh!$F$107)^MAX(0,6-9)</f>
        <v/>
      </c>
      <c r="E11" s="24">
        <f>IF(6=0,0,IF(6&lt;=3,Gia_dinh!$F$34,IF(6&lt;=6,Gia_dinh!$F$36,IF(6&lt;=9,Gia_dinh!$F$38,Gia_dinh!$F$40))))</f>
        <v/>
      </c>
      <c r="F11" s="24">
        <f>IF(6=0,0,IF(6&lt;=3,Gia_dinh!$F$35,IF(6&lt;=6,Gia_dinh!$F$37,IF(6&lt;=9,Gia_dinh!$F$39,Gia_dinh!$F$41))))</f>
        <v/>
      </c>
      <c r="G11" s="24">
        <f>E11*F11</f>
        <v/>
      </c>
      <c r="H11" s="24">
        <f>G11*(1-Gia_dinh!$F$26)</f>
        <v/>
      </c>
      <c r="I11" s="24">
        <f>H11*Gia_dinh!$F$27</f>
        <v/>
      </c>
      <c r="J11" s="24">
        <f>IF(6&gt;=Gia_dinh!$F$29,Gia_dinh!$F$28*F11,0)</f>
        <v/>
      </c>
      <c r="K11" s="24">
        <f>H11*Gia_dinh!$F$30</f>
        <v/>
      </c>
      <c r="L11" s="24">
        <f>SUM(I11:K11)</f>
        <v/>
      </c>
      <c r="M11" s="24">
        <f>L11*Gia_dinh!$F$46</f>
        <v/>
      </c>
      <c r="N11" s="24">
        <f>IF(6=0,0,IF(6&lt;=3,Gia_dinh!$F$44,Gia_dinh!$F$45))</f>
        <v/>
      </c>
      <c r="O11" s="24">
        <f>IF(6=0,0,Gia_dinh!$F$47)</f>
        <v/>
      </c>
      <c r="P11" s="24">
        <f>IF(6=0,0,Gia_dinh!$F$48)</f>
        <v/>
      </c>
      <c r="Q11" s="24">
        <f>H11*IF(6=0,0,IF(6&lt;=3,Gia_dinh!$F$49,IF(6&lt;=6,Gia_dinh!$F$50,IF(6&lt;=9,Gia_dinh!$F$51,Gia_dinh!$F$52))))</f>
        <v/>
      </c>
      <c r="R11" s="24">
        <f>IF(6=0,0,Gia_dinh!$F$53)</f>
        <v/>
      </c>
      <c r="S11" s="24">
        <f>IF(6=0,Gia_dinh!$F$33,0)</f>
        <v/>
      </c>
      <c r="T11" s="24">
        <f>SUM(M11:S11)</f>
        <v/>
      </c>
      <c r="U11" s="24">
        <f>L11-T11</f>
        <v/>
      </c>
      <c r="V11" s="24">
        <f>V10+U11</f>
        <v/>
      </c>
    </row>
    <row r="12">
      <c r="B12" t="n">
        <v>7</v>
      </c>
      <c r="C12" t="inlineStr">
        <is>
          <t>Tăng trưởng</t>
        </is>
      </c>
      <c r="D12" s="12">
        <f>IF(7&gt;Gia_dinh!$F$18,1-Gia_dinh!$F$19,1)*IF(7&gt;Gia_dinh!$F$20,1-Gia_dinh!$F$21,1)*(1-Gia_dinh!$F$107)^MAX(0,7-9)</f>
        <v/>
      </c>
      <c r="E12" s="25">
        <f>IF(7=0,0,IF(7&lt;=3,Gia_dinh!$F$34,IF(7&lt;=6,Gia_dinh!$F$36,IF(7&lt;=9,Gia_dinh!$F$38,Gia_dinh!$F$40))))</f>
        <v/>
      </c>
      <c r="F12" s="25">
        <f>IF(7=0,0,IF(7&lt;=3,Gia_dinh!$F$35,IF(7&lt;=6,Gia_dinh!$F$37,IF(7&lt;=9,Gia_dinh!$F$39,Gia_dinh!$F$41))))</f>
        <v/>
      </c>
      <c r="G12" s="25">
        <f>E12*F12</f>
        <v/>
      </c>
      <c r="H12" s="25">
        <f>G12*(1-Gia_dinh!$F$26)</f>
        <v/>
      </c>
      <c r="I12" s="25">
        <f>H12*Gia_dinh!$F$27</f>
        <v/>
      </c>
      <c r="J12" s="25">
        <f>IF(7&gt;=Gia_dinh!$F$29,Gia_dinh!$F$28*F12,0)</f>
        <v/>
      </c>
      <c r="K12" s="25">
        <f>H12*Gia_dinh!$F$30</f>
        <v/>
      </c>
      <c r="L12" s="25">
        <f>SUM(I12:K12)</f>
        <v/>
      </c>
      <c r="M12" s="25">
        <f>L12*Gia_dinh!$F$46</f>
        <v/>
      </c>
      <c r="N12" s="25">
        <f>IF(7=0,0,IF(7&lt;=3,Gia_dinh!$F$44,Gia_dinh!$F$45))</f>
        <v/>
      </c>
      <c r="O12" s="25">
        <f>IF(7=0,0,Gia_dinh!$F$47)</f>
        <v/>
      </c>
      <c r="P12" s="25">
        <f>IF(7=0,0,Gia_dinh!$F$48)</f>
        <v/>
      </c>
      <c r="Q12" s="25">
        <f>H12*IF(7=0,0,IF(7&lt;=3,Gia_dinh!$F$49,IF(7&lt;=6,Gia_dinh!$F$50,IF(7&lt;=9,Gia_dinh!$F$51,Gia_dinh!$F$52))))</f>
        <v/>
      </c>
      <c r="R12" s="25">
        <f>IF(7=0,0,Gia_dinh!$F$53)</f>
        <v/>
      </c>
      <c r="S12" s="25">
        <f>IF(7=0,Gia_dinh!$F$33,0)</f>
        <v/>
      </c>
      <c r="T12" s="25">
        <f>SUM(M12:S12)</f>
        <v/>
      </c>
      <c r="U12" s="25">
        <f>L12-T12</f>
        <v/>
      </c>
      <c r="V12" s="25">
        <f>V11+U12</f>
        <v/>
      </c>
    </row>
    <row r="13">
      <c r="B13" t="n">
        <v>8</v>
      </c>
      <c r="C13" t="inlineStr">
        <is>
          <t>Tăng trưởng</t>
        </is>
      </c>
      <c r="D13" s="12">
        <f>IF(8&gt;Gia_dinh!$F$18,1-Gia_dinh!$F$19,1)*IF(8&gt;Gia_dinh!$F$20,1-Gia_dinh!$F$21,1)*(1-Gia_dinh!$F$107)^MAX(0,8-9)</f>
        <v/>
      </c>
      <c r="E13" s="25">
        <f>IF(8=0,0,IF(8&lt;=3,Gia_dinh!$F$34,IF(8&lt;=6,Gia_dinh!$F$36,IF(8&lt;=9,Gia_dinh!$F$38,Gia_dinh!$F$40))))</f>
        <v/>
      </c>
      <c r="F13" s="25">
        <f>IF(8=0,0,IF(8&lt;=3,Gia_dinh!$F$35,IF(8&lt;=6,Gia_dinh!$F$37,IF(8&lt;=9,Gia_dinh!$F$39,Gia_dinh!$F$41))))</f>
        <v/>
      </c>
      <c r="G13" s="25">
        <f>E13*F13</f>
        <v/>
      </c>
      <c r="H13" s="25">
        <f>G13*(1-Gia_dinh!$F$26)</f>
        <v/>
      </c>
      <c r="I13" s="25">
        <f>H13*Gia_dinh!$F$27</f>
        <v/>
      </c>
      <c r="J13" s="25">
        <f>IF(8&gt;=Gia_dinh!$F$29,Gia_dinh!$F$28*F13,0)</f>
        <v/>
      </c>
      <c r="K13" s="25">
        <f>H13*Gia_dinh!$F$30</f>
        <v/>
      </c>
      <c r="L13" s="25">
        <f>SUM(I13:K13)</f>
        <v/>
      </c>
      <c r="M13" s="25">
        <f>L13*Gia_dinh!$F$46</f>
        <v/>
      </c>
      <c r="N13" s="25">
        <f>IF(8=0,0,IF(8&lt;=3,Gia_dinh!$F$44,Gia_dinh!$F$45))</f>
        <v/>
      </c>
      <c r="O13" s="25">
        <f>IF(8=0,0,Gia_dinh!$F$47)</f>
        <v/>
      </c>
      <c r="P13" s="25">
        <f>IF(8=0,0,Gia_dinh!$F$48)</f>
        <v/>
      </c>
      <c r="Q13" s="25">
        <f>H13*IF(8=0,0,IF(8&lt;=3,Gia_dinh!$F$49,IF(8&lt;=6,Gia_dinh!$F$50,IF(8&lt;=9,Gia_dinh!$F$51,Gia_dinh!$F$52))))</f>
        <v/>
      </c>
      <c r="R13" s="25">
        <f>IF(8=0,0,Gia_dinh!$F$53)</f>
        <v/>
      </c>
      <c r="S13" s="25">
        <f>IF(8=0,Gia_dinh!$F$33,0)</f>
        <v/>
      </c>
      <c r="T13" s="25">
        <f>SUM(M13:S13)</f>
        <v/>
      </c>
      <c r="U13" s="25">
        <f>L13-T13</f>
        <v/>
      </c>
      <c r="V13" s="25">
        <f>V12+U13</f>
        <v/>
      </c>
    </row>
    <row r="14">
      <c r="B14" s="5" t="n">
        <v>9</v>
      </c>
      <c r="C14" s="5" t="inlineStr">
        <is>
          <t>Tăng trưởng</t>
        </is>
      </c>
      <c r="D14" s="23">
        <f>IF(9&gt;Gia_dinh!$F$18,1-Gia_dinh!$F$19,1)*IF(9&gt;Gia_dinh!$F$20,1-Gia_dinh!$F$21,1)*(1-Gia_dinh!$F$107)^MAX(0,9-9)</f>
        <v/>
      </c>
      <c r="E14" s="24">
        <f>IF(9=0,0,IF(9&lt;=3,Gia_dinh!$F$34,IF(9&lt;=6,Gia_dinh!$F$36,IF(9&lt;=9,Gia_dinh!$F$38,Gia_dinh!$F$40))))</f>
        <v/>
      </c>
      <c r="F14" s="24">
        <f>IF(9=0,0,IF(9&lt;=3,Gia_dinh!$F$35,IF(9&lt;=6,Gia_dinh!$F$37,IF(9&lt;=9,Gia_dinh!$F$39,Gia_dinh!$F$41))))</f>
        <v/>
      </c>
      <c r="G14" s="24">
        <f>E14*F14</f>
        <v/>
      </c>
      <c r="H14" s="24">
        <f>G14*(1-Gia_dinh!$F$26)</f>
        <v/>
      </c>
      <c r="I14" s="24">
        <f>H14*Gia_dinh!$F$27</f>
        <v/>
      </c>
      <c r="J14" s="24">
        <f>IF(9&gt;=Gia_dinh!$F$29,Gia_dinh!$F$28*F14,0)</f>
        <v/>
      </c>
      <c r="K14" s="24">
        <f>H14*Gia_dinh!$F$30</f>
        <v/>
      </c>
      <c r="L14" s="24">
        <f>SUM(I14:K14)</f>
        <v/>
      </c>
      <c r="M14" s="24">
        <f>L14*Gia_dinh!$F$46</f>
        <v/>
      </c>
      <c r="N14" s="24">
        <f>IF(9=0,0,IF(9&lt;=3,Gia_dinh!$F$44,Gia_dinh!$F$45))</f>
        <v/>
      </c>
      <c r="O14" s="24">
        <f>IF(9=0,0,Gia_dinh!$F$47)</f>
        <v/>
      </c>
      <c r="P14" s="24">
        <f>IF(9=0,0,Gia_dinh!$F$48)</f>
        <v/>
      </c>
      <c r="Q14" s="24">
        <f>H14*IF(9=0,0,IF(9&lt;=3,Gia_dinh!$F$49,IF(9&lt;=6,Gia_dinh!$F$50,IF(9&lt;=9,Gia_dinh!$F$51,Gia_dinh!$F$52))))</f>
        <v/>
      </c>
      <c r="R14" s="24">
        <f>IF(9=0,0,Gia_dinh!$F$53)</f>
        <v/>
      </c>
      <c r="S14" s="24">
        <f>IF(9=0,Gia_dinh!$F$33,0)</f>
        <v/>
      </c>
      <c r="T14" s="24">
        <f>SUM(M14:S14)</f>
        <v/>
      </c>
      <c r="U14" s="24">
        <f>L14-T14</f>
        <v/>
      </c>
      <c r="V14" s="24">
        <f>V13+U14</f>
        <v/>
      </c>
    </row>
    <row r="15">
      <c r="B15" t="n">
        <v>10</v>
      </c>
      <c r="C15" t="inlineStr">
        <is>
          <t>Ổn định</t>
        </is>
      </c>
      <c r="D15" s="12">
        <f>IF(10&gt;Gia_dinh!$F$18,1-Gia_dinh!$F$19,1)*IF(10&gt;Gia_dinh!$F$20,1-Gia_dinh!$F$21,1)*(1-Gia_dinh!$F$107)^MAX(0,10-9)</f>
        <v/>
      </c>
      <c r="E15" s="25">
        <f>IF(10=0,0,IF(10&lt;=3,Gia_dinh!$F$34,IF(10&lt;=6,Gia_dinh!$F$36,IF(10&lt;=9,Gia_dinh!$F$38,Gia_dinh!$F$40))))</f>
        <v/>
      </c>
      <c r="F15" s="25">
        <f>IF(10=0,0,IF(10&lt;=3,Gia_dinh!$F$35,IF(10&lt;=6,Gia_dinh!$F$37,IF(10&lt;=9,Gia_dinh!$F$39,Gia_dinh!$F$41))))</f>
        <v/>
      </c>
      <c r="G15" s="25">
        <f>E15*F15</f>
        <v/>
      </c>
      <c r="H15" s="25">
        <f>G15*(1-Gia_dinh!$F$26)</f>
        <v/>
      </c>
      <c r="I15" s="25">
        <f>H15*Gia_dinh!$F$27</f>
        <v/>
      </c>
      <c r="J15" s="25">
        <f>IF(10&gt;=Gia_dinh!$F$29,Gia_dinh!$F$28*F15,0)</f>
        <v/>
      </c>
      <c r="K15" s="25">
        <f>H15*Gia_dinh!$F$30</f>
        <v/>
      </c>
      <c r="L15" s="25">
        <f>SUM(I15:K15)</f>
        <v/>
      </c>
      <c r="M15" s="25">
        <f>L15*Gia_dinh!$F$46</f>
        <v/>
      </c>
      <c r="N15" s="25">
        <f>IF(10=0,0,IF(10&lt;=3,Gia_dinh!$F$44,Gia_dinh!$F$45))</f>
        <v/>
      </c>
      <c r="O15" s="25">
        <f>IF(10=0,0,Gia_dinh!$F$47)</f>
        <v/>
      </c>
      <c r="P15" s="25">
        <f>IF(10=0,0,Gia_dinh!$F$48)</f>
        <v/>
      </c>
      <c r="Q15" s="25">
        <f>H15*IF(10=0,0,IF(10&lt;=3,Gia_dinh!$F$49,IF(10&lt;=6,Gia_dinh!$F$50,IF(10&lt;=9,Gia_dinh!$F$51,Gia_dinh!$F$52))))</f>
        <v/>
      </c>
      <c r="R15" s="25">
        <f>IF(10=0,0,Gia_dinh!$F$53)</f>
        <v/>
      </c>
      <c r="S15" s="25">
        <f>IF(10=0,Gia_dinh!$F$33,0)</f>
        <v/>
      </c>
      <c r="T15" s="25">
        <f>SUM(M15:S15)</f>
        <v/>
      </c>
      <c r="U15" s="25">
        <f>L15-T15</f>
        <v/>
      </c>
      <c r="V15" s="25">
        <f>V14+U15</f>
        <v/>
      </c>
    </row>
    <row r="16">
      <c r="B16" t="n">
        <v>11</v>
      </c>
      <c r="C16" t="inlineStr">
        <is>
          <t>Ổn định</t>
        </is>
      </c>
      <c r="D16" s="12">
        <f>IF(11&gt;Gia_dinh!$F$18,1-Gia_dinh!$F$19,1)*IF(11&gt;Gia_dinh!$F$20,1-Gia_dinh!$F$21,1)*(1-Gia_dinh!$F$107)^MAX(0,11-9)</f>
        <v/>
      </c>
      <c r="E16" s="25">
        <f>IF(11=0,0,IF(11&lt;=3,Gia_dinh!$F$34,IF(11&lt;=6,Gia_dinh!$F$36,IF(11&lt;=9,Gia_dinh!$F$38,Gia_dinh!$F$40))))</f>
        <v/>
      </c>
      <c r="F16" s="25">
        <f>IF(11=0,0,IF(11&lt;=3,Gia_dinh!$F$35,IF(11&lt;=6,Gia_dinh!$F$37,IF(11&lt;=9,Gia_dinh!$F$39,Gia_dinh!$F$41))))</f>
        <v/>
      </c>
      <c r="G16" s="25">
        <f>E16*F16</f>
        <v/>
      </c>
      <c r="H16" s="25">
        <f>G16*(1-Gia_dinh!$F$26)</f>
        <v/>
      </c>
      <c r="I16" s="25">
        <f>H16*Gia_dinh!$F$27</f>
        <v/>
      </c>
      <c r="J16" s="25">
        <f>IF(11&gt;=Gia_dinh!$F$29,Gia_dinh!$F$28*F16,0)</f>
        <v/>
      </c>
      <c r="K16" s="25">
        <f>H16*Gia_dinh!$F$30</f>
        <v/>
      </c>
      <c r="L16" s="25">
        <f>SUM(I16:K16)</f>
        <v/>
      </c>
      <c r="M16" s="25">
        <f>L16*Gia_dinh!$F$46</f>
        <v/>
      </c>
      <c r="N16" s="25">
        <f>IF(11=0,0,IF(11&lt;=3,Gia_dinh!$F$44,Gia_dinh!$F$45))</f>
        <v/>
      </c>
      <c r="O16" s="25">
        <f>IF(11=0,0,Gia_dinh!$F$47)</f>
        <v/>
      </c>
      <c r="P16" s="25">
        <f>IF(11=0,0,Gia_dinh!$F$48)</f>
        <v/>
      </c>
      <c r="Q16" s="25">
        <f>H16*IF(11=0,0,IF(11&lt;=3,Gia_dinh!$F$49,IF(11&lt;=6,Gia_dinh!$F$50,IF(11&lt;=9,Gia_dinh!$F$51,Gia_dinh!$F$52))))</f>
        <v/>
      </c>
      <c r="R16" s="25">
        <f>IF(11=0,0,Gia_dinh!$F$53)</f>
        <v/>
      </c>
      <c r="S16" s="25">
        <f>IF(11=0,Gia_dinh!$F$33,0)</f>
        <v/>
      </c>
      <c r="T16" s="25">
        <f>SUM(M16:S16)</f>
        <v/>
      </c>
      <c r="U16" s="25">
        <f>L16-T16</f>
        <v/>
      </c>
      <c r="V16" s="25">
        <f>V15+U16</f>
        <v/>
      </c>
    </row>
    <row r="17">
      <c r="B17" t="n">
        <v>12</v>
      </c>
      <c r="C17" t="inlineStr">
        <is>
          <t>Ổn định</t>
        </is>
      </c>
      <c r="D17" s="12">
        <f>IF(12&gt;Gia_dinh!$F$18,1-Gia_dinh!$F$19,1)*IF(12&gt;Gia_dinh!$F$20,1-Gia_dinh!$F$21,1)*(1-Gia_dinh!$F$107)^MAX(0,12-9)</f>
        <v/>
      </c>
      <c r="E17" s="25">
        <f>IF(12=0,0,IF(12&lt;=3,Gia_dinh!$F$34,IF(12&lt;=6,Gia_dinh!$F$36,IF(12&lt;=9,Gia_dinh!$F$38,Gia_dinh!$F$40))))</f>
        <v/>
      </c>
      <c r="F17" s="25">
        <f>IF(12=0,0,IF(12&lt;=3,Gia_dinh!$F$35,IF(12&lt;=6,Gia_dinh!$F$37,IF(12&lt;=9,Gia_dinh!$F$39,Gia_dinh!$F$41))))</f>
        <v/>
      </c>
      <c r="G17" s="25">
        <f>E17*F17</f>
        <v/>
      </c>
      <c r="H17" s="25">
        <f>G17*(1-Gia_dinh!$F$26)</f>
        <v/>
      </c>
      <c r="I17" s="25">
        <f>H17*Gia_dinh!$F$27</f>
        <v/>
      </c>
      <c r="J17" s="25">
        <f>IF(12&gt;=Gia_dinh!$F$29,Gia_dinh!$F$28*F17,0)</f>
        <v/>
      </c>
      <c r="K17" s="25">
        <f>H17*Gia_dinh!$F$30</f>
        <v/>
      </c>
      <c r="L17" s="25">
        <f>SUM(I17:K17)</f>
        <v/>
      </c>
      <c r="M17" s="25">
        <f>L17*Gia_dinh!$F$46</f>
        <v/>
      </c>
      <c r="N17" s="25">
        <f>IF(12=0,0,IF(12&lt;=3,Gia_dinh!$F$44,Gia_dinh!$F$45))</f>
        <v/>
      </c>
      <c r="O17" s="25">
        <f>IF(12=0,0,Gia_dinh!$F$47)</f>
        <v/>
      </c>
      <c r="P17" s="25">
        <f>IF(12=0,0,Gia_dinh!$F$48)</f>
        <v/>
      </c>
      <c r="Q17" s="25">
        <f>H17*IF(12=0,0,IF(12&lt;=3,Gia_dinh!$F$49,IF(12&lt;=6,Gia_dinh!$F$50,IF(12&lt;=9,Gia_dinh!$F$51,Gia_dinh!$F$52))))</f>
        <v/>
      </c>
      <c r="R17" s="25">
        <f>IF(12=0,0,Gia_dinh!$F$53)</f>
        <v/>
      </c>
      <c r="S17" s="25">
        <f>IF(12=0,Gia_dinh!$F$33,0)</f>
        <v/>
      </c>
      <c r="T17" s="25">
        <f>SUM(M17:S17)</f>
        <v/>
      </c>
      <c r="U17" s="25">
        <f>L17-T17</f>
        <v/>
      </c>
      <c r="V17" s="25">
        <f>V16+U17</f>
        <v/>
      </c>
    </row>
    <row r="18">
      <c r="B18" t="n">
        <v>13</v>
      </c>
      <c r="C18" t="inlineStr">
        <is>
          <t>Ổn định</t>
        </is>
      </c>
      <c r="D18" s="12">
        <f>IF(13&gt;Gia_dinh!$F$18,1-Gia_dinh!$F$19,1)*IF(13&gt;Gia_dinh!$F$20,1-Gia_dinh!$F$21,1)*(1-Gia_dinh!$F$107)^MAX(0,13-9)</f>
        <v/>
      </c>
      <c r="E18" s="25">
        <f>IF(13=0,0,IF(13&lt;=3,Gia_dinh!$F$34,IF(13&lt;=6,Gia_dinh!$F$36,IF(13&lt;=9,Gia_dinh!$F$38,Gia_dinh!$F$40))))</f>
        <v/>
      </c>
      <c r="F18" s="25">
        <f>IF(13=0,0,IF(13&lt;=3,Gia_dinh!$F$35,IF(13&lt;=6,Gia_dinh!$F$37,IF(13&lt;=9,Gia_dinh!$F$39,Gia_dinh!$F$41))))</f>
        <v/>
      </c>
      <c r="G18" s="25">
        <f>E18*F18</f>
        <v/>
      </c>
      <c r="H18" s="25">
        <f>G18*(1-Gia_dinh!$F$26)</f>
        <v/>
      </c>
      <c r="I18" s="25">
        <f>H18*Gia_dinh!$F$27</f>
        <v/>
      </c>
      <c r="J18" s="25">
        <f>IF(13&gt;=Gia_dinh!$F$29,Gia_dinh!$F$28*F18,0)</f>
        <v/>
      </c>
      <c r="K18" s="25">
        <f>H18*Gia_dinh!$F$30</f>
        <v/>
      </c>
      <c r="L18" s="25">
        <f>SUM(I18:K18)</f>
        <v/>
      </c>
      <c r="M18" s="25">
        <f>L18*Gia_dinh!$F$46</f>
        <v/>
      </c>
      <c r="N18" s="25">
        <f>IF(13=0,0,IF(13&lt;=3,Gia_dinh!$F$44,Gia_dinh!$F$45))</f>
        <v/>
      </c>
      <c r="O18" s="25">
        <f>IF(13=0,0,Gia_dinh!$F$47)</f>
        <v/>
      </c>
      <c r="P18" s="25">
        <f>IF(13=0,0,Gia_dinh!$F$48)</f>
        <v/>
      </c>
      <c r="Q18" s="25">
        <f>H18*IF(13=0,0,IF(13&lt;=3,Gia_dinh!$F$49,IF(13&lt;=6,Gia_dinh!$F$50,IF(13&lt;=9,Gia_dinh!$F$51,Gia_dinh!$F$52))))</f>
        <v/>
      </c>
      <c r="R18" s="25">
        <f>IF(13=0,0,Gia_dinh!$F$53)</f>
        <v/>
      </c>
      <c r="S18" s="25">
        <f>IF(13=0,Gia_dinh!$F$33,0)</f>
        <v/>
      </c>
      <c r="T18" s="25">
        <f>SUM(M18:S18)</f>
        <v/>
      </c>
      <c r="U18" s="25">
        <f>L18-T18</f>
        <v/>
      </c>
      <c r="V18" s="25">
        <f>V17+U18</f>
        <v/>
      </c>
    </row>
    <row r="19">
      <c r="B19" t="n">
        <v>14</v>
      </c>
      <c r="C19" t="inlineStr">
        <is>
          <t>Ổn định</t>
        </is>
      </c>
      <c r="D19" s="12">
        <f>IF(14&gt;Gia_dinh!$F$18,1-Gia_dinh!$F$19,1)*IF(14&gt;Gia_dinh!$F$20,1-Gia_dinh!$F$21,1)*(1-Gia_dinh!$F$107)^MAX(0,14-9)</f>
        <v/>
      </c>
      <c r="E19" s="25">
        <f>IF(14=0,0,IF(14&lt;=3,Gia_dinh!$F$34,IF(14&lt;=6,Gia_dinh!$F$36,IF(14&lt;=9,Gia_dinh!$F$38,Gia_dinh!$F$40))))</f>
        <v/>
      </c>
      <c r="F19" s="25">
        <f>IF(14=0,0,IF(14&lt;=3,Gia_dinh!$F$35,IF(14&lt;=6,Gia_dinh!$F$37,IF(14&lt;=9,Gia_dinh!$F$39,Gia_dinh!$F$41))))</f>
        <v/>
      </c>
      <c r="G19" s="25">
        <f>E19*F19</f>
        <v/>
      </c>
      <c r="H19" s="25">
        <f>G19*(1-Gia_dinh!$F$26)</f>
        <v/>
      </c>
      <c r="I19" s="25">
        <f>H19*Gia_dinh!$F$27</f>
        <v/>
      </c>
      <c r="J19" s="25">
        <f>IF(14&gt;=Gia_dinh!$F$29,Gia_dinh!$F$28*F19,0)</f>
        <v/>
      </c>
      <c r="K19" s="25">
        <f>H19*Gia_dinh!$F$30</f>
        <v/>
      </c>
      <c r="L19" s="25">
        <f>SUM(I19:K19)</f>
        <v/>
      </c>
      <c r="M19" s="25">
        <f>L19*Gia_dinh!$F$46</f>
        <v/>
      </c>
      <c r="N19" s="25">
        <f>IF(14=0,0,IF(14&lt;=3,Gia_dinh!$F$44,Gia_dinh!$F$45))</f>
        <v/>
      </c>
      <c r="O19" s="25">
        <f>IF(14=0,0,Gia_dinh!$F$47)</f>
        <v/>
      </c>
      <c r="P19" s="25">
        <f>IF(14=0,0,Gia_dinh!$F$48)</f>
        <v/>
      </c>
      <c r="Q19" s="25">
        <f>H19*IF(14=0,0,IF(14&lt;=3,Gia_dinh!$F$49,IF(14&lt;=6,Gia_dinh!$F$50,IF(14&lt;=9,Gia_dinh!$F$51,Gia_dinh!$F$52))))</f>
        <v/>
      </c>
      <c r="R19" s="25">
        <f>IF(14=0,0,Gia_dinh!$F$53)</f>
        <v/>
      </c>
      <c r="S19" s="25">
        <f>IF(14=0,Gia_dinh!$F$33,0)</f>
        <v/>
      </c>
      <c r="T19" s="25">
        <f>SUM(M19:S19)</f>
        <v/>
      </c>
      <c r="U19" s="25">
        <f>L19-T19</f>
        <v/>
      </c>
      <c r="V19" s="25">
        <f>V18+U19</f>
        <v/>
      </c>
    </row>
    <row r="20">
      <c r="B20" t="n">
        <v>15</v>
      </c>
      <c r="C20" t="inlineStr">
        <is>
          <t>Ổn định</t>
        </is>
      </c>
      <c r="D20" s="12">
        <f>IF(15&gt;Gia_dinh!$F$18,1-Gia_dinh!$F$19,1)*IF(15&gt;Gia_dinh!$F$20,1-Gia_dinh!$F$21,1)*(1-Gia_dinh!$F$107)^MAX(0,15-9)</f>
        <v/>
      </c>
      <c r="E20" s="25">
        <f>IF(15=0,0,IF(15&lt;=3,Gia_dinh!$F$34,IF(15&lt;=6,Gia_dinh!$F$36,IF(15&lt;=9,Gia_dinh!$F$38,Gia_dinh!$F$40))))</f>
        <v/>
      </c>
      <c r="F20" s="25">
        <f>IF(15=0,0,IF(15&lt;=3,Gia_dinh!$F$35,IF(15&lt;=6,Gia_dinh!$F$37,IF(15&lt;=9,Gia_dinh!$F$39,Gia_dinh!$F$41))))</f>
        <v/>
      </c>
      <c r="G20" s="25">
        <f>E20*F20</f>
        <v/>
      </c>
      <c r="H20" s="25">
        <f>G20*(1-Gia_dinh!$F$26)</f>
        <v/>
      </c>
      <c r="I20" s="25">
        <f>H20*Gia_dinh!$F$27</f>
        <v/>
      </c>
      <c r="J20" s="25">
        <f>IF(15&gt;=Gia_dinh!$F$29,Gia_dinh!$F$28*F20,0)</f>
        <v/>
      </c>
      <c r="K20" s="25">
        <f>H20*Gia_dinh!$F$30</f>
        <v/>
      </c>
      <c r="L20" s="25">
        <f>SUM(I20:K20)</f>
        <v/>
      </c>
      <c r="M20" s="25">
        <f>L20*Gia_dinh!$F$46</f>
        <v/>
      </c>
      <c r="N20" s="25">
        <f>IF(15=0,0,IF(15&lt;=3,Gia_dinh!$F$44,Gia_dinh!$F$45))</f>
        <v/>
      </c>
      <c r="O20" s="25">
        <f>IF(15=0,0,Gia_dinh!$F$47)</f>
        <v/>
      </c>
      <c r="P20" s="25">
        <f>IF(15=0,0,Gia_dinh!$F$48)</f>
        <v/>
      </c>
      <c r="Q20" s="25">
        <f>H20*IF(15=0,0,IF(15&lt;=3,Gia_dinh!$F$49,IF(15&lt;=6,Gia_dinh!$F$50,IF(15&lt;=9,Gia_dinh!$F$51,Gia_dinh!$F$52))))</f>
        <v/>
      </c>
      <c r="R20" s="25">
        <f>IF(15=0,0,Gia_dinh!$F$53)</f>
        <v/>
      </c>
      <c r="S20" s="25">
        <f>IF(15=0,Gia_dinh!$F$33,0)</f>
        <v/>
      </c>
      <c r="T20" s="25">
        <f>SUM(M20:S20)</f>
        <v/>
      </c>
      <c r="U20" s="25">
        <f>L20-T20</f>
        <v/>
      </c>
      <c r="V20" s="25">
        <f>V19+U20</f>
        <v/>
      </c>
    </row>
    <row r="21">
      <c r="B21" t="n">
        <v>16</v>
      </c>
      <c r="C21" t="inlineStr">
        <is>
          <t>Ổn định</t>
        </is>
      </c>
      <c r="D21" s="12">
        <f>IF(16&gt;Gia_dinh!$F$18,1-Gia_dinh!$F$19,1)*IF(16&gt;Gia_dinh!$F$20,1-Gia_dinh!$F$21,1)*(1-Gia_dinh!$F$107)^MAX(0,16-9)</f>
        <v/>
      </c>
      <c r="E21" s="25">
        <f>IF(16=0,0,IF(16&lt;=3,Gia_dinh!$F$34,IF(16&lt;=6,Gia_dinh!$F$36,IF(16&lt;=9,Gia_dinh!$F$38,Gia_dinh!$F$40))))</f>
        <v/>
      </c>
      <c r="F21" s="25">
        <f>IF(16=0,0,IF(16&lt;=3,Gia_dinh!$F$35,IF(16&lt;=6,Gia_dinh!$F$37,IF(16&lt;=9,Gia_dinh!$F$39,Gia_dinh!$F$41))))</f>
        <v/>
      </c>
      <c r="G21" s="25">
        <f>E21*F21</f>
        <v/>
      </c>
      <c r="H21" s="25">
        <f>G21*(1-Gia_dinh!$F$26)</f>
        <v/>
      </c>
      <c r="I21" s="25">
        <f>H21*Gia_dinh!$F$27</f>
        <v/>
      </c>
      <c r="J21" s="25">
        <f>IF(16&gt;=Gia_dinh!$F$29,Gia_dinh!$F$28*F21,0)</f>
        <v/>
      </c>
      <c r="K21" s="25">
        <f>H21*Gia_dinh!$F$30</f>
        <v/>
      </c>
      <c r="L21" s="25">
        <f>SUM(I21:K21)</f>
        <v/>
      </c>
      <c r="M21" s="25">
        <f>L21*Gia_dinh!$F$46</f>
        <v/>
      </c>
      <c r="N21" s="25">
        <f>IF(16=0,0,IF(16&lt;=3,Gia_dinh!$F$44,Gia_dinh!$F$45))</f>
        <v/>
      </c>
      <c r="O21" s="25">
        <f>IF(16=0,0,Gia_dinh!$F$47)</f>
        <v/>
      </c>
      <c r="P21" s="25">
        <f>IF(16=0,0,Gia_dinh!$F$48)</f>
        <v/>
      </c>
      <c r="Q21" s="25">
        <f>H21*IF(16=0,0,IF(16&lt;=3,Gia_dinh!$F$49,IF(16&lt;=6,Gia_dinh!$F$50,IF(16&lt;=9,Gia_dinh!$F$51,Gia_dinh!$F$52))))</f>
        <v/>
      </c>
      <c r="R21" s="25">
        <f>IF(16=0,0,Gia_dinh!$F$53)</f>
        <v/>
      </c>
      <c r="S21" s="25">
        <f>IF(16=0,Gia_dinh!$F$33,0)</f>
        <v/>
      </c>
      <c r="T21" s="25">
        <f>SUM(M21:S21)</f>
        <v/>
      </c>
      <c r="U21" s="25">
        <f>L21-T21</f>
        <v/>
      </c>
      <c r="V21" s="25">
        <f>V20+U21</f>
        <v/>
      </c>
    </row>
    <row r="22">
      <c r="B22" t="n">
        <v>17</v>
      </c>
      <c r="C22" t="inlineStr">
        <is>
          <t>Ổn định</t>
        </is>
      </c>
      <c r="D22" s="12">
        <f>IF(17&gt;Gia_dinh!$F$18,1-Gia_dinh!$F$19,1)*IF(17&gt;Gia_dinh!$F$20,1-Gia_dinh!$F$21,1)*(1-Gia_dinh!$F$107)^MAX(0,17-9)</f>
        <v/>
      </c>
      <c r="E22" s="25">
        <f>IF(17=0,0,IF(17&lt;=3,Gia_dinh!$F$34,IF(17&lt;=6,Gia_dinh!$F$36,IF(17&lt;=9,Gia_dinh!$F$38,Gia_dinh!$F$40))))</f>
        <v/>
      </c>
      <c r="F22" s="25">
        <f>IF(17=0,0,IF(17&lt;=3,Gia_dinh!$F$35,IF(17&lt;=6,Gia_dinh!$F$37,IF(17&lt;=9,Gia_dinh!$F$39,Gia_dinh!$F$41))))</f>
        <v/>
      </c>
      <c r="G22" s="25">
        <f>E22*F22</f>
        <v/>
      </c>
      <c r="H22" s="25">
        <f>G22*(1-Gia_dinh!$F$26)</f>
        <v/>
      </c>
      <c r="I22" s="25">
        <f>H22*Gia_dinh!$F$27</f>
        <v/>
      </c>
      <c r="J22" s="25">
        <f>IF(17&gt;=Gia_dinh!$F$29,Gia_dinh!$F$28*F22,0)</f>
        <v/>
      </c>
      <c r="K22" s="25">
        <f>H22*Gia_dinh!$F$30</f>
        <v/>
      </c>
      <c r="L22" s="25">
        <f>SUM(I22:K22)</f>
        <v/>
      </c>
      <c r="M22" s="25">
        <f>L22*Gia_dinh!$F$46</f>
        <v/>
      </c>
      <c r="N22" s="25">
        <f>IF(17=0,0,IF(17&lt;=3,Gia_dinh!$F$44,Gia_dinh!$F$45))</f>
        <v/>
      </c>
      <c r="O22" s="25">
        <f>IF(17=0,0,Gia_dinh!$F$47)</f>
        <v/>
      </c>
      <c r="P22" s="25">
        <f>IF(17=0,0,Gia_dinh!$F$48)</f>
        <v/>
      </c>
      <c r="Q22" s="25">
        <f>H22*IF(17=0,0,IF(17&lt;=3,Gia_dinh!$F$49,IF(17&lt;=6,Gia_dinh!$F$50,IF(17&lt;=9,Gia_dinh!$F$51,Gia_dinh!$F$52))))</f>
        <v/>
      </c>
      <c r="R22" s="25">
        <f>IF(17=0,0,Gia_dinh!$F$53)</f>
        <v/>
      </c>
      <c r="S22" s="25">
        <f>IF(17=0,Gia_dinh!$F$33,0)</f>
        <v/>
      </c>
      <c r="T22" s="25">
        <f>SUM(M22:S22)</f>
        <v/>
      </c>
      <c r="U22" s="25">
        <f>L22-T22</f>
        <v/>
      </c>
      <c r="V22" s="25">
        <f>V21+U22</f>
        <v/>
      </c>
    </row>
    <row r="23">
      <c r="B23" t="n">
        <v>18</v>
      </c>
      <c r="C23" t="inlineStr">
        <is>
          <t>Ổn định</t>
        </is>
      </c>
      <c r="D23" s="12">
        <f>IF(18&gt;Gia_dinh!$F$18,1-Gia_dinh!$F$19,1)*IF(18&gt;Gia_dinh!$F$20,1-Gia_dinh!$F$21,1)*(1-Gia_dinh!$F$107)^MAX(0,18-9)</f>
        <v/>
      </c>
      <c r="E23" s="25">
        <f>IF(18=0,0,IF(18&lt;=3,Gia_dinh!$F$34,IF(18&lt;=6,Gia_dinh!$F$36,IF(18&lt;=9,Gia_dinh!$F$38,Gia_dinh!$F$40))))</f>
        <v/>
      </c>
      <c r="F23" s="25">
        <f>IF(18=0,0,IF(18&lt;=3,Gia_dinh!$F$35,IF(18&lt;=6,Gia_dinh!$F$37,IF(18&lt;=9,Gia_dinh!$F$39,Gia_dinh!$F$41))))</f>
        <v/>
      </c>
      <c r="G23" s="25">
        <f>E23*F23</f>
        <v/>
      </c>
      <c r="H23" s="25">
        <f>G23*(1-Gia_dinh!$F$26)</f>
        <v/>
      </c>
      <c r="I23" s="25">
        <f>H23*Gia_dinh!$F$27</f>
        <v/>
      </c>
      <c r="J23" s="25">
        <f>IF(18&gt;=Gia_dinh!$F$29,Gia_dinh!$F$28*F23,0)</f>
        <v/>
      </c>
      <c r="K23" s="25">
        <f>H23*Gia_dinh!$F$30</f>
        <v/>
      </c>
      <c r="L23" s="25">
        <f>SUM(I23:K23)</f>
        <v/>
      </c>
      <c r="M23" s="25">
        <f>L23*Gia_dinh!$F$46</f>
        <v/>
      </c>
      <c r="N23" s="25">
        <f>IF(18=0,0,IF(18&lt;=3,Gia_dinh!$F$44,Gia_dinh!$F$45))</f>
        <v/>
      </c>
      <c r="O23" s="25">
        <f>IF(18=0,0,Gia_dinh!$F$47)</f>
        <v/>
      </c>
      <c r="P23" s="25">
        <f>IF(18=0,0,Gia_dinh!$F$48)</f>
        <v/>
      </c>
      <c r="Q23" s="25">
        <f>H23*IF(18=0,0,IF(18&lt;=3,Gia_dinh!$F$49,IF(18&lt;=6,Gia_dinh!$F$50,IF(18&lt;=9,Gia_dinh!$F$51,Gia_dinh!$F$52))))</f>
        <v/>
      </c>
      <c r="R23" s="25">
        <f>IF(18=0,0,Gia_dinh!$F$53)</f>
        <v/>
      </c>
      <c r="S23" s="25">
        <f>IF(18=0,Gia_dinh!$F$33,0)</f>
        <v/>
      </c>
      <c r="T23" s="25">
        <f>SUM(M23:S23)</f>
        <v/>
      </c>
      <c r="U23" s="25">
        <f>L23-T23</f>
        <v/>
      </c>
      <c r="V23" s="25">
        <f>V22+U23</f>
        <v/>
      </c>
    </row>
    <row r="24">
      <c r="B24" t="n">
        <v>19</v>
      </c>
      <c r="C24" t="inlineStr">
        <is>
          <t>Ổn định</t>
        </is>
      </c>
      <c r="D24" s="12">
        <f>IF(19&gt;Gia_dinh!$F$18,1-Gia_dinh!$F$19,1)*IF(19&gt;Gia_dinh!$F$20,1-Gia_dinh!$F$21,1)*(1-Gia_dinh!$F$107)^MAX(0,19-9)</f>
        <v/>
      </c>
      <c r="E24" s="25">
        <f>IF(19=0,0,IF(19&lt;=3,Gia_dinh!$F$34,IF(19&lt;=6,Gia_dinh!$F$36,IF(19&lt;=9,Gia_dinh!$F$38,Gia_dinh!$F$40))))</f>
        <v/>
      </c>
      <c r="F24" s="25">
        <f>IF(19=0,0,IF(19&lt;=3,Gia_dinh!$F$35,IF(19&lt;=6,Gia_dinh!$F$37,IF(19&lt;=9,Gia_dinh!$F$39,Gia_dinh!$F$41))))</f>
        <v/>
      </c>
      <c r="G24" s="25">
        <f>E24*F24</f>
        <v/>
      </c>
      <c r="H24" s="25">
        <f>G24*(1-Gia_dinh!$F$26)</f>
        <v/>
      </c>
      <c r="I24" s="25">
        <f>H24*Gia_dinh!$F$27</f>
        <v/>
      </c>
      <c r="J24" s="25">
        <f>IF(19&gt;=Gia_dinh!$F$29,Gia_dinh!$F$28*F24,0)</f>
        <v/>
      </c>
      <c r="K24" s="25">
        <f>H24*Gia_dinh!$F$30</f>
        <v/>
      </c>
      <c r="L24" s="25">
        <f>SUM(I24:K24)</f>
        <v/>
      </c>
      <c r="M24" s="25">
        <f>L24*Gia_dinh!$F$46</f>
        <v/>
      </c>
      <c r="N24" s="25">
        <f>IF(19=0,0,IF(19&lt;=3,Gia_dinh!$F$44,Gia_dinh!$F$45))</f>
        <v/>
      </c>
      <c r="O24" s="25">
        <f>IF(19=0,0,Gia_dinh!$F$47)</f>
        <v/>
      </c>
      <c r="P24" s="25">
        <f>IF(19=0,0,Gia_dinh!$F$48)</f>
        <v/>
      </c>
      <c r="Q24" s="25">
        <f>H24*IF(19=0,0,IF(19&lt;=3,Gia_dinh!$F$49,IF(19&lt;=6,Gia_dinh!$F$50,IF(19&lt;=9,Gia_dinh!$F$51,Gia_dinh!$F$52))))</f>
        <v/>
      </c>
      <c r="R24" s="25">
        <f>IF(19=0,0,Gia_dinh!$F$53)</f>
        <v/>
      </c>
      <c r="S24" s="25">
        <f>IF(19=0,Gia_dinh!$F$33,0)</f>
        <v/>
      </c>
      <c r="T24" s="25">
        <f>SUM(M24:S24)</f>
        <v/>
      </c>
      <c r="U24" s="25">
        <f>L24-T24</f>
        <v/>
      </c>
      <c r="V24" s="25">
        <f>V23+U24</f>
        <v/>
      </c>
    </row>
    <row r="25">
      <c r="B25" t="n">
        <v>20</v>
      </c>
      <c r="C25" t="inlineStr">
        <is>
          <t>Ổn định</t>
        </is>
      </c>
      <c r="D25" s="12">
        <f>IF(20&gt;Gia_dinh!$F$18,1-Gia_dinh!$F$19,1)*IF(20&gt;Gia_dinh!$F$20,1-Gia_dinh!$F$21,1)*(1-Gia_dinh!$F$107)^MAX(0,20-9)</f>
        <v/>
      </c>
      <c r="E25" s="25">
        <f>IF(20=0,0,IF(20&lt;=3,Gia_dinh!$F$34,IF(20&lt;=6,Gia_dinh!$F$36,IF(20&lt;=9,Gia_dinh!$F$38,Gia_dinh!$F$40))))</f>
        <v/>
      </c>
      <c r="F25" s="25">
        <f>IF(20=0,0,IF(20&lt;=3,Gia_dinh!$F$35,IF(20&lt;=6,Gia_dinh!$F$37,IF(20&lt;=9,Gia_dinh!$F$39,Gia_dinh!$F$41))))</f>
        <v/>
      </c>
      <c r="G25" s="25">
        <f>E25*F25</f>
        <v/>
      </c>
      <c r="H25" s="25">
        <f>G25*(1-Gia_dinh!$F$26)</f>
        <v/>
      </c>
      <c r="I25" s="25">
        <f>H25*Gia_dinh!$F$27</f>
        <v/>
      </c>
      <c r="J25" s="25">
        <f>IF(20&gt;=Gia_dinh!$F$29,Gia_dinh!$F$28*F25,0)</f>
        <v/>
      </c>
      <c r="K25" s="25">
        <f>H25*Gia_dinh!$F$30</f>
        <v/>
      </c>
      <c r="L25" s="25">
        <f>SUM(I25:K25)</f>
        <v/>
      </c>
      <c r="M25" s="25">
        <f>L25*Gia_dinh!$F$46</f>
        <v/>
      </c>
      <c r="N25" s="25">
        <f>IF(20=0,0,IF(20&lt;=3,Gia_dinh!$F$44,Gia_dinh!$F$45))</f>
        <v/>
      </c>
      <c r="O25" s="25">
        <f>IF(20=0,0,Gia_dinh!$F$47)</f>
        <v/>
      </c>
      <c r="P25" s="25">
        <f>IF(20=0,0,Gia_dinh!$F$48)</f>
        <v/>
      </c>
      <c r="Q25" s="25">
        <f>H25*IF(20=0,0,IF(20&lt;=3,Gia_dinh!$F$49,IF(20&lt;=6,Gia_dinh!$F$50,IF(20&lt;=9,Gia_dinh!$F$51,Gia_dinh!$F$52))))</f>
        <v/>
      </c>
      <c r="R25" s="25">
        <f>IF(20=0,0,Gia_dinh!$F$53)</f>
        <v/>
      </c>
      <c r="S25" s="25">
        <f>IF(20=0,Gia_dinh!$F$33,0)</f>
        <v/>
      </c>
      <c r="T25" s="25">
        <f>SUM(M25:S25)</f>
        <v/>
      </c>
      <c r="U25" s="25">
        <f>L25-T25</f>
        <v/>
      </c>
      <c r="V25" s="25">
        <f>V24+U25</f>
        <v/>
      </c>
    </row>
    <row r="26">
      <c r="B26" t="n">
        <v>21</v>
      </c>
      <c r="C26" t="inlineStr">
        <is>
          <t>Ổn định</t>
        </is>
      </c>
      <c r="D26" s="12">
        <f>IF(21&gt;Gia_dinh!$F$18,1-Gia_dinh!$F$19,1)*IF(21&gt;Gia_dinh!$F$20,1-Gia_dinh!$F$21,1)*(1-Gia_dinh!$F$107)^MAX(0,21-9)</f>
        <v/>
      </c>
      <c r="E26" s="25">
        <f>IF(21=0,0,IF(21&lt;=3,Gia_dinh!$F$34,IF(21&lt;=6,Gia_dinh!$F$36,IF(21&lt;=9,Gia_dinh!$F$38,Gia_dinh!$F$40))))</f>
        <v/>
      </c>
      <c r="F26" s="25">
        <f>IF(21=0,0,IF(21&lt;=3,Gia_dinh!$F$35,IF(21&lt;=6,Gia_dinh!$F$37,IF(21&lt;=9,Gia_dinh!$F$39,Gia_dinh!$F$41))))</f>
        <v/>
      </c>
      <c r="G26" s="25">
        <f>E26*F26</f>
        <v/>
      </c>
      <c r="H26" s="25">
        <f>G26*(1-Gia_dinh!$F$26)</f>
        <v/>
      </c>
      <c r="I26" s="25">
        <f>H26*Gia_dinh!$F$27</f>
        <v/>
      </c>
      <c r="J26" s="25">
        <f>IF(21&gt;=Gia_dinh!$F$29,Gia_dinh!$F$28*F26,0)</f>
        <v/>
      </c>
      <c r="K26" s="25">
        <f>H26*Gia_dinh!$F$30</f>
        <v/>
      </c>
      <c r="L26" s="25">
        <f>SUM(I26:K26)</f>
        <v/>
      </c>
      <c r="M26" s="25">
        <f>L26*Gia_dinh!$F$46</f>
        <v/>
      </c>
      <c r="N26" s="25">
        <f>IF(21=0,0,IF(21&lt;=3,Gia_dinh!$F$44,Gia_dinh!$F$45))</f>
        <v/>
      </c>
      <c r="O26" s="25">
        <f>IF(21=0,0,Gia_dinh!$F$47)</f>
        <v/>
      </c>
      <c r="P26" s="25">
        <f>IF(21=0,0,Gia_dinh!$F$48)</f>
        <v/>
      </c>
      <c r="Q26" s="25">
        <f>H26*IF(21=0,0,IF(21&lt;=3,Gia_dinh!$F$49,IF(21&lt;=6,Gia_dinh!$F$50,IF(21&lt;=9,Gia_dinh!$F$51,Gia_dinh!$F$52))))</f>
        <v/>
      </c>
      <c r="R26" s="25">
        <f>IF(21=0,0,Gia_dinh!$F$53)</f>
        <v/>
      </c>
      <c r="S26" s="25">
        <f>IF(21=0,Gia_dinh!$F$33,0)</f>
        <v/>
      </c>
      <c r="T26" s="25">
        <f>SUM(M26:S26)</f>
        <v/>
      </c>
      <c r="U26" s="25">
        <f>L26-T26</f>
        <v/>
      </c>
      <c r="V26" s="25">
        <f>V25+U26</f>
        <v/>
      </c>
    </row>
    <row r="27">
      <c r="B27" t="n">
        <v>22</v>
      </c>
      <c r="C27" t="inlineStr">
        <is>
          <t>Ổn định</t>
        </is>
      </c>
      <c r="D27" s="12">
        <f>IF(22&gt;Gia_dinh!$F$18,1-Gia_dinh!$F$19,1)*IF(22&gt;Gia_dinh!$F$20,1-Gia_dinh!$F$21,1)*(1-Gia_dinh!$F$107)^MAX(0,22-9)</f>
        <v/>
      </c>
      <c r="E27" s="25">
        <f>IF(22=0,0,IF(22&lt;=3,Gia_dinh!$F$34,IF(22&lt;=6,Gia_dinh!$F$36,IF(22&lt;=9,Gia_dinh!$F$38,Gia_dinh!$F$40))))</f>
        <v/>
      </c>
      <c r="F27" s="25">
        <f>IF(22=0,0,IF(22&lt;=3,Gia_dinh!$F$35,IF(22&lt;=6,Gia_dinh!$F$37,IF(22&lt;=9,Gia_dinh!$F$39,Gia_dinh!$F$41))))</f>
        <v/>
      </c>
      <c r="G27" s="25">
        <f>E27*F27</f>
        <v/>
      </c>
      <c r="H27" s="25">
        <f>G27*(1-Gia_dinh!$F$26)</f>
        <v/>
      </c>
      <c r="I27" s="25">
        <f>H27*Gia_dinh!$F$27</f>
        <v/>
      </c>
      <c r="J27" s="25">
        <f>IF(22&gt;=Gia_dinh!$F$29,Gia_dinh!$F$28*F27,0)</f>
        <v/>
      </c>
      <c r="K27" s="25">
        <f>H27*Gia_dinh!$F$30</f>
        <v/>
      </c>
      <c r="L27" s="25">
        <f>SUM(I27:K27)</f>
        <v/>
      </c>
      <c r="M27" s="25">
        <f>L27*Gia_dinh!$F$46</f>
        <v/>
      </c>
      <c r="N27" s="25">
        <f>IF(22=0,0,IF(22&lt;=3,Gia_dinh!$F$44,Gia_dinh!$F$45))</f>
        <v/>
      </c>
      <c r="O27" s="25">
        <f>IF(22=0,0,Gia_dinh!$F$47)</f>
        <v/>
      </c>
      <c r="P27" s="25">
        <f>IF(22=0,0,Gia_dinh!$F$48)</f>
        <v/>
      </c>
      <c r="Q27" s="25">
        <f>H27*IF(22=0,0,IF(22&lt;=3,Gia_dinh!$F$49,IF(22&lt;=6,Gia_dinh!$F$50,IF(22&lt;=9,Gia_dinh!$F$51,Gia_dinh!$F$52))))</f>
        <v/>
      </c>
      <c r="R27" s="25">
        <f>IF(22=0,0,Gia_dinh!$F$53)</f>
        <v/>
      </c>
      <c r="S27" s="25">
        <f>IF(22=0,Gia_dinh!$F$33,0)</f>
        <v/>
      </c>
      <c r="T27" s="25">
        <f>SUM(M27:S27)</f>
        <v/>
      </c>
      <c r="U27" s="25">
        <f>L27-T27</f>
        <v/>
      </c>
      <c r="V27" s="25">
        <f>V26+U27</f>
        <v/>
      </c>
    </row>
    <row r="28">
      <c r="B28" t="n">
        <v>23</v>
      </c>
      <c r="C28" t="inlineStr">
        <is>
          <t>Ổn định</t>
        </is>
      </c>
      <c r="D28" s="12">
        <f>IF(23&gt;Gia_dinh!$F$18,1-Gia_dinh!$F$19,1)*IF(23&gt;Gia_dinh!$F$20,1-Gia_dinh!$F$21,1)*(1-Gia_dinh!$F$107)^MAX(0,23-9)</f>
        <v/>
      </c>
      <c r="E28" s="25">
        <f>IF(23=0,0,IF(23&lt;=3,Gia_dinh!$F$34,IF(23&lt;=6,Gia_dinh!$F$36,IF(23&lt;=9,Gia_dinh!$F$38,Gia_dinh!$F$40))))</f>
        <v/>
      </c>
      <c r="F28" s="25">
        <f>IF(23=0,0,IF(23&lt;=3,Gia_dinh!$F$35,IF(23&lt;=6,Gia_dinh!$F$37,IF(23&lt;=9,Gia_dinh!$F$39,Gia_dinh!$F$41))))</f>
        <v/>
      </c>
      <c r="G28" s="25">
        <f>E28*F28</f>
        <v/>
      </c>
      <c r="H28" s="25">
        <f>G28*(1-Gia_dinh!$F$26)</f>
        <v/>
      </c>
      <c r="I28" s="25">
        <f>H28*Gia_dinh!$F$27</f>
        <v/>
      </c>
      <c r="J28" s="25">
        <f>IF(23&gt;=Gia_dinh!$F$29,Gia_dinh!$F$28*F28,0)</f>
        <v/>
      </c>
      <c r="K28" s="25">
        <f>H28*Gia_dinh!$F$30</f>
        <v/>
      </c>
      <c r="L28" s="25">
        <f>SUM(I28:K28)</f>
        <v/>
      </c>
      <c r="M28" s="25">
        <f>L28*Gia_dinh!$F$46</f>
        <v/>
      </c>
      <c r="N28" s="25">
        <f>IF(23=0,0,IF(23&lt;=3,Gia_dinh!$F$44,Gia_dinh!$F$45))</f>
        <v/>
      </c>
      <c r="O28" s="25">
        <f>IF(23=0,0,Gia_dinh!$F$47)</f>
        <v/>
      </c>
      <c r="P28" s="25">
        <f>IF(23=0,0,Gia_dinh!$F$48)</f>
        <v/>
      </c>
      <c r="Q28" s="25">
        <f>H28*IF(23=0,0,IF(23&lt;=3,Gia_dinh!$F$49,IF(23&lt;=6,Gia_dinh!$F$50,IF(23&lt;=9,Gia_dinh!$F$51,Gia_dinh!$F$52))))</f>
        <v/>
      </c>
      <c r="R28" s="25">
        <f>IF(23=0,0,Gia_dinh!$F$53)</f>
        <v/>
      </c>
      <c r="S28" s="25">
        <f>IF(23=0,Gia_dinh!$F$33,0)</f>
        <v/>
      </c>
      <c r="T28" s="25">
        <f>SUM(M28:S28)</f>
        <v/>
      </c>
      <c r="U28" s="25">
        <f>L28-T28</f>
        <v/>
      </c>
      <c r="V28" s="25">
        <f>V27+U28</f>
        <v/>
      </c>
    </row>
    <row r="29">
      <c r="B29" t="n">
        <v>24</v>
      </c>
      <c r="C29" t="inlineStr">
        <is>
          <t>Ổn định</t>
        </is>
      </c>
      <c r="D29" s="12">
        <f>IF(24&gt;Gia_dinh!$F$18,1-Gia_dinh!$F$19,1)*IF(24&gt;Gia_dinh!$F$20,1-Gia_dinh!$F$21,1)*(1-Gia_dinh!$F$107)^MAX(0,24-9)</f>
        <v/>
      </c>
      <c r="E29" s="25">
        <f>IF(24=0,0,IF(24&lt;=3,Gia_dinh!$F$34,IF(24&lt;=6,Gia_dinh!$F$36,IF(24&lt;=9,Gia_dinh!$F$38,Gia_dinh!$F$40))))</f>
        <v/>
      </c>
      <c r="F29" s="25">
        <f>IF(24=0,0,IF(24&lt;=3,Gia_dinh!$F$35,IF(24&lt;=6,Gia_dinh!$F$37,IF(24&lt;=9,Gia_dinh!$F$39,Gia_dinh!$F$41))))</f>
        <v/>
      </c>
      <c r="G29" s="25">
        <f>E29*F29</f>
        <v/>
      </c>
      <c r="H29" s="25">
        <f>G29*(1-Gia_dinh!$F$26)</f>
        <v/>
      </c>
      <c r="I29" s="25">
        <f>H29*Gia_dinh!$F$27</f>
        <v/>
      </c>
      <c r="J29" s="25">
        <f>IF(24&gt;=Gia_dinh!$F$29,Gia_dinh!$F$28*F29,0)</f>
        <v/>
      </c>
      <c r="K29" s="25">
        <f>H29*Gia_dinh!$F$30</f>
        <v/>
      </c>
      <c r="L29" s="25">
        <f>SUM(I29:K29)</f>
        <v/>
      </c>
      <c r="M29" s="25">
        <f>L29*Gia_dinh!$F$46</f>
        <v/>
      </c>
      <c r="N29" s="25">
        <f>IF(24=0,0,IF(24&lt;=3,Gia_dinh!$F$44,Gia_dinh!$F$45))</f>
        <v/>
      </c>
      <c r="O29" s="25">
        <f>IF(24=0,0,Gia_dinh!$F$47)</f>
        <v/>
      </c>
      <c r="P29" s="25">
        <f>IF(24=0,0,Gia_dinh!$F$48)</f>
        <v/>
      </c>
      <c r="Q29" s="25">
        <f>H29*IF(24=0,0,IF(24&lt;=3,Gia_dinh!$F$49,IF(24&lt;=6,Gia_dinh!$F$50,IF(24&lt;=9,Gia_dinh!$F$51,Gia_dinh!$F$52))))</f>
        <v/>
      </c>
      <c r="R29" s="25">
        <f>IF(24=0,0,Gia_dinh!$F$53)</f>
        <v/>
      </c>
      <c r="S29" s="25">
        <f>IF(24=0,Gia_dinh!$F$33,0)</f>
        <v/>
      </c>
      <c r="T29" s="25">
        <f>SUM(M29:S29)</f>
        <v/>
      </c>
      <c r="U29" s="25">
        <f>L29-T29</f>
        <v/>
      </c>
      <c r="V29" s="25">
        <f>V28+U29</f>
        <v/>
      </c>
    </row>
    <row r="30">
      <c r="B30" t="n">
        <v>25</v>
      </c>
      <c r="C30" t="inlineStr">
        <is>
          <t>Ổn định</t>
        </is>
      </c>
      <c r="D30" s="12">
        <f>IF(25&gt;Gia_dinh!$F$18,1-Gia_dinh!$F$19,1)*IF(25&gt;Gia_dinh!$F$20,1-Gia_dinh!$F$21,1)*(1-Gia_dinh!$F$107)^MAX(0,25-9)</f>
        <v/>
      </c>
      <c r="E30" s="25">
        <f>IF(25=0,0,IF(25&lt;=3,Gia_dinh!$F$34,IF(25&lt;=6,Gia_dinh!$F$36,IF(25&lt;=9,Gia_dinh!$F$38,Gia_dinh!$F$40))))</f>
        <v/>
      </c>
      <c r="F30" s="25">
        <f>IF(25=0,0,IF(25&lt;=3,Gia_dinh!$F$35,IF(25&lt;=6,Gia_dinh!$F$37,IF(25&lt;=9,Gia_dinh!$F$39,Gia_dinh!$F$41))))</f>
        <v/>
      </c>
      <c r="G30" s="25">
        <f>E30*F30</f>
        <v/>
      </c>
      <c r="H30" s="25">
        <f>G30*(1-Gia_dinh!$F$26)</f>
        <v/>
      </c>
      <c r="I30" s="25">
        <f>H30*Gia_dinh!$F$27</f>
        <v/>
      </c>
      <c r="J30" s="25">
        <f>IF(25&gt;=Gia_dinh!$F$29,Gia_dinh!$F$28*F30,0)</f>
        <v/>
      </c>
      <c r="K30" s="25">
        <f>H30*Gia_dinh!$F$30</f>
        <v/>
      </c>
      <c r="L30" s="25">
        <f>SUM(I30:K30)</f>
        <v/>
      </c>
      <c r="M30" s="25">
        <f>L30*Gia_dinh!$F$46</f>
        <v/>
      </c>
      <c r="N30" s="25">
        <f>IF(25=0,0,IF(25&lt;=3,Gia_dinh!$F$44,Gia_dinh!$F$45))</f>
        <v/>
      </c>
      <c r="O30" s="25">
        <f>IF(25=0,0,Gia_dinh!$F$47)</f>
        <v/>
      </c>
      <c r="P30" s="25">
        <f>IF(25=0,0,Gia_dinh!$F$48)</f>
        <v/>
      </c>
      <c r="Q30" s="25">
        <f>H30*IF(25=0,0,IF(25&lt;=3,Gia_dinh!$F$49,IF(25&lt;=6,Gia_dinh!$F$50,IF(25&lt;=9,Gia_dinh!$F$51,Gia_dinh!$F$52))))</f>
        <v/>
      </c>
      <c r="R30" s="25">
        <f>IF(25=0,0,Gia_dinh!$F$53)</f>
        <v/>
      </c>
      <c r="S30" s="25">
        <f>IF(25=0,Gia_dinh!$F$33,0)</f>
        <v/>
      </c>
      <c r="T30" s="25">
        <f>SUM(M30:S30)</f>
        <v/>
      </c>
      <c r="U30" s="25">
        <f>L30-T30</f>
        <v/>
      </c>
      <c r="V30" s="25">
        <f>V29+U30</f>
        <v/>
      </c>
    </row>
    <row r="31">
      <c r="B31" t="n">
        <v>26</v>
      </c>
      <c r="C31" t="inlineStr">
        <is>
          <t>Ổn định</t>
        </is>
      </c>
      <c r="D31" s="12">
        <f>IF(26&gt;Gia_dinh!$F$18,1-Gia_dinh!$F$19,1)*IF(26&gt;Gia_dinh!$F$20,1-Gia_dinh!$F$21,1)*(1-Gia_dinh!$F$107)^MAX(0,26-9)</f>
        <v/>
      </c>
      <c r="E31" s="25">
        <f>IF(26=0,0,IF(26&lt;=3,Gia_dinh!$F$34,IF(26&lt;=6,Gia_dinh!$F$36,IF(26&lt;=9,Gia_dinh!$F$38,Gia_dinh!$F$40))))</f>
        <v/>
      </c>
      <c r="F31" s="25">
        <f>IF(26=0,0,IF(26&lt;=3,Gia_dinh!$F$35,IF(26&lt;=6,Gia_dinh!$F$37,IF(26&lt;=9,Gia_dinh!$F$39,Gia_dinh!$F$41))))</f>
        <v/>
      </c>
      <c r="G31" s="25">
        <f>E31*F31</f>
        <v/>
      </c>
      <c r="H31" s="25">
        <f>G31*(1-Gia_dinh!$F$26)</f>
        <v/>
      </c>
      <c r="I31" s="25">
        <f>H31*Gia_dinh!$F$27</f>
        <v/>
      </c>
      <c r="J31" s="25">
        <f>IF(26&gt;=Gia_dinh!$F$29,Gia_dinh!$F$28*F31,0)</f>
        <v/>
      </c>
      <c r="K31" s="25">
        <f>H31*Gia_dinh!$F$30</f>
        <v/>
      </c>
      <c r="L31" s="25">
        <f>SUM(I31:K31)</f>
        <v/>
      </c>
      <c r="M31" s="25">
        <f>L31*Gia_dinh!$F$46</f>
        <v/>
      </c>
      <c r="N31" s="25">
        <f>IF(26=0,0,IF(26&lt;=3,Gia_dinh!$F$44,Gia_dinh!$F$45))</f>
        <v/>
      </c>
      <c r="O31" s="25">
        <f>IF(26=0,0,Gia_dinh!$F$47)</f>
        <v/>
      </c>
      <c r="P31" s="25">
        <f>IF(26=0,0,Gia_dinh!$F$48)</f>
        <v/>
      </c>
      <c r="Q31" s="25">
        <f>H31*IF(26=0,0,IF(26&lt;=3,Gia_dinh!$F$49,IF(26&lt;=6,Gia_dinh!$F$50,IF(26&lt;=9,Gia_dinh!$F$51,Gia_dinh!$F$52))))</f>
        <v/>
      </c>
      <c r="R31" s="25">
        <f>IF(26=0,0,Gia_dinh!$F$53)</f>
        <v/>
      </c>
      <c r="S31" s="25">
        <f>IF(26=0,Gia_dinh!$F$33,0)</f>
        <v/>
      </c>
      <c r="T31" s="25">
        <f>SUM(M31:S31)</f>
        <v/>
      </c>
      <c r="U31" s="25">
        <f>L31-T31</f>
        <v/>
      </c>
      <c r="V31" s="25">
        <f>V30+U31</f>
        <v/>
      </c>
    </row>
    <row r="32">
      <c r="B32" t="n">
        <v>27</v>
      </c>
      <c r="C32" t="inlineStr">
        <is>
          <t>Ổn định</t>
        </is>
      </c>
      <c r="D32" s="12">
        <f>IF(27&gt;Gia_dinh!$F$18,1-Gia_dinh!$F$19,1)*IF(27&gt;Gia_dinh!$F$20,1-Gia_dinh!$F$21,1)*(1-Gia_dinh!$F$107)^MAX(0,27-9)</f>
        <v/>
      </c>
      <c r="E32" s="25">
        <f>IF(27=0,0,IF(27&lt;=3,Gia_dinh!$F$34,IF(27&lt;=6,Gia_dinh!$F$36,IF(27&lt;=9,Gia_dinh!$F$38,Gia_dinh!$F$40))))</f>
        <v/>
      </c>
      <c r="F32" s="25">
        <f>IF(27=0,0,IF(27&lt;=3,Gia_dinh!$F$35,IF(27&lt;=6,Gia_dinh!$F$37,IF(27&lt;=9,Gia_dinh!$F$39,Gia_dinh!$F$41))))</f>
        <v/>
      </c>
      <c r="G32" s="25">
        <f>E32*F32</f>
        <v/>
      </c>
      <c r="H32" s="25">
        <f>G32*(1-Gia_dinh!$F$26)</f>
        <v/>
      </c>
      <c r="I32" s="25">
        <f>H32*Gia_dinh!$F$27</f>
        <v/>
      </c>
      <c r="J32" s="25">
        <f>IF(27&gt;=Gia_dinh!$F$29,Gia_dinh!$F$28*F32,0)</f>
        <v/>
      </c>
      <c r="K32" s="25">
        <f>H32*Gia_dinh!$F$30</f>
        <v/>
      </c>
      <c r="L32" s="25">
        <f>SUM(I32:K32)</f>
        <v/>
      </c>
      <c r="M32" s="25">
        <f>L32*Gia_dinh!$F$46</f>
        <v/>
      </c>
      <c r="N32" s="25">
        <f>IF(27=0,0,IF(27&lt;=3,Gia_dinh!$F$44,Gia_dinh!$F$45))</f>
        <v/>
      </c>
      <c r="O32" s="25">
        <f>IF(27=0,0,Gia_dinh!$F$47)</f>
        <v/>
      </c>
      <c r="P32" s="25">
        <f>IF(27=0,0,Gia_dinh!$F$48)</f>
        <v/>
      </c>
      <c r="Q32" s="25">
        <f>H32*IF(27=0,0,IF(27&lt;=3,Gia_dinh!$F$49,IF(27&lt;=6,Gia_dinh!$F$50,IF(27&lt;=9,Gia_dinh!$F$51,Gia_dinh!$F$52))))</f>
        <v/>
      </c>
      <c r="R32" s="25">
        <f>IF(27=0,0,Gia_dinh!$F$53)</f>
        <v/>
      </c>
      <c r="S32" s="25">
        <f>IF(27=0,Gia_dinh!$F$33,0)</f>
        <v/>
      </c>
      <c r="T32" s="25">
        <f>SUM(M32:S32)</f>
        <v/>
      </c>
      <c r="U32" s="25">
        <f>L32-T32</f>
        <v/>
      </c>
      <c r="V32" s="25">
        <f>V31+U32</f>
        <v/>
      </c>
    </row>
    <row r="33">
      <c r="B33" t="n">
        <v>28</v>
      </c>
      <c r="C33" t="inlineStr">
        <is>
          <t>Ổn định</t>
        </is>
      </c>
      <c r="D33" s="12">
        <f>IF(28&gt;Gia_dinh!$F$18,1-Gia_dinh!$F$19,1)*IF(28&gt;Gia_dinh!$F$20,1-Gia_dinh!$F$21,1)*(1-Gia_dinh!$F$107)^MAX(0,28-9)</f>
        <v/>
      </c>
      <c r="E33" s="25">
        <f>IF(28=0,0,IF(28&lt;=3,Gia_dinh!$F$34,IF(28&lt;=6,Gia_dinh!$F$36,IF(28&lt;=9,Gia_dinh!$F$38,Gia_dinh!$F$40))))</f>
        <v/>
      </c>
      <c r="F33" s="25">
        <f>IF(28=0,0,IF(28&lt;=3,Gia_dinh!$F$35,IF(28&lt;=6,Gia_dinh!$F$37,IF(28&lt;=9,Gia_dinh!$F$39,Gia_dinh!$F$41))))</f>
        <v/>
      </c>
      <c r="G33" s="25">
        <f>E33*F33</f>
        <v/>
      </c>
      <c r="H33" s="25">
        <f>G33*(1-Gia_dinh!$F$26)</f>
        <v/>
      </c>
      <c r="I33" s="25">
        <f>H33*Gia_dinh!$F$27</f>
        <v/>
      </c>
      <c r="J33" s="25">
        <f>IF(28&gt;=Gia_dinh!$F$29,Gia_dinh!$F$28*F33,0)</f>
        <v/>
      </c>
      <c r="K33" s="25">
        <f>H33*Gia_dinh!$F$30</f>
        <v/>
      </c>
      <c r="L33" s="25">
        <f>SUM(I33:K33)</f>
        <v/>
      </c>
      <c r="M33" s="25">
        <f>L33*Gia_dinh!$F$46</f>
        <v/>
      </c>
      <c r="N33" s="25">
        <f>IF(28=0,0,IF(28&lt;=3,Gia_dinh!$F$44,Gia_dinh!$F$45))</f>
        <v/>
      </c>
      <c r="O33" s="25">
        <f>IF(28=0,0,Gia_dinh!$F$47)</f>
        <v/>
      </c>
      <c r="P33" s="25">
        <f>IF(28=0,0,Gia_dinh!$F$48)</f>
        <v/>
      </c>
      <c r="Q33" s="25">
        <f>H33*IF(28=0,0,IF(28&lt;=3,Gia_dinh!$F$49,IF(28&lt;=6,Gia_dinh!$F$50,IF(28&lt;=9,Gia_dinh!$F$51,Gia_dinh!$F$52))))</f>
        <v/>
      </c>
      <c r="R33" s="25">
        <f>IF(28=0,0,Gia_dinh!$F$53)</f>
        <v/>
      </c>
      <c r="S33" s="25">
        <f>IF(28=0,Gia_dinh!$F$33,0)</f>
        <v/>
      </c>
      <c r="T33" s="25">
        <f>SUM(M33:S33)</f>
        <v/>
      </c>
      <c r="U33" s="25">
        <f>L33-T33</f>
        <v/>
      </c>
      <c r="V33" s="25">
        <f>V32+U33</f>
        <v/>
      </c>
    </row>
    <row r="34">
      <c r="B34" t="n">
        <v>29</v>
      </c>
      <c r="C34" t="inlineStr">
        <is>
          <t>Ổn định</t>
        </is>
      </c>
      <c r="D34" s="12">
        <f>IF(29&gt;Gia_dinh!$F$18,1-Gia_dinh!$F$19,1)*IF(29&gt;Gia_dinh!$F$20,1-Gia_dinh!$F$21,1)*(1-Gia_dinh!$F$107)^MAX(0,29-9)</f>
        <v/>
      </c>
      <c r="E34" s="25">
        <f>IF(29=0,0,IF(29&lt;=3,Gia_dinh!$F$34,IF(29&lt;=6,Gia_dinh!$F$36,IF(29&lt;=9,Gia_dinh!$F$38,Gia_dinh!$F$40))))</f>
        <v/>
      </c>
      <c r="F34" s="25">
        <f>IF(29=0,0,IF(29&lt;=3,Gia_dinh!$F$35,IF(29&lt;=6,Gia_dinh!$F$37,IF(29&lt;=9,Gia_dinh!$F$39,Gia_dinh!$F$41))))</f>
        <v/>
      </c>
      <c r="G34" s="25">
        <f>E34*F34</f>
        <v/>
      </c>
      <c r="H34" s="25">
        <f>G34*(1-Gia_dinh!$F$26)</f>
        <v/>
      </c>
      <c r="I34" s="25">
        <f>H34*Gia_dinh!$F$27</f>
        <v/>
      </c>
      <c r="J34" s="25">
        <f>IF(29&gt;=Gia_dinh!$F$29,Gia_dinh!$F$28*F34,0)</f>
        <v/>
      </c>
      <c r="K34" s="25">
        <f>H34*Gia_dinh!$F$30</f>
        <v/>
      </c>
      <c r="L34" s="25">
        <f>SUM(I34:K34)</f>
        <v/>
      </c>
      <c r="M34" s="25">
        <f>L34*Gia_dinh!$F$46</f>
        <v/>
      </c>
      <c r="N34" s="25">
        <f>IF(29=0,0,IF(29&lt;=3,Gia_dinh!$F$44,Gia_dinh!$F$45))</f>
        <v/>
      </c>
      <c r="O34" s="25">
        <f>IF(29=0,0,Gia_dinh!$F$47)</f>
        <v/>
      </c>
      <c r="P34" s="25">
        <f>IF(29=0,0,Gia_dinh!$F$48)</f>
        <v/>
      </c>
      <c r="Q34" s="25">
        <f>H34*IF(29=0,0,IF(29&lt;=3,Gia_dinh!$F$49,IF(29&lt;=6,Gia_dinh!$F$50,IF(29&lt;=9,Gia_dinh!$F$51,Gia_dinh!$F$52))))</f>
        <v/>
      </c>
      <c r="R34" s="25">
        <f>IF(29=0,0,Gia_dinh!$F$53)</f>
        <v/>
      </c>
      <c r="S34" s="25">
        <f>IF(29=0,Gia_dinh!$F$33,0)</f>
        <v/>
      </c>
      <c r="T34" s="25">
        <f>SUM(M34:S34)</f>
        <v/>
      </c>
      <c r="U34" s="25">
        <f>L34-T34</f>
        <v/>
      </c>
      <c r="V34" s="25">
        <f>V33+U34</f>
        <v/>
      </c>
    </row>
    <row r="35">
      <c r="B35" t="n">
        <v>30</v>
      </c>
      <c r="C35" t="inlineStr">
        <is>
          <t>Ổn định</t>
        </is>
      </c>
      <c r="D35" s="12">
        <f>IF(30&gt;Gia_dinh!$F$18,1-Gia_dinh!$F$19,1)*IF(30&gt;Gia_dinh!$F$20,1-Gia_dinh!$F$21,1)*(1-Gia_dinh!$F$107)^MAX(0,30-9)</f>
        <v/>
      </c>
      <c r="E35" s="25">
        <f>IF(30=0,0,IF(30&lt;=3,Gia_dinh!$F$34,IF(30&lt;=6,Gia_dinh!$F$36,IF(30&lt;=9,Gia_dinh!$F$38,Gia_dinh!$F$40))))</f>
        <v/>
      </c>
      <c r="F35" s="25">
        <f>IF(30=0,0,IF(30&lt;=3,Gia_dinh!$F$35,IF(30&lt;=6,Gia_dinh!$F$37,IF(30&lt;=9,Gia_dinh!$F$39,Gia_dinh!$F$41))))</f>
        <v/>
      </c>
      <c r="G35" s="25">
        <f>E35*F35</f>
        <v/>
      </c>
      <c r="H35" s="25">
        <f>G35*(1-Gia_dinh!$F$26)</f>
        <v/>
      </c>
      <c r="I35" s="25">
        <f>H35*Gia_dinh!$F$27</f>
        <v/>
      </c>
      <c r="J35" s="25">
        <f>IF(30&gt;=Gia_dinh!$F$29,Gia_dinh!$F$28*F35,0)</f>
        <v/>
      </c>
      <c r="K35" s="25">
        <f>H35*Gia_dinh!$F$30</f>
        <v/>
      </c>
      <c r="L35" s="25">
        <f>SUM(I35:K35)</f>
        <v/>
      </c>
      <c r="M35" s="25">
        <f>L35*Gia_dinh!$F$46</f>
        <v/>
      </c>
      <c r="N35" s="25">
        <f>IF(30=0,0,IF(30&lt;=3,Gia_dinh!$F$44,Gia_dinh!$F$45))</f>
        <v/>
      </c>
      <c r="O35" s="25">
        <f>IF(30=0,0,Gia_dinh!$F$47)</f>
        <v/>
      </c>
      <c r="P35" s="25">
        <f>IF(30=0,0,Gia_dinh!$F$48)</f>
        <v/>
      </c>
      <c r="Q35" s="25">
        <f>H35*IF(30=0,0,IF(30&lt;=3,Gia_dinh!$F$49,IF(30&lt;=6,Gia_dinh!$F$50,IF(30&lt;=9,Gia_dinh!$F$51,Gia_dinh!$F$52))))</f>
        <v/>
      </c>
      <c r="R35" s="25">
        <f>IF(30=0,0,Gia_dinh!$F$53)</f>
        <v/>
      </c>
      <c r="S35" s="25">
        <f>IF(30=0,Gia_dinh!$F$33,0)</f>
        <v/>
      </c>
      <c r="T35" s="25">
        <f>SUM(M35:S35)</f>
        <v/>
      </c>
      <c r="U35" s="25">
        <f>L35-T35</f>
        <v/>
      </c>
      <c r="V35" s="25">
        <f>V34+U35</f>
        <v/>
      </c>
    </row>
    <row r="36">
      <c r="B36" t="n">
        <v>31</v>
      </c>
      <c r="C36" t="inlineStr">
        <is>
          <t>Ổn định</t>
        </is>
      </c>
      <c r="D36" s="12">
        <f>IF(31&gt;Gia_dinh!$F$18,1-Gia_dinh!$F$19,1)*IF(31&gt;Gia_dinh!$F$20,1-Gia_dinh!$F$21,1)*(1-Gia_dinh!$F$107)^MAX(0,31-9)</f>
        <v/>
      </c>
      <c r="E36" s="25">
        <f>IF(31=0,0,IF(31&lt;=3,Gia_dinh!$F$34,IF(31&lt;=6,Gia_dinh!$F$36,IF(31&lt;=9,Gia_dinh!$F$38,Gia_dinh!$F$40))))</f>
        <v/>
      </c>
      <c r="F36" s="25">
        <f>IF(31=0,0,IF(31&lt;=3,Gia_dinh!$F$35,IF(31&lt;=6,Gia_dinh!$F$37,IF(31&lt;=9,Gia_dinh!$F$39,Gia_dinh!$F$41))))</f>
        <v/>
      </c>
      <c r="G36" s="25">
        <f>E36*F36</f>
        <v/>
      </c>
      <c r="H36" s="25">
        <f>G36*(1-Gia_dinh!$F$26)</f>
        <v/>
      </c>
      <c r="I36" s="25">
        <f>H36*Gia_dinh!$F$27</f>
        <v/>
      </c>
      <c r="J36" s="25">
        <f>IF(31&gt;=Gia_dinh!$F$29,Gia_dinh!$F$28*F36,0)</f>
        <v/>
      </c>
      <c r="K36" s="25">
        <f>H36*Gia_dinh!$F$30</f>
        <v/>
      </c>
      <c r="L36" s="25">
        <f>SUM(I36:K36)</f>
        <v/>
      </c>
      <c r="M36" s="25">
        <f>L36*Gia_dinh!$F$46</f>
        <v/>
      </c>
      <c r="N36" s="25">
        <f>IF(31=0,0,IF(31&lt;=3,Gia_dinh!$F$44,Gia_dinh!$F$45))</f>
        <v/>
      </c>
      <c r="O36" s="25">
        <f>IF(31=0,0,Gia_dinh!$F$47)</f>
        <v/>
      </c>
      <c r="P36" s="25">
        <f>IF(31=0,0,Gia_dinh!$F$48)</f>
        <v/>
      </c>
      <c r="Q36" s="25">
        <f>H36*IF(31=0,0,IF(31&lt;=3,Gia_dinh!$F$49,IF(31&lt;=6,Gia_dinh!$F$50,IF(31&lt;=9,Gia_dinh!$F$51,Gia_dinh!$F$52))))</f>
        <v/>
      </c>
      <c r="R36" s="25">
        <f>IF(31=0,0,Gia_dinh!$F$53)</f>
        <v/>
      </c>
      <c r="S36" s="25">
        <f>IF(31=0,Gia_dinh!$F$33,0)</f>
        <v/>
      </c>
      <c r="T36" s="25">
        <f>SUM(M36:S36)</f>
        <v/>
      </c>
      <c r="U36" s="25">
        <f>L36-T36</f>
        <v/>
      </c>
      <c r="V36" s="25">
        <f>V35+U36</f>
        <v/>
      </c>
    </row>
    <row r="37">
      <c r="B37" t="n">
        <v>32</v>
      </c>
      <c r="C37" t="inlineStr">
        <is>
          <t>Ổn định</t>
        </is>
      </c>
      <c r="D37" s="12">
        <f>IF(32&gt;Gia_dinh!$F$18,1-Gia_dinh!$F$19,1)*IF(32&gt;Gia_dinh!$F$20,1-Gia_dinh!$F$21,1)*(1-Gia_dinh!$F$107)^MAX(0,32-9)</f>
        <v/>
      </c>
      <c r="E37" s="25">
        <f>IF(32=0,0,IF(32&lt;=3,Gia_dinh!$F$34,IF(32&lt;=6,Gia_dinh!$F$36,IF(32&lt;=9,Gia_dinh!$F$38,Gia_dinh!$F$40))))</f>
        <v/>
      </c>
      <c r="F37" s="25">
        <f>IF(32=0,0,IF(32&lt;=3,Gia_dinh!$F$35,IF(32&lt;=6,Gia_dinh!$F$37,IF(32&lt;=9,Gia_dinh!$F$39,Gia_dinh!$F$41))))</f>
        <v/>
      </c>
      <c r="G37" s="25">
        <f>E37*F37</f>
        <v/>
      </c>
      <c r="H37" s="25">
        <f>G37*(1-Gia_dinh!$F$26)</f>
        <v/>
      </c>
      <c r="I37" s="25">
        <f>H37*Gia_dinh!$F$27</f>
        <v/>
      </c>
      <c r="J37" s="25">
        <f>IF(32&gt;=Gia_dinh!$F$29,Gia_dinh!$F$28*F37,0)</f>
        <v/>
      </c>
      <c r="K37" s="25">
        <f>H37*Gia_dinh!$F$30</f>
        <v/>
      </c>
      <c r="L37" s="25">
        <f>SUM(I37:K37)</f>
        <v/>
      </c>
      <c r="M37" s="25">
        <f>L37*Gia_dinh!$F$46</f>
        <v/>
      </c>
      <c r="N37" s="25">
        <f>IF(32=0,0,IF(32&lt;=3,Gia_dinh!$F$44,Gia_dinh!$F$45))</f>
        <v/>
      </c>
      <c r="O37" s="25">
        <f>IF(32=0,0,Gia_dinh!$F$47)</f>
        <v/>
      </c>
      <c r="P37" s="25">
        <f>IF(32=0,0,Gia_dinh!$F$48)</f>
        <v/>
      </c>
      <c r="Q37" s="25">
        <f>H37*IF(32=0,0,IF(32&lt;=3,Gia_dinh!$F$49,IF(32&lt;=6,Gia_dinh!$F$50,IF(32&lt;=9,Gia_dinh!$F$51,Gia_dinh!$F$52))))</f>
        <v/>
      </c>
      <c r="R37" s="25">
        <f>IF(32=0,0,Gia_dinh!$F$53)</f>
        <v/>
      </c>
      <c r="S37" s="25">
        <f>IF(32=0,Gia_dinh!$F$33,0)</f>
        <v/>
      </c>
      <c r="T37" s="25">
        <f>SUM(M37:S37)</f>
        <v/>
      </c>
      <c r="U37" s="25">
        <f>L37-T37</f>
        <v/>
      </c>
      <c r="V37" s="25">
        <f>V36+U37</f>
        <v/>
      </c>
    </row>
    <row r="38">
      <c r="B38" t="n">
        <v>33</v>
      </c>
      <c r="C38" t="inlineStr">
        <is>
          <t>Ổn định</t>
        </is>
      </c>
      <c r="D38" s="12">
        <f>IF(33&gt;Gia_dinh!$F$18,1-Gia_dinh!$F$19,1)*IF(33&gt;Gia_dinh!$F$20,1-Gia_dinh!$F$21,1)*(1-Gia_dinh!$F$107)^MAX(0,33-9)</f>
        <v/>
      </c>
      <c r="E38" s="25">
        <f>IF(33=0,0,IF(33&lt;=3,Gia_dinh!$F$34,IF(33&lt;=6,Gia_dinh!$F$36,IF(33&lt;=9,Gia_dinh!$F$38,Gia_dinh!$F$40))))</f>
        <v/>
      </c>
      <c r="F38" s="25">
        <f>IF(33=0,0,IF(33&lt;=3,Gia_dinh!$F$35,IF(33&lt;=6,Gia_dinh!$F$37,IF(33&lt;=9,Gia_dinh!$F$39,Gia_dinh!$F$41))))</f>
        <v/>
      </c>
      <c r="G38" s="25">
        <f>E38*F38</f>
        <v/>
      </c>
      <c r="H38" s="25">
        <f>G38*(1-Gia_dinh!$F$26)</f>
        <v/>
      </c>
      <c r="I38" s="25">
        <f>H38*Gia_dinh!$F$27</f>
        <v/>
      </c>
      <c r="J38" s="25">
        <f>IF(33&gt;=Gia_dinh!$F$29,Gia_dinh!$F$28*F38,0)</f>
        <v/>
      </c>
      <c r="K38" s="25">
        <f>H38*Gia_dinh!$F$30</f>
        <v/>
      </c>
      <c r="L38" s="25">
        <f>SUM(I38:K38)</f>
        <v/>
      </c>
      <c r="M38" s="25">
        <f>L38*Gia_dinh!$F$46</f>
        <v/>
      </c>
      <c r="N38" s="25">
        <f>IF(33=0,0,IF(33&lt;=3,Gia_dinh!$F$44,Gia_dinh!$F$45))</f>
        <v/>
      </c>
      <c r="O38" s="25">
        <f>IF(33=0,0,Gia_dinh!$F$47)</f>
        <v/>
      </c>
      <c r="P38" s="25">
        <f>IF(33=0,0,Gia_dinh!$F$48)</f>
        <v/>
      </c>
      <c r="Q38" s="25">
        <f>H38*IF(33=0,0,IF(33&lt;=3,Gia_dinh!$F$49,IF(33&lt;=6,Gia_dinh!$F$50,IF(33&lt;=9,Gia_dinh!$F$51,Gia_dinh!$F$52))))</f>
        <v/>
      </c>
      <c r="R38" s="25">
        <f>IF(33=0,0,Gia_dinh!$F$53)</f>
        <v/>
      </c>
      <c r="S38" s="25">
        <f>IF(33=0,Gia_dinh!$F$33,0)</f>
        <v/>
      </c>
      <c r="T38" s="25">
        <f>SUM(M38:S38)</f>
        <v/>
      </c>
      <c r="U38" s="25">
        <f>L38-T38</f>
        <v/>
      </c>
      <c r="V38" s="25">
        <f>V37+U38</f>
        <v/>
      </c>
    </row>
    <row r="39">
      <c r="B39" t="n">
        <v>34</v>
      </c>
      <c r="C39" t="inlineStr">
        <is>
          <t>Ổn định</t>
        </is>
      </c>
      <c r="D39" s="12">
        <f>IF(34&gt;Gia_dinh!$F$18,1-Gia_dinh!$F$19,1)*IF(34&gt;Gia_dinh!$F$20,1-Gia_dinh!$F$21,1)*(1-Gia_dinh!$F$107)^MAX(0,34-9)</f>
        <v/>
      </c>
      <c r="E39" s="25">
        <f>IF(34=0,0,IF(34&lt;=3,Gia_dinh!$F$34,IF(34&lt;=6,Gia_dinh!$F$36,IF(34&lt;=9,Gia_dinh!$F$38,Gia_dinh!$F$40))))</f>
        <v/>
      </c>
      <c r="F39" s="25">
        <f>IF(34=0,0,IF(34&lt;=3,Gia_dinh!$F$35,IF(34&lt;=6,Gia_dinh!$F$37,IF(34&lt;=9,Gia_dinh!$F$39,Gia_dinh!$F$41))))</f>
        <v/>
      </c>
      <c r="G39" s="25">
        <f>E39*F39</f>
        <v/>
      </c>
      <c r="H39" s="25">
        <f>G39*(1-Gia_dinh!$F$26)</f>
        <v/>
      </c>
      <c r="I39" s="25">
        <f>H39*Gia_dinh!$F$27</f>
        <v/>
      </c>
      <c r="J39" s="25">
        <f>IF(34&gt;=Gia_dinh!$F$29,Gia_dinh!$F$28*F39,0)</f>
        <v/>
      </c>
      <c r="K39" s="25">
        <f>H39*Gia_dinh!$F$30</f>
        <v/>
      </c>
      <c r="L39" s="25">
        <f>SUM(I39:K39)</f>
        <v/>
      </c>
      <c r="M39" s="25">
        <f>L39*Gia_dinh!$F$46</f>
        <v/>
      </c>
      <c r="N39" s="25">
        <f>IF(34=0,0,IF(34&lt;=3,Gia_dinh!$F$44,Gia_dinh!$F$45))</f>
        <v/>
      </c>
      <c r="O39" s="25">
        <f>IF(34=0,0,Gia_dinh!$F$47)</f>
        <v/>
      </c>
      <c r="P39" s="25">
        <f>IF(34=0,0,Gia_dinh!$F$48)</f>
        <v/>
      </c>
      <c r="Q39" s="25">
        <f>H39*IF(34=0,0,IF(34&lt;=3,Gia_dinh!$F$49,IF(34&lt;=6,Gia_dinh!$F$50,IF(34&lt;=9,Gia_dinh!$F$51,Gia_dinh!$F$52))))</f>
        <v/>
      </c>
      <c r="R39" s="25">
        <f>IF(34=0,0,Gia_dinh!$F$53)</f>
        <v/>
      </c>
      <c r="S39" s="25">
        <f>IF(34=0,Gia_dinh!$F$33,0)</f>
        <v/>
      </c>
      <c r="T39" s="25">
        <f>SUM(M39:S39)</f>
        <v/>
      </c>
      <c r="U39" s="25">
        <f>L39-T39</f>
        <v/>
      </c>
      <c r="V39" s="25">
        <f>V38+U39</f>
        <v/>
      </c>
    </row>
    <row r="40">
      <c r="B40" t="n">
        <v>35</v>
      </c>
      <c r="C40" t="inlineStr">
        <is>
          <t>Ổn định</t>
        </is>
      </c>
      <c r="D40" s="12">
        <f>IF(35&gt;Gia_dinh!$F$18,1-Gia_dinh!$F$19,1)*IF(35&gt;Gia_dinh!$F$20,1-Gia_dinh!$F$21,1)*(1-Gia_dinh!$F$107)^MAX(0,35-9)</f>
        <v/>
      </c>
      <c r="E40" s="25">
        <f>IF(35=0,0,IF(35&lt;=3,Gia_dinh!$F$34,IF(35&lt;=6,Gia_dinh!$F$36,IF(35&lt;=9,Gia_dinh!$F$38,Gia_dinh!$F$40))))</f>
        <v/>
      </c>
      <c r="F40" s="25">
        <f>IF(35=0,0,IF(35&lt;=3,Gia_dinh!$F$35,IF(35&lt;=6,Gia_dinh!$F$37,IF(35&lt;=9,Gia_dinh!$F$39,Gia_dinh!$F$41))))</f>
        <v/>
      </c>
      <c r="G40" s="25">
        <f>E40*F40</f>
        <v/>
      </c>
      <c r="H40" s="25">
        <f>G40*(1-Gia_dinh!$F$26)</f>
        <v/>
      </c>
      <c r="I40" s="25">
        <f>H40*Gia_dinh!$F$27</f>
        <v/>
      </c>
      <c r="J40" s="25">
        <f>IF(35&gt;=Gia_dinh!$F$29,Gia_dinh!$F$28*F40,0)</f>
        <v/>
      </c>
      <c r="K40" s="25">
        <f>H40*Gia_dinh!$F$30</f>
        <v/>
      </c>
      <c r="L40" s="25">
        <f>SUM(I40:K40)</f>
        <v/>
      </c>
      <c r="M40" s="25">
        <f>L40*Gia_dinh!$F$46</f>
        <v/>
      </c>
      <c r="N40" s="25">
        <f>IF(35=0,0,IF(35&lt;=3,Gia_dinh!$F$44,Gia_dinh!$F$45))</f>
        <v/>
      </c>
      <c r="O40" s="25">
        <f>IF(35=0,0,Gia_dinh!$F$47)</f>
        <v/>
      </c>
      <c r="P40" s="25">
        <f>IF(35=0,0,Gia_dinh!$F$48)</f>
        <v/>
      </c>
      <c r="Q40" s="25">
        <f>H40*IF(35=0,0,IF(35&lt;=3,Gia_dinh!$F$49,IF(35&lt;=6,Gia_dinh!$F$50,IF(35&lt;=9,Gia_dinh!$F$51,Gia_dinh!$F$52))))</f>
        <v/>
      </c>
      <c r="R40" s="25">
        <f>IF(35=0,0,Gia_dinh!$F$53)</f>
        <v/>
      </c>
      <c r="S40" s="25">
        <f>IF(35=0,Gia_dinh!$F$33,0)</f>
        <v/>
      </c>
      <c r="T40" s="25">
        <f>SUM(M40:S40)</f>
        <v/>
      </c>
      <c r="U40" s="25">
        <f>L40-T40</f>
        <v/>
      </c>
      <c r="V40" s="25">
        <f>V39+U40</f>
        <v/>
      </c>
    </row>
    <row r="41">
      <c r="B41" t="n">
        <v>36</v>
      </c>
      <c r="C41" t="inlineStr">
        <is>
          <t>Ổn định</t>
        </is>
      </c>
      <c r="D41" s="12">
        <f>IF(36&gt;Gia_dinh!$F$18,1-Gia_dinh!$F$19,1)*IF(36&gt;Gia_dinh!$F$20,1-Gia_dinh!$F$21,1)*(1-Gia_dinh!$F$107)^MAX(0,36-9)</f>
        <v/>
      </c>
      <c r="E41" s="25">
        <f>IF(36=0,0,IF(36&lt;=3,Gia_dinh!$F$34,IF(36&lt;=6,Gia_dinh!$F$36,IF(36&lt;=9,Gia_dinh!$F$38,Gia_dinh!$F$40))))</f>
        <v/>
      </c>
      <c r="F41" s="25">
        <f>IF(36=0,0,IF(36&lt;=3,Gia_dinh!$F$35,IF(36&lt;=6,Gia_dinh!$F$37,IF(36&lt;=9,Gia_dinh!$F$39,Gia_dinh!$F$41))))</f>
        <v/>
      </c>
      <c r="G41" s="25">
        <f>E41*F41</f>
        <v/>
      </c>
      <c r="H41" s="25">
        <f>G41*(1-Gia_dinh!$F$26)</f>
        <v/>
      </c>
      <c r="I41" s="25">
        <f>H41*Gia_dinh!$F$27</f>
        <v/>
      </c>
      <c r="J41" s="25">
        <f>IF(36&gt;=Gia_dinh!$F$29,Gia_dinh!$F$28*F41,0)</f>
        <v/>
      </c>
      <c r="K41" s="25">
        <f>H41*Gia_dinh!$F$30</f>
        <v/>
      </c>
      <c r="L41" s="25">
        <f>SUM(I41:K41)</f>
        <v/>
      </c>
      <c r="M41" s="25">
        <f>L41*Gia_dinh!$F$46</f>
        <v/>
      </c>
      <c r="N41" s="25">
        <f>IF(36=0,0,IF(36&lt;=3,Gia_dinh!$F$44,Gia_dinh!$F$45))</f>
        <v/>
      </c>
      <c r="O41" s="25">
        <f>IF(36=0,0,Gia_dinh!$F$47)</f>
        <v/>
      </c>
      <c r="P41" s="25">
        <f>IF(36=0,0,Gia_dinh!$F$48)</f>
        <v/>
      </c>
      <c r="Q41" s="25">
        <f>H41*IF(36=0,0,IF(36&lt;=3,Gia_dinh!$F$49,IF(36&lt;=6,Gia_dinh!$F$50,IF(36&lt;=9,Gia_dinh!$F$51,Gia_dinh!$F$52))))</f>
        <v/>
      </c>
      <c r="R41" s="25">
        <f>IF(36=0,0,Gia_dinh!$F$53)</f>
        <v/>
      </c>
      <c r="S41" s="25">
        <f>IF(36=0,Gia_dinh!$F$33,0)</f>
        <v/>
      </c>
      <c r="T41" s="25">
        <f>SUM(M41:S41)</f>
        <v/>
      </c>
      <c r="U41" s="25">
        <f>L41-T41</f>
        <v/>
      </c>
      <c r="V41" s="25">
        <f>V40+U41</f>
        <v/>
      </c>
    </row>
    <row r="43">
      <c r="B43" s="7" t="inlineStr">
        <is>
          <t>KẾT QUẢ MỘT IP (kịch bản đang chạy)</t>
        </is>
      </c>
    </row>
    <row r="44">
      <c r="B44" t="inlineStr">
        <is>
          <t>Lãi gộp/tháng khi ổn định (tuổi 12)</t>
        </is>
      </c>
      <c r="F44" s="26">
        <f>U17</f>
        <v/>
      </c>
    </row>
    <row r="45">
      <c r="B45" t="inlineStr">
        <is>
          <t>Biên lãi gộp trên doanh thu MCN (ổn định)</t>
        </is>
      </c>
      <c r="F45" s="27">
        <f>U17/L17</f>
        <v/>
      </c>
    </row>
    <row r="46">
      <c r="B46" t="inlineStr">
        <is>
          <t>Biên lãi gộp trên GMV ròng (ổn định)</t>
        </is>
      </c>
      <c r="F46" s="27">
        <f>U17/H17</f>
        <v/>
      </c>
    </row>
    <row r="47">
      <c r="B47" t="inlineStr">
        <is>
          <t>Đỉnh vốn phải bỏ ra cho 1 IP</t>
        </is>
      </c>
      <c r="F47" s="26">
        <f>MIN(V5:V41)</f>
        <v/>
      </c>
    </row>
    <row r="48">
      <c r="B48" t="inlineStr">
        <is>
          <t>Tháng hoà vốn luỹ kế của 1 IP</t>
        </is>
      </c>
      <c r="F48" s="13">
        <f>IF(COUNTIF(V5:V41,"&lt;0")&gt;36,"Không hoà vốn trong 36 tháng",COUNTIF(V5:V41,"&lt;0"))</f>
        <v/>
      </c>
    </row>
    <row r="49">
      <c r="B49" t="inlineStr">
        <is>
          <t>Chi phí chìm của 1 IP bị loại tại cửa sàng lọc 1</t>
        </is>
      </c>
      <c r="F49" s="26">
        <f>-(V5+SUMPRODUCT((B5:B41&gt;=1)*(B5:B41&lt;=Gia_dinh!$F$18)*U5:U41))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7" t="inlineStr">
        <is>
          <t>UNIT ECONOMICS — MỘT IP AI THEO TUỔI (triệu VND)</t>
        </is>
      </c>
    </row>
    <row r="2">
      <c r="A2" t="inlineStr">
        <is>
          <t>Tuổi 0 = tháng dựng nhân vật. Bán được từ tuổi &gt; số tháng ramp.</t>
        </is>
      </c>
    </row>
    <row r="4">
      <c r="B4" s="9" t="inlineStr">
        <is>
          <t>Tuổi (tháng)</t>
        </is>
      </c>
      <c r="C4" s="9" t="inlineStr">
        <is>
          <t>Giai đoạn</t>
        </is>
      </c>
      <c r="D4" s="9" t="inlineStr">
        <is>
          <t>Tỷ lệ sống sót</t>
        </is>
      </c>
      <c r="E4" s="9" t="inlineStr">
        <is>
          <t>GMV/giờ</t>
        </is>
      </c>
      <c r="F4" s="9" t="inlineStr">
        <is>
          <t>Số giờ/tháng</t>
        </is>
      </c>
      <c r="G4" s="9" t="inlineStr">
        <is>
          <t>GMV gộp</t>
        </is>
      </c>
      <c r="H4" s="9" t="inlineStr">
        <is>
          <t>GMV ròng</t>
        </is>
      </c>
      <c r="I4" s="9" t="inlineStr">
        <is>
          <t>DOANH THU MCN</t>
        </is>
      </c>
      <c r="J4" s="9" t="inlineStr">
        <is>
          <t>License &amp; compute</t>
        </is>
      </c>
      <c r="K4" s="9" t="inlineStr">
        <is>
          <t>Vận hành &amp; trực chat</t>
        </is>
      </c>
      <c r="L4" s="9" t="inlineStr">
        <is>
          <t>Quảng cáo kéo view</t>
        </is>
      </c>
      <c r="M4" s="9" t="inlineStr">
        <is>
          <t>Chi phí khác</t>
        </is>
      </c>
      <c r="N4" s="9" t="inlineStr">
        <is>
          <t>Chi phí dựng IP AI</t>
        </is>
      </c>
      <c r="O4" s="9" t="inlineStr">
        <is>
          <t>TỔNG CHI PHÍ TRỰC TIẾP</t>
        </is>
      </c>
      <c r="P4" s="9" t="inlineStr">
        <is>
          <t>LÃI GỘP</t>
        </is>
      </c>
      <c r="Q4" s="9" t="inlineStr">
        <is>
          <t>Lãi gộp luỹ kế / IP</t>
        </is>
      </c>
    </row>
    <row r="5">
      <c r="B5" t="n">
        <v>0</v>
      </c>
      <c r="C5">
        <f>IF(0=0,"Dựng IP AI",IF(0&lt;=Gia_dinh!$F$57,"Ramp","Bán hàng"))</f>
        <v/>
      </c>
      <c r="D5" s="12" t="n">
        <v>1</v>
      </c>
      <c r="E5" s="25">
        <f>IF(0&lt;=Gia_dinh!$F$57,0,Gia_dinh!$F$58)</f>
        <v/>
      </c>
      <c r="F5" s="25">
        <f>IF(0&lt;=Gia_dinh!$F$57,0,Gia_dinh!$F$59*Gia_dinh!$F$60)</f>
        <v/>
      </c>
      <c r="G5" s="25">
        <f>E5*F5</f>
        <v/>
      </c>
      <c r="H5" s="25">
        <f>G5*(1-Gia_dinh!$F$61)</f>
        <v/>
      </c>
      <c r="I5" s="25">
        <f>H5*Gia_dinh!$F$62</f>
        <v/>
      </c>
      <c r="J5" s="25">
        <f>IF(0=0,0,Gia_dinh!$F$63)</f>
        <v/>
      </c>
      <c r="K5" s="25">
        <f>IF(0=0,0,Gia_dinh!$F$64)</f>
        <v/>
      </c>
      <c r="L5" s="25">
        <f>H5*Gia_dinh!$F$65</f>
        <v/>
      </c>
      <c r="M5" s="25">
        <f>IF(0=0,0,Gia_dinh!$F$66)</f>
        <v/>
      </c>
      <c r="N5" s="25">
        <f>IF(0=0,Gia_dinh!$F$56,0)</f>
        <v/>
      </c>
      <c r="O5" s="25">
        <f>SUM(J5:N5)</f>
        <v/>
      </c>
      <c r="P5" s="25">
        <f>I5-O5</f>
        <v/>
      </c>
      <c r="Q5" s="25">
        <f>P5</f>
        <v/>
      </c>
    </row>
    <row r="6">
      <c r="B6" t="n">
        <v>1</v>
      </c>
      <c r="C6">
        <f>IF(1=0,"Dựng IP AI",IF(1&lt;=Gia_dinh!$F$57,"Ramp","Bán hàng"))</f>
        <v/>
      </c>
      <c r="D6" s="12">
        <f>(1-Gia_dinh!$F$108)^MAX(0,1-Gia_dinh!$F$57-1)</f>
        <v/>
      </c>
      <c r="E6" s="25">
        <f>IF(1&lt;=Gia_dinh!$F$57,0,Gia_dinh!$F$58)</f>
        <v/>
      </c>
      <c r="F6" s="25">
        <f>IF(1&lt;=Gia_dinh!$F$57,0,Gia_dinh!$F$59*Gia_dinh!$F$60)</f>
        <v/>
      </c>
      <c r="G6" s="25">
        <f>E6*F6</f>
        <v/>
      </c>
      <c r="H6" s="25">
        <f>G6*(1-Gia_dinh!$F$61)</f>
        <v/>
      </c>
      <c r="I6" s="25">
        <f>H6*Gia_dinh!$F$62</f>
        <v/>
      </c>
      <c r="J6" s="25">
        <f>IF(1=0,0,Gia_dinh!$F$63)</f>
        <v/>
      </c>
      <c r="K6" s="25">
        <f>IF(1=0,0,Gia_dinh!$F$64)</f>
        <v/>
      </c>
      <c r="L6" s="25">
        <f>H6*Gia_dinh!$F$65</f>
        <v/>
      </c>
      <c r="M6" s="25">
        <f>IF(1=0,0,Gia_dinh!$F$66)</f>
        <v/>
      </c>
      <c r="N6" s="25">
        <f>IF(1=0,Gia_dinh!$F$56,0)</f>
        <v/>
      </c>
      <c r="O6" s="25">
        <f>SUM(J6:N6)</f>
        <v/>
      </c>
      <c r="P6" s="25">
        <f>I6-O6</f>
        <v/>
      </c>
      <c r="Q6" s="25">
        <f>Q5+P6</f>
        <v/>
      </c>
    </row>
    <row r="7">
      <c r="B7" t="n">
        <v>2</v>
      </c>
      <c r="C7">
        <f>IF(2=0,"Dựng IP AI",IF(2&lt;=Gia_dinh!$F$57,"Ramp","Bán hàng"))</f>
        <v/>
      </c>
      <c r="D7" s="12">
        <f>(1-Gia_dinh!$F$108)^MAX(0,2-Gia_dinh!$F$57-1)</f>
        <v/>
      </c>
      <c r="E7" s="25">
        <f>IF(2&lt;=Gia_dinh!$F$57,0,Gia_dinh!$F$58)</f>
        <v/>
      </c>
      <c r="F7" s="25">
        <f>IF(2&lt;=Gia_dinh!$F$57,0,Gia_dinh!$F$59*Gia_dinh!$F$60)</f>
        <v/>
      </c>
      <c r="G7" s="25">
        <f>E7*F7</f>
        <v/>
      </c>
      <c r="H7" s="25">
        <f>G7*(1-Gia_dinh!$F$61)</f>
        <v/>
      </c>
      <c r="I7" s="25">
        <f>H7*Gia_dinh!$F$62</f>
        <v/>
      </c>
      <c r="J7" s="25">
        <f>IF(2=0,0,Gia_dinh!$F$63)</f>
        <v/>
      </c>
      <c r="K7" s="25">
        <f>IF(2=0,0,Gia_dinh!$F$64)</f>
        <v/>
      </c>
      <c r="L7" s="25">
        <f>H7*Gia_dinh!$F$65</f>
        <v/>
      </c>
      <c r="M7" s="25">
        <f>IF(2=0,0,Gia_dinh!$F$66)</f>
        <v/>
      </c>
      <c r="N7" s="25">
        <f>IF(2=0,Gia_dinh!$F$56,0)</f>
        <v/>
      </c>
      <c r="O7" s="25">
        <f>SUM(J7:N7)</f>
        <v/>
      </c>
      <c r="P7" s="25">
        <f>I7-O7</f>
        <v/>
      </c>
      <c r="Q7" s="25">
        <f>Q6+P7</f>
        <v/>
      </c>
    </row>
    <row r="8">
      <c r="B8" t="n">
        <v>3</v>
      </c>
      <c r="C8">
        <f>IF(3=0,"Dựng IP AI",IF(3&lt;=Gia_dinh!$F$57,"Ramp","Bán hàng"))</f>
        <v/>
      </c>
      <c r="D8" s="12">
        <f>(1-Gia_dinh!$F$108)^MAX(0,3-Gia_dinh!$F$57-1)</f>
        <v/>
      </c>
      <c r="E8" s="25">
        <f>IF(3&lt;=Gia_dinh!$F$57,0,Gia_dinh!$F$58)</f>
        <v/>
      </c>
      <c r="F8" s="25">
        <f>IF(3&lt;=Gia_dinh!$F$57,0,Gia_dinh!$F$59*Gia_dinh!$F$60)</f>
        <v/>
      </c>
      <c r="G8" s="25">
        <f>E8*F8</f>
        <v/>
      </c>
      <c r="H8" s="25">
        <f>G8*(1-Gia_dinh!$F$61)</f>
        <v/>
      </c>
      <c r="I8" s="25">
        <f>H8*Gia_dinh!$F$62</f>
        <v/>
      </c>
      <c r="J8" s="25">
        <f>IF(3=0,0,Gia_dinh!$F$63)</f>
        <v/>
      </c>
      <c r="K8" s="25">
        <f>IF(3=0,0,Gia_dinh!$F$64)</f>
        <v/>
      </c>
      <c r="L8" s="25">
        <f>H8*Gia_dinh!$F$65</f>
        <v/>
      </c>
      <c r="M8" s="25">
        <f>IF(3=0,0,Gia_dinh!$F$66)</f>
        <v/>
      </c>
      <c r="N8" s="25">
        <f>IF(3=0,Gia_dinh!$F$56,0)</f>
        <v/>
      </c>
      <c r="O8" s="25">
        <f>SUM(J8:N8)</f>
        <v/>
      </c>
      <c r="P8" s="25">
        <f>I8-O8</f>
        <v/>
      </c>
      <c r="Q8" s="25">
        <f>Q7+P8</f>
        <v/>
      </c>
    </row>
    <row r="9">
      <c r="B9" t="n">
        <v>4</v>
      </c>
      <c r="C9">
        <f>IF(4=0,"Dựng IP AI",IF(4&lt;=Gia_dinh!$F$57,"Ramp","Bán hàng"))</f>
        <v/>
      </c>
      <c r="D9" s="12">
        <f>(1-Gia_dinh!$F$108)^MAX(0,4-Gia_dinh!$F$57-1)</f>
        <v/>
      </c>
      <c r="E9" s="25">
        <f>IF(4&lt;=Gia_dinh!$F$57,0,Gia_dinh!$F$58)</f>
        <v/>
      </c>
      <c r="F9" s="25">
        <f>IF(4&lt;=Gia_dinh!$F$57,0,Gia_dinh!$F$59*Gia_dinh!$F$60)</f>
        <v/>
      </c>
      <c r="G9" s="25">
        <f>E9*F9</f>
        <v/>
      </c>
      <c r="H9" s="25">
        <f>G9*(1-Gia_dinh!$F$61)</f>
        <v/>
      </c>
      <c r="I9" s="25">
        <f>H9*Gia_dinh!$F$62</f>
        <v/>
      </c>
      <c r="J9" s="25">
        <f>IF(4=0,0,Gia_dinh!$F$63)</f>
        <v/>
      </c>
      <c r="K9" s="25">
        <f>IF(4=0,0,Gia_dinh!$F$64)</f>
        <v/>
      </c>
      <c r="L9" s="25">
        <f>H9*Gia_dinh!$F$65</f>
        <v/>
      </c>
      <c r="M9" s="25">
        <f>IF(4=0,0,Gia_dinh!$F$66)</f>
        <v/>
      </c>
      <c r="N9" s="25">
        <f>IF(4=0,Gia_dinh!$F$56,0)</f>
        <v/>
      </c>
      <c r="O9" s="25">
        <f>SUM(J9:N9)</f>
        <v/>
      </c>
      <c r="P9" s="25">
        <f>I9-O9</f>
        <v/>
      </c>
      <c r="Q9" s="25">
        <f>Q8+P9</f>
        <v/>
      </c>
    </row>
    <row r="10">
      <c r="B10" t="n">
        <v>5</v>
      </c>
      <c r="C10">
        <f>IF(5=0,"Dựng IP AI",IF(5&lt;=Gia_dinh!$F$57,"Ramp","Bán hàng"))</f>
        <v/>
      </c>
      <c r="D10" s="12">
        <f>(1-Gia_dinh!$F$108)^MAX(0,5-Gia_dinh!$F$57-1)</f>
        <v/>
      </c>
      <c r="E10" s="25">
        <f>IF(5&lt;=Gia_dinh!$F$57,0,Gia_dinh!$F$58)</f>
        <v/>
      </c>
      <c r="F10" s="25">
        <f>IF(5&lt;=Gia_dinh!$F$57,0,Gia_dinh!$F$59*Gia_dinh!$F$60)</f>
        <v/>
      </c>
      <c r="G10" s="25">
        <f>E10*F10</f>
        <v/>
      </c>
      <c r="H10" s="25">
        <f>G10*(1-Gia_dinh!$F$61)</f>
        <v/>
      </c>
      <c r="I10" s="25">
        <f>H10*Gia_dinh!$F$62</f>
        <v/>
      </c>
      <c r="J10" s="25">
        <f>IF(5=0,0,Gia_dinh!$F$63)</f>
        <v/>
      </c>
      <c r="K10" s="25">
        <f>IF(5=0,0,Gia_dinh!$F$64)</f>
        <v/>
      </c>
      <c r="L10" s="25">
        <f>H10*Gia_dinh!$F$65</f>
        <v/>
      </c>
      <c r="M10" s="25">
        <f>IF(5=0,0,Gia_dinh!$F$66)</f>
        <v/>
      </c>
      <c r="N10" s="25">
        <f>IF(5=0,Gia_dinh!$F$56,0)</f>
        <v/>
      </c>
      <c r="O10" s="25">
        <f>SUM(J10:N10)</f>
        <v/>
      </c>
      <c r="P10" s="25">
        <f>I10-O10</f>
        <v/>
      </c>
      <c r="Q10" s="25">
        <f>Q9+P10</f>
        <v/>
      </c>
    </row>
    <row r="11">
      <c r="B11" t="n">
        <v>6</v>
      </c>
      <c r="C11">
        <f>IF(6=0,"Dựng IP AI",IF(6&lt;=Gia_dinh!$F$57,"Ramp","Bán hàng"))</f>
        <v/>
      </c>
      <c r="D11" s="12">
        <f>(1-Gia_dinh!$F$108)^MAX(0,6-Gia_dinh!$F$57-1)</f>
        <v/>
      </c>
      <c r="E11" s="25">
        <f>IF(6&lt;=Gia_dinh!$F$57,0,Gia_dinh!$F$58)</f>
        <v/>
      </c>
      <c r="F11" s="25">
        <f>IF(6&lt;=Gia_dinh!$F$57,0,Gia_dinh!$F$59*Gia_dinh!$F$60)</f>
        <v/>
      </c>
      <c r="G11" s="25">
        <f>E11*F11</f>
        <v/>
      </c>
      <c r="H11" s="25">
        <f>G11*(1-Gia_dinh!$F$61)</f>
        <v/>
      </c>
      <c r="I11" s="25">
        <f>H11*Gia_dinh!$F$62</f>
        <v/>
      </c>
      <c r="J11" s="25">
        <f>IF(6=0,0,Gia_dinh!$F$63)</f>
        <v/>
      </c>
      <c r="K11" s="25">
        <f>IF(6=0,0,Gia_dinh!$F$64)</f>
        <v/>
      </c>
      <c r="L11" s="25">
        <f>H11*Gia_dinh!$F$65</f>
        <v/>
      </c>
      <c r="M11" s="25">
        <f>IF(6=0,0,Gia_dinh!$F$66)</f>
        <v/>
      </c>
      <c r="N11" s="25">
        <f>IF(6=0,Gia_dinh!$F$56,0)</f>
        <v/>
      </c>
      <c r="O11" s="25">
        <f>SUM(J11:N11)</f>
        <v/>
      </c>
      <c r="P11" s="25">
        <f>I11-O11</f>
        <v/>
      </c>
      <c r="Q11" s="25">
        <f>Q10+P11</f>
        <v/>
      </c>
    </row>
    <row r="12">
      <c r="B12" t="n">
        <v>7</v>
      </c>
      <c r="C12">
        <f>IF(7=0,"Dựng IP AI",IF(7&lt;=Gia_dinh!$F$57,"Ramp","Bán hàng"))</f>
        <v/>
      </c>
      <c r="D12" s="12">
        <f>(1-Gia_dinh!$F$108)^MAX(0,7-Gia_dinh!$F$57-1)</f>
        <v/>
      </c>
      <c r="E12" s="25">
        <f>IF(7&lt;=Gia_dinh!$F$57,0,Gia_dinh!$F$58)</f>
        <v/>
      </c>
      <c r="F12" s="25">
        <f>IF(7&lt;=Gia_dinh!$F$57,0,Gia_dinh!$F$59*Gia_dinh!$F$60)</f>
        <v/>
      </c>
      <c r="G12" s="25">
        <f>E12*F12</f>
        <v/>
      </c>
      <c r="H12" s="25">
        <f>G12*(1-Gia_dinh!$F$61)</f>
        <v/>
      </c>
      <c r="I12" s="25">
        <f>H12*Gia_dinh!$F$62</f>
        <v/>
      </c>
      <c r="J12" s="25">
        <f>IF(7=0,0,Gia_dinh!$F$63)</f>
        <v/>
      </c>
      <c r="K12" s="25">
        <f>IF(7=0,0,Gia_dinh!$F$64)</f>
        <v/>
      </c>
      <c r="L12" s="25">
        <f>H12*Gia_dinh!$F$65</f>
        <v/>
      </c>
      <c r="M12" s="25">
        <f>IF(7=0,0,Gia_dinh!$F$66)</f>
        <v/>
      </c>
      <c r="N12" s="25">
        <f>IF(7=0,Gia_dinh!$F$56,0)</f>
        <v/>
      </c>
      <c r="O12" s="25">
        <f>SUM(J12:N12)</f>
        <v/>
      </c>
      <c r="P12" s="25">
        <f>I12-O12</f>
        <v/>
      </c>
      <c r="Q12" s="25">
        <f>Q11+P12</f>
        <v/>
      </c>
    </row>
    <row r="13">
      <c r="B13" t="n">
        <v>8</v>
      </c>
      <c r="C13">
        <f>IF(8=0,"Dựng IP AI",IF(8&lt;=Gia_dinh!$F$57,"Ramp","Bán hàng"))</f>
        <v/>
      </c>
      <c r="D13" s="12">
        <f>(1-Gia_dinh!$F$108)^MAX(0,8-Gia_dinh!$F$57-1)</f>
        <v/>
      </c>
      <c r="E13" s="25">
        <f>IF(8&lt;=Gia_dinh!$F$57,0,Gia_dinh!$F$58)</f>
        <v/>
      </c>
      <c r="F13" s="25">
        <f>IF(8&lt;=Gia_dinh!$F$57,0,Gia_dinh!$F$59*Gia_dinh!$F$60)</f>
        <v/>
      </c>
      <c r="G13" s="25">
        <f>E13*F13</f>
        <v/>
      </c>
      <c r="H13" s="25">
        <f>G13*(1-Gia_dinh!$F$61)</f>
        <v/>
      </c>
      <c r="I13" s="25">
        <f>H13*Gia_dinh!$F$62</f>
        <v/>
      </c>
      <c r="J13" s="25">
        <f>IF(8=0,0,Gia_dinh!$F$63)</f>
        <v/>
      </c>
      <c r="K13" s="25">
        <f>IF(8=0,0,Gia_dinh!$F$64)</f>
        <v/>
      </c>
      <c r="L13" s="25">
        <f>H13*Gia_dinh!$F$65</f>
        <v/>
      </c>
      <c r="M13" s="25">
        <f>IF(8=0,0,Gia_dinh!$F$66)</f>
        <v/>
      </c>
      <c r="N13" s="25">
        <f>IF(8=0,Gia_dinh!$F$56,0)</f>
        <v/>
      </c>
      <c r="O13" s="25">
        <f>SUM(J13:N13)</f>
        <v/>
      </c>
      <c r="P13" s="25">
        <f>I13-O13</f>
        <v/>
      </c>
      <c r="Q13" s="25">
        <f>Q12+P13</f>
        <v/>
      </c>
    </row>
    <row r="14">
      <c r="B14" t="n">
        <v>9</v>
      </c>
      <c r="C14">
        <f>IF(9=0,"Dựng IP AI",IF(9&lt;=Gia_dinh!$F$57,"Ramp","Bán hàng"))</f>
        <v/>
      </c>
      <c r="D14" s="12">
        <f>(1-Gia_dinh!$F$108)^MAX(0,9-Gia_dinh!$F$57-1)</f>
        <v/>
      </c>
      <c r="E14" s="25">
        <f>IF(9&lt;=Gia_dinh!$F$57,0,Gia_dinh!$F$58)</f>
        <v/>
      </c>
      <c r="F14" s="25">
        <f>IF(9&lt;=Gia_dinh!$F$57,0,Gia_dinh!$F$59*Gia_dinh!$F$60)</f>
        <v/>
      </c>
      <c r="G14" s="25">
        <f>E14*F14</f>
        <v/>
      </c>
      <c r="H14" s="25">
        <f>G14*(1-Gia_dinh!$F$61)</f>
        <v/>
      </c>
      <c r="I14" s="25">
        <f>H14*Gia_dinh!$F$62</f>
        <v/>
      </c>
      <c r="J14" s="25">
        <f>IF(9=0,0,Gia_dinh!$F$63)</f>
        <v/>
      </c>
      <c r="K14" s="25">
        <f>IF(9=0,0,Gia_dinh!$F$64)</f>
        <v/>
      </c>
      <c r="L14" s="25">
        <f>H14*Gia_dinh!$F$65</f>
        <v/>
      </c>
      <c r="M14" s="25">
        <f>IF(9=0,0,Gia_dinh!$F$66)</f>
        <v/>
      </c>
      <c r="N14" s="25">
        <f>IF(9=0,Gia_dinh!$F$56,0)</f>
        <v/>
      </c>
      <c r="O14" s="25">
        <f>SUM(J14:N14)</f>
        <v/>
      </c>
      <c r="P14" s="25">
        <f>I14-O14</f>
        <v/>
      </c>
      <c r="Q14" s="25">
        <f>Q13+P14</f>
        <v/>
      </c>
    </row>
    <row r="15">
      <c r="B15" t="n">
        <v>10</v>
      </c>
      <c r="C15">
        <f>IF(10=0,"Dựng IP AI",IF(10&lt;=Gia_dinh!$F$57,"Ramp","Bán hàng"))</f>
        <v/>
      </c>
      <c r="D15" s="12">
        <f>(1-Gia_dinh!$F$108)^MAX(0,10-Gia_dinh!$F$57-1)</f>
        <v/>
      </c>
      <c r="E15" s="25">
        <f>IF(10&lt;=Gia_dinh!$F$57,0,Gia_dinh!$F$58)</f>
        <v/>
      </c>
      <c r="F15" s="25">
        <f>IF(10&lt;=Gia_dinh!$F$57,0,Gia_dinh!$F$59*Gia_dinh!$F$60)</f>
        <v/>
      </c>
      <c r="G15" s="25">
        <f>E15*F15</f>
        <v/>
      </c>
      <c r="H15" s="25">
        <f>G15*(1-Gia_dinh!$F$61)</f>
        <v/>
      </c>
      <c r="I15" s="25">
        <f>H15*Gia_dinh!$F$62</f>
        <v/>
      </c>
      <c r="J15" s="25">
        <f>IF(10=0,0,Gia_dinh!$F$63)</f>
        <v/>
      </c>
      <c r="K15" s="25">
        <f>IF(10=0,0,Gia_dinh!$F$64)</f>
        <v/>
      </c>
      <c r="L15" s="25">
        <f>H15*Gia_dinh!$F$65</f>
        <v/>
      </c>
      <c r="M15" s="25">
        <f>IF(10=0,0,Gia_dinh!$F$66)</f>
        <v/>
      </c>
      <c r="N15" s="25">
        <f>IF(10=0,Gia_dinh!$F$56,0)</f>
        <v/>
      </c>
      <c r="O15" s="25">
        <f>SUM(J15:N15)</f>
        <v/>
      </c>
      <c r="P15" s="25">
        <f>I15-O15</f>
        <v/>
      </c>
      <c r="Q15" s="25">
        <f>Q14+P15</f>
        <v/>
      </c>
    </row>
    <row r="16">
      <c r="B16" t="n">
        <v>11</v>
      </c>
      <c r="C16">
        <f>IF(11=0,"Dựng IP AI",IF(11&lt;=Gia_dinh!$F$57,"Ramp","Bán hàng"))</f>
        <v/>
      </c>
      <c r="D16" s="12">
        <f>(1-Gia_dinh!$F$108)^MAX(0,11-Gia_dinh!$F$57-1)</f>
        <v/>
      </c>
      <c r="E16" s="25">
        <f>IF(11&lt;=Gia_dinh!$F$57,0,Gia_dinh!$F$58)</f>
        <v/>
      </c>
      <c r="F16" s="25">
        <f>IF(11&lt;=Gia_dinh!$F$57,0,Gia_dinh!$F$59*Gia_dinh!$F$60)</f>
        <v/>
      </c>
      <c r="G16" s="25">
        <f>E16*F16</f>
        <v/>
      </c>
      <c r="H16" s="25">
        <f>G16*(1-Gia_dinh!$F$61)</f>
        <v/>
      </c>
      <c r="I16" s="25">
        <f>H16*Gia_dinh!$F$62</f>
        <v/>
      </c>
      <c r="J16" s="25">
        <f>IF(11=0,0,Gia_dinh!$F$63)</f>
        <v/>
      </c>
      <c r="K16" s="25">
        <f>IF(11=0,0,Gia_dinh!$F$64)</f>
        <v/>
      </c>
      <c r="L16" s="25">
        <f>H16*Gia_dinh!$F$65</f>
        <v/>
      </c>
      <c r="M16" s="25">
        <f>IF(11=0,0,Gia_dinh!$F$66)</f>
        <v/>
      </c>
      <c r="N16" s="25">
        <f>IF(11=0,Gia_dinh!$F$56,0)</f>
        <v/>
      </c>
      <c r="O16" s="25">
        <f>SUM(J16:N16)</f>
        <v/>
      </c>
      <c r="P16" s="25">
        <f>I16-O16</f>
        <v/>
      </c>
      <c r="Q16" s="25">
        <f>Q15+P16</f>
        <v/>
      </c>
    </row>
    <row r="17">
      <c r="B17" t="n">
        <v>12</v>
      </c>
      <c r="C17">
        <f>IF(12=0,"Dựng IP AI",IF(12&lt;=Gia_dinh!$F$57,"Ramp","Bán hàng"))</f>
        <v/>
      </c>
      <c r="D17" s="12">
        <f>(1-Gia_dinh!$F$108)^MAX(0,12-Gia_dinh!$F$57-1)</f>
        <v/>
      </c>
      <c r="E17" s="25">
        <f>IF(12&lt;=Gia_dinh!$F$57,0,Gia_dinh!$F$58)</f>
        <v/>
      </c>
      <c r="F17" s="25">
        <f>IF(12&lt;=Gia_dinh!$F$57,0,Gia_dinh!$F$59*Gia_dinh!$F$60)</f>
        <v/>
      </c>
      <c r="G17" s="25">
        <f>E17*F17</f>
        <v/>
      </c>
      <c r="H17" s="25">
        <f>G17*(1-Gia_dinh!$F$61)</f>
        <v/>
      </c>
      <c r="I17" s="25">
        <f>H17*Gia_dinh!$F$62</f>
        <v/>
      </c>
      <c r="J17" s="25">
        <f>IF(12=0,0,Gia_dinh!$F$63)</f>
        <v/>
      </c>
      <c r="K17" s="25">
        <f>IF(12=0,0,Gia_dinh!$F$64)</f>
        <v/>
      </c>
      <c r="L17" s="25">
        <f>H17*Gia_dinh!$F$65</f>
        <v/>
      </c>
      <c r="M17" s="25">
        <f>IF(12=0,0,Gia_dinh!$F$66)</f>
        <v/>
      </c>
      <c r="N17" s="25">
        <f>IF(12=0,Gia_dinh!$F$56,0)</f>
        <v/>
      </c>
      <c r="O17" s="25">
        <f>SUM(J17:N17)</f>
        <v/>
      </c>
      <c r="P17" s="25">
        <f>I17-O17</f>
        <v/>
      </c>
      <c r="Q17" s="25">
        <f>Q16+P17</f>
        <v/>
      </c>
    </row>
    <row r="18">
      <c r="B18" t="n">
        <v>13</v>
      </c>
      <c r="C18">
        <f>IF(13=0,"Dựng IP AI",IF(13&lt;=Gia_dinh!$F$57,"Ramp","Bán hàng"))</f>
        <v/>
      </c>
      <c r="D18" s="12">
        <f>(1-Gia_dinh!$F$108)^MAX(0,13-Gia_dinh!$F$57-1)</f>
        <v/>
      </c>
      <c r="E18" s="25">
        <f>IF(13&lt;=Gia_dinh!$F$57,0,Gia_dinh!$F$58)</f>
        <v/>
      </c>
      <c r="F18" s="25">
        <f>IF(13&lt;=Gia_dinh!$F$57,0,Gia_dinh!$F$59*Gia_dinh!$F$60)</f>
        <v/>
      </c>
      <c r="G18" s="25">
        <f>E18*F18</f>
        <v/>
      </c>
      <c r="H18" s="25">
        <f>G18*(1-Gia_dinh!$F$61)</f>
        <v/>
      </c>
      <c r="I18" s="25">
        <f>H18*Gia_dinh!$F$62</f>
        <v/>
      </c>
      <c r="J18" s="25">
        <f>IF(13=0,0,Gia_dinh!$F$63)</f>
        <v/>
      </c>
      <c r="K18" s="25">
        <f>IF(13=0,0,Gia_dinh!$F$64)</f>
        <v/>
      </c>
      <c r="L18" s="25">
        <f>H18*Gia_dinh!$F$65</f>
        <v/>
      </c>
      <c r="M18" s="25">
        <f>IF(13=0,0,Gia_dinh!$F$66)</f>
        <v/>
      </c>
      <c r="N18" s="25">
        <f>IF(13=0,Gia_dinh!$F$56,0)</f>
        <v/>
      </c>
      <c r="O18" s="25">
        <f>SUM(J18:N18)</f>
        <v/>
      </c>
      <c r="P18" s="25">
        <f>I18-O18</f>
        <v/>
      </c>
      <c r="Q18" s="25">
        <f>Q17+P18</f>
        <v/>
      </c>
    </row>
    <row r="19">
      <c r="B19" t="n">
        <v>14</v>
      </c>
      <c r="C19">
        <f>IF(14=0,"Dựng IP AI",IF(14&lt;=Gia_dinh!$F$57,"Ramp","Bán hàng"))</f>
        <v/>
      </c>
      <c r="D19" s="12">
        <f>(1-Gia_dinh!$F$108)^MAX(0,14-Gia_dinh!$F$57-1)</f>
        <v/>
      </c>
      <c r="E19" s="25">
        <f>IF(14&lt;=Gia_dinh!$F$57,0,Gia_dinh!$F$58)</f>
        <v/>
      </c>
      <c r="F19" s="25">
        <f>IF(14&lt;=Gia_dinh!$F$57,0,Gia_dinh!$F$59*Gia_dinh!$F$60)</f>
        <v/>
      </c>
      <c r="G19" s="25">
        <f>E19*F19</f>
        <v/>
      </c>
      <c r="H19" s="25">
        <f>G19*(1-Gia_dinh!$F$61)</f>
        <v/>
      </c>
      <c r="I19" s="25">
        <f>H19*Gia_dinh!$F$62</f>
        <v/>
      </c>
      <c r="J19" s="25">
        <f>IF(14=0,0,Gia_dinh!$F$63)</f>
        <v/>
      </c>
      <c r="K19" s="25">
        <f>IF(14=0,0,Gia_dinh!$F$64)</f>
        <v/>
      </c>
      <c r="L19" s="25">
        <f>H19*Gia_dinh!$F$65</f>
        <v/>
      </c>
      <c r="M19" s="25">
        <f>IF(14=0,0,Gia_dinh!$F$66)</f>
        <v/>
      </c>
      <c r="N19" s="25">
        <f>IF(14=0,Gia_dinh!$F$56,0)</f>
        <v/>
      </c>
      <c r="O19" s="25">
        <f>SUM(J19:N19)</f>
        <v/>
      </c>
      <c r="P19" s="25">
        <f>I19-O19</f>
        <v/>
      </c>
      <c r="Q19" s="25">
        <f>Q18+P19</f>
        <v/>
      </c>
    </row>
    <row r="20">
      <c r="B20" t="n">
        <v>15</v>
      </c>
      <c r="C20">
        <f>IF(15=0,"Dựng IP AI",IF(15&lt;=Gia_dinh!$F$57,"Ramp","Bán hàng"))</f>
        <v/>
      </c>
      <c r="D20" s="12">
        <f>(1-Gia_dinh!$F$108)^MAX(0,15-Gia_dinh!$F$57-1)</f>
        <v/>
      </c>
      <c r="E20" s="25">
        <f>IF(15&lt;=Gia_dinh!$F$57,0,Gia_dinh!$F$58)</f>
        <v/>
      </c>
      <c r="F20" s="25">
        <f>IF(15&lt;=Gia_dinh!$F$57,0,Gia_dinh!$F$59*Gia_dinh!$F$60)</f>
        <v/>
      </c>
      <c r="G20" s="25">
        <f>E20*F20</f>
        <v/>
      </c>
      <c r="H20" s="25">
        <f>G20*(1-Gia_dinh!$F$61)</f>
        <v/>
      </c>
      <c r="I20" s="25">
        <f>H20*Gia_dinh!$F$62</f>
        <v/>
      </c>
      <c r="J20" s="25">
        <f>IF(15=0,0,Gia_dinh!$F$63)</f>
        <v/>
      </c>
      <c r="K20" s="25">
        <f>IF(15=0,0,Gia_dinh!$F$64)</f>
        <v/>
      </c>
      <c r="L20" s="25">
        <f>H20*Gia_dinh!$F$65</f>
        <v/>
      </c>
      <c r="M20" s="25">
        <f>IF(15=0,0,Gia_dinh!$F$66)</f>
        <v/>
      </c>
      <c r="N20" s="25">
        <f>IF(15=0,Gia_dinh!$F$56,0)</f>
        <v/>
      </c>
      <c r="O20" s="25">
        <f>SUM(J20:N20)</f>
        <v/>
      </c>
      <c r="P20" s="25">
        <f>I20-O20</f>
        <v/>
      </c>
      <c r="Q20" s="25">
        <f>Q19+P20</f>
        <v/>
      </c>
    </row>
    <row r="21">
      <c r="B21" t="n">
        <v>16</v>
      </c>
      <c r="C21">
        <f>IF(16=0,"Dựng IP AI",IF(16&lt;=Gia_dinh!$F$57,"Ramp","Bán hàng"))</f>
        <v/>
      </c>
      <c r="D21" s="12">
        <f>(1-Gia_dinh!$F$108)^MAX(0,16-Gia_dinh!$F$57-1)</f>
        <v/>
      </c>
      <c r="E21" s="25">
        <f>IF(16&lt;=Gia_dinh!$F$57,0,Gia_dinh!$F$58)</f>
        <v/>
      </c>
      <c r="F21" s="25">
        <f>IF(16&lt;=Gia_dinh!$F$57,0,Gia_dinh!$F$59*Gia_dinh!$F$60)</f>
        <v/>
      </c>
      <c r="G21" s="25">
        <f>E21*F21</f>
        <v/>
      </c>
      <c r="H21" s="25">
        <f>G21*(1-Gia_dinh!$F$61)</f>
        <v/>
      </c>
      <c r="I21" s="25">
        <f>H21*Gia_dinh!$F$62</f>
        <v/>
      </c>
      <c r="J21" s="25">
        <f>IF(16=0,0,Gia_dinh!$F$63)</f>
        <v/>
      </c>
      <c r="K21" s="25">
        <f>IF(16=0,0,Gia_dinh!$F$64)</f>
        <v/>
      </c>
      <c r="L21" s="25">
        <f>H21*Gia_dinh!$F$65</f>
        <v/>
      </c>
      <c r="M21" s="25">
        <f>IF(16=0,0,Gia_dinh!$F$66)</f>
        <v/>
      </c>
      <c r="N21" s="25">
        <f>IF(16=0,Gia_dinh!$F$56,0)</f>
        <v/>
      </c>
      <c r="O21" s="25">
        <f>SUM(J21:N21)</f>
        <v/>
      </c>
      <c r="P21" s="25">
        <f>I21-O21</f>
        <v/>
      </c>
      <c r="Q21" s="25">
        <f>Q20+P21</f>
        <v/>
      </c>
    </row>
    <row r="22">
      <c r="B22" t="n">
        <v>17</v>
      </c>
      <c r="C22">
        <f>IF(17=0,"Dựng IP AI",IF(17&lt;=Gia_dinh!$F$57,"Ramp","Bán hàng"))</f>
        <v/>
      </c>
      <c r="D22" s="12">
        <f>(1-Gia_dinh!$F$108)^MAX(0,17-Gia_dinh!$F$57-1)</f>
        <v/>
      </c>
      <c r="E22" s="25">
        <f>IF(17&lt;=Gia_dinh!$F$57,0,Gia_dinh!$F$58)</f>
        <v/>
      </c>
      <c r="F22" s="25">
        <f>IF(17&lt;=Gia_dinh!$F$57,0,Gia_dinh!$F$59*Gia_dinh!$F$60)</f>
        <v/>
      </c>
      <c r="G22" s="25">
        <f>E22*F22</f>
        <v/>
      </c>
      <c r="H22" s="25">
        <f>G22*(1-Gia_dinh!$F$61)</f>
        <v/>
      </c>
      <c r="I22" s="25">
        <f>H22*Gia_dinh!$F$62</f>
        <v/>
      </c>
      <c r="J22" s="25">
        <f>IF(17=0,0,Gia_dinh!$F$63)</f>
        <v/>
      </c>
      <c r="K22" s="25">
        <f>IF(17=0,0,Gia_dinh!$F$64)</f>
        <v/>
      </c>
      <c r="L22" s="25">
        <f>H22*Gia_dinh!$F$65</f>
        <v/>
      </c>
      <c r="M22" s="25">
        <f>IF(17=0,0,Gia_dinh!$F$66)</f>
        <v/>
      </c>
      <c r="N22" s="25">
        <f>IF(17=0,Gia_dinh!$F$56,0)</f>
        <v/>
      </c>
      <c r="O22" s="25">
        <f>SUM(J22:N22)</f>
        <v/>
      </c>
      <c r="P22" s="25">
        <f>I22-O22</f>
        <v/>
      </c>
      <c r="Q22" s="25">
        <f>Q21+P22</f>
        <v/>
      </c>
    </row>
    <row r="23">
      <c r="B23" t="n">
        <v>18</v>
      </c>
      <c r="C23">
        <f>IF(18=0,"Dựng IP AI",IF(18&lt;=Gia_dinh!$F$57,"Ramp","Bán hàng"))</f>
        <v/>
      </c>
      <c r="D23" s="12">
        <f>(1-Gia_dinh!$F$108)^MAX(0,18-Gia_dinh!$F$57-1)</f>
        <v/>
      </c>
      <c r="E23" s="25">
        <f>IF(18&lt;=Gia_dinh!$F$57,0,Gia_dinh!$F$58)</f>
        <v/>
      </c>
      <c r="F23" s="25">
        <f>IF(18&lt;=Gia_dinh!$F$57,0,Gia_dinh!$F$59*Gia_dinh!$F$60)</f>
        <v/>
      </c>
      <c r="G23" s="25">
        <f>E23*F23</f>
        <v/>
      </c>
      <c r="H23" s="25">
        <f>G23*(1-Gia_dinh!$F$61)</f>
        <v/>
      </c>
      <c r="I23" s="25">
        <f>H23*Gia_dinh!$F$62</f>
        <v/>
      </c>
      <c r="J23" s="25">
        <f>IF(18=0,0,Gia_dinh!$F$63)</f>
        <v/>
      </c>
      <c r="K23" s="25">
        <f>IF(18=0,0,Gia_dinh!$F$64)</f>
        <v/>
      </c>
      <c r="L23" s="25">
        <f>H23*Gia_dinh!$F$65</f>
        <v/>
      </c>
      <c r="M23" s="25">
        <f>IF(18=0,0,Gia_dinh!$F$66)</f>
        <v/>
      </c>
      <c r="N23" s="25">
        <f>IF(18=0,Gia_dinh!$F$56,0)</f>
        <v/>
      </c>
      <c r="O23" s="25">
        <f>SUM(J23:N23)</f>
        <v/>
      </c>
      <c r="P23" s="25">
        <f>I23-O23</f>
        <v/>
      </c>
      <c r="Q23" s="25">
        <f>Q22+P23</f>
        <v/>
      </c>
    </row>
    <row r="24">
      <c r="B24" t="n">
        <v>19</v>
      </c>
      <c r="C24">
        <f>IF(19=0,"Dựng IP AI",IF(19&lt;=Gia_dinh!$F$57,"Ramp","Bán hàng"))</f>
        <v/>
      </c>
      <c r="D24" s="12">
        <f>(1-Gia_dinh!$F$108)^MAX(0,19-Gia_dinh!$F$57-1)</f>
        <v/>
      </c>
      <c r="E24" s="25">
        <f>IF(19&lt;=Gia_dinh!$F$57,0,Gia_dinh!$F$58)</f>
        <v/>
      </c>
      <c r="F24" s="25">
        <f>IF(19&lt;=Gia_dinh!$F$57,0,Gia_dinh!$F$59*Gia_dinh!$F$60)</f>
        <v/>
      </c>
      <c r="G24" s="25">
        <f>E24*F24</f>
        <v/>
      </c>
      <c r="H24" s="25">
        <f>G24*(1-Gia_dinh!$F$61)</f>
        <v/>
      </c>
      <c r="I24" s="25">
        <f>H24*Gia_dinh!$F$62</f>
        <v/>
      </c>
      <c r="J24" s="25">
        <f>IF(19=0,0,Gia_dinh!$F$63)</f>
        <v/>
      </c>
      <c r="K24" s="25">
        <f>IF(19=0,0,Gia_dinh!$F$64)</f>
        <v/>
      </c>
      <c r="L24" s="25">
        <f>H24*Gia_dinh!$F$65</f>
        <v/>
      </c>
      <c r="M24" s="25">
        <f>IF(19=0,0,Gia_dinh!$F$66)</f>
        <v/>
      </c>
      <c r="N24" s="25">
        <f>IF(19=0,Gia_dinh!$F$56,0)</f>
        <v/>
      </c>
      <c r="O24" s="25">
        <f>SUM(J24:N24)</f>
        <v/>
      </c>
      <c r="P24" s="25">
        <f>I24-O24</f>
        <v/>
      </c>
      <c r="Q24" s="25">
        <f>Q23+P24</f>
        <v/>
      </c>
    </row>
    <row r="25">
      <c r="B25" t="n">
        <v>20</v>
      </c>
      <c r="C25">
        <f>IF(20=0,"Dựng IP AI",IF(20&lt;=Gia_dinh!$F$57,"Ramp","Bán hàng"))</f>
        <v/>
      </c>
      <c r="D25" s="12">
        <f>(1-Gia_dinh!$F$108)^MAX(0,20-Gia_dinh!$F$57-1)</f>
        <v/>
      </c>
      <c r="E25" s="25">
        <f>IF(20&lt;=Gia_dinh!$F$57,0,Gia_dinh!$F$58)</f>
        <v/>
      </c>
      <c r="F25" s="25">
        <f>IF(20&lt;=Gia_dinh!$F$57,0,Gia_dinh!$F$59*Gia_dinh!$F$60)</f>
        <v/>
      </c>
      <c r="G25" s="25">
        <f>E25*F25</f>
        <v/>
      </c>
      <c r="H25" s="25">
        <f>G25*(1-Gia_dinh!$F$61)</f>
        <v/>
      </c>
      <c r="I25" s="25">
        <f>H25*Gia_dinh!$F$62</f>
        <v/>
      </c>
      <c r="J25" s="25">
        <f>IF(20=0,0,Gia_dinh!$F$63)</f>
        <v/>
      </c>
      <c r="K25" s="25">
        <f>IF(20=0,0,Gia_dinh!$F$64)</f>
        <v/>
      </c>
      <c r="L25" s="25">
        <f>H25*Gia_dinh!$F$65</f>
        <v/>
      </c>
      <c r="M25" s="25">
        <f>IF(20=0,0,Gia_dinh!$F$66)</f>
        <v/>
      </c>
      <c r="N25" s="25">
        <f>IF(20=0,Gia_dinh!$F$56,0)</f>
        <v/>
      </c>
      <c r="O25" s="25">
        <f>SUM(J25:N25)</f>
        <v/>
      </c>
      <c r="P25" s="25">
        <f>I25-O25</f>
        <v/>
      </c>
      <c r="Q25" s="25">
        <f>Q24+P25</f>
        <v/>
      </c>
    </row>
    <row r="26">
      <c r="B26" t="n">
        <v>21</v>
      </c>
      <c r="C26">
        <f>IF(21=0,"Dựng IP AI",IF(21&lt;=Gia_dinh!$F$57,"Ramp","Bán hàng"))</f>
        <v/>
      </c>
      <c r="D26" s="12">
        <f>(1-Gia_dinh!$F$108)^MAX(0,21-Gia_dinh!$F$57-1)</f>
        <v/>
      </c>
      <c r="E26" s="25">
        <f>IF(21&lt;=Gia_dinh!$F$57,0,Gia_dinh!$F$58)</f>
        <v/>
      </c>
      <c r="F26" s="25">
        <f>IF(21&lt;=Gia_dinh!$F$57,0,Gia_dinh!$F$59*Gia_dinh!$F$60)</f>
        <v/>
      </c>
      <c r="G26" s="25">
        <f>E26*F26</f>
        <v/>
      </c>
      <c r="H26" s="25">
        <f>G26*(1-Gia_dinh!$F$61)</f>
        <v/>
      </c>
      <c r="I26" s="25">
        <f>H26*Gia_dinh!$F$62</f>
        <v/>
      </c>
      <c r="J26" s="25">
        <f>IF(21=0,0,Gia_dinh!$F$63)</f>
        <v/>
      </c>
      <c r="K26" s="25">
        <f>IF(21=0,0,Gia_dinh!$F$64)</f>
        <v/>
      </c>
      <c r="L26" s="25">
        <f>H26*Gia_dinh!$F$65</f>
        <v/>
      </c>
      <c r="M26" s="25">
        <f>IF(21=0,0,Gia_dinh!$F$66)</f>
        <v/>
      </c>
      <c r="N26" s="25">
        <f>IF(21=0,Gia_dinh!$F$56,0)</f>
        <v/>
      </c>
      <c r="O26" s="25">
        <f>SUM(J26:N26)</f>
        <v/>
      </c>
      <c r="P26" s="25">
        <f>I26-O26</f>
        <v/>
      </c>
      <c r="Q26" s="25">
        <f>Q25+P26</f>
        <v/>
      </c>
    </row>
    <row r="27">
      <c r="B27" t="n">
        <v>22</v>
      </c>
      <c r="C27">
        <f>IF(22=0,"Dựng IP AI",IF(22&lt;=Gia_dinh!$F$57,"Ramp","Bán hàng"))</f>
        <v/>
      </c>
      <c r="D27" s="12">
        <f>(1-Gia_dinh!$F$108)^MAX(0,22-Gia_dinh!$F$57-1)</f>
        <v/>
      </c>
      <c r="E27" s="25">
        <f>IF(22&lt;=Gia_dinh!$F$57,0,Gia_dinh!$F$58)</f>
        <v/>
      </c>
      <c r="F27" s="25">
        <f>IF(22&lt;=Gia_dinh!$F$57,0,Gia_dinh!$F$59*Gia_dinh!$F$60)</f>
        <v/>
      </c>
      <c r="G27" s="25">
        <f>E27*F27</f>
        <v/>
      </c>
      <c r="H27" s="25">
        <f>G27*(1-Gia_dinh!$F$61)</f>
        <v/>
      </c>
      <c r="I27" s="25">
        <f>H27*Gia_dinh!$F$62</f>
        <v/>
      </c>
      <c r="J27" s="25">
        <f>IF(22=0,0,Gia_dinh!$F$63)</f>
        <v/>
      </c>
      <c r="K27" s="25">
        <f>IF(22=0,0,Gia_dinh!$F$64)</f>
        <v/>
      </c>
      <c r="L27" s="25">
        <f>H27*Gia_dinh!$F$65</f>
        <v/>
      </c>
      <c r="M27" s="25">
        <f>IF(22=0,0,Gia_dinh!$F$66)</f>
        <v/>
      </c>
      <c r="N27" s="25">
        <f>IF(22=0,Gia_dinh!$F$56,0)</f>
        <v/>
      </c>
      <c r="O27" s="25">
        <f>SUM(J27:N27)</f>
        <v/>
      </c>
      <c r="P27" s="25">
        <f>I27-O27</f>
        <v/>
      </c>
      <c r="Q27" s="25">
        <f>Q26+P27</f>
        <v/>
      </c>
    </row>
    <row r="28">
      <c r="B28" t="n">
        <v>23</v>
      </c>
      <c r="C28">
        <f>IF(23=0,"Dựng IP AI",IF(23&lt;=Gia_dinh!$F$57,"Ramp","Bán hàng"))</f>
        <v/>
      </c>
      <c r="D28" s="12">
        <f>(1-Gia_dinh!$F$108)^MAX(0,23-Gia_dinh!$F$57-1)</f>
        <v/>
      </c>
      <c r="E28" s="25">
        <f>IF(23&lt;=Gia_dinh!$F$57,0,Gia_dinh!$F$58)</f>
        <v/>
      </c>
      <c r="F28" s="25">
        <f>IF(23&lt;=Gia_dinh!$F$57,0,Gia_dinh!$F$59*Gia_dinh!$F$60)</f>
        <v/>
      </c>
      <c r="G28" s="25">
        <f>E28*F28</f>
        <v/>
      </c>
      <c r="H28" s="25">
        <f>G28*(1-Gia_dinh!$F$61)</f>
        <v/>
      </c>
      <c r="I28" s="25">
        <f>H28*Gia_dinh!$F$62</f>
        <v/>
      </c>
      <c r="J28" s="25">
        <f>IF(23=0,0,Gia_dinh!$F$63)</f>
        <v/>
      </c>
      <c r="K28" s="25">
        <f>IF(23=0,0,Gia_dinh!$F$64)</f>
        <v/>
      </c>
      <c r="L28" s="25">
        <f>H28*Gia_dinh!$F$65</f>
        <v/>
      </c>
      <c r="M28" s="25">
        <f>IF(23=0,0,Gia_dinh!$F$66)</f>
        <v/>
      </c>
      <c r="N28" s="25">
        <f>IF(23=0,Gia_dinh!$F$56,0)</f>
        <v/>
      </c>
      <c r="O28" s="25">
        <f>SUM(J28:N28)</f>
        <v/>
      </c>
      <c r="P28" s="25">
        <f>I28-O28</f>
        <v/>
      </c>
      <c r="Q28" s="25">
        <f>Q27+P28</f>
        <v/>
      </c>
    </row>
    <row r="29">
      <c r="B29" t="n">
        <v>24</v>
      </c>
      <c r="C29">
        <f>IF(24=0,"Dựng IP AI",IF(24&lt;=Gia_dinh!$F$57,"Ramp","Bán hàng"))</f>
        <v/>
      </c>
      <c r="D29" s="12">
        <f>(1-Gia_dinh!$F$108)^MAX(0,24-Gia_dinh!$F$57-1)</f>
        <v/>
      </c>
      <c r="E29" s="25">
        <f>IF(24&lt;=Gia_dinh!$F$57,0,Gia_dinh!$F$58)</f>
        <v/>
      </c>
      <c r="F29" s="25">
        <f>IF(24&lt;=Gia_dinh!$F$57,0,Gia_dinh!$F$59*Gia_dinh!$F$60)</f>
        <v/>
      </c>
      <c r="G29" s="25">
        <f>E29*F29</f>
        <v/>
      </c>
      <c r="H29" s="25">
        <f>G29*(1-Gia_dinh!$F$61)</f>
        <v/>
      </c>
      <c r="I29" s="25">
        <f>H29*Gia_dinh!$F$62</f>
        <v/>
      </c>
      <c r="J29" s="25">
        <f>IF(24=0,0,Gia_dinh!$F$63)</f>
        <v/>
      </c>
      <c r="K29" s="25">
        <f>IF(24=0,0,Gia_dinh!$F$64)</f>
        <v/>
      </c>
      <c r="L29" s="25">
        <f>H29*Gia_dinh!$F$65</f>
        <v/>
      </c>
      <c r="M29" s="25">
        <f>IF(24=0,0,Gia_dinh!$F$66)</f>
        <v/>
      </c>
      <c r="N29" s="25">
        <f>IF(24=0,Gia_dinh!$F$56,0)</f>
        <v/>
      </c>
      <c r="O29" s="25">
        <f>SUM(J29:N29)</f>
        <v/>
      </c>
      <c r="P29" s="25">
        <f>I29-O29</f>
        <v/>
      </c>
      <c r="Q29" s="25">
        <f>Q28+P29</f>
        <v/>
      </c>
    </row>
    <row r="30">
      <c r="B30" t="n">
        <v>25</v>
      </c>
      <c r="C30">
        <f>IF(25=0,"Dựng IP AI",IF(25&lt;=Gia_dinh!$F$57,"Ramp","Bán hàng"))</f>
        <v/>
      </c>
      <c r="D30" s="12">
        <f>(1-Gia_dinh!$F$108)^MAX(0,25-Gia_dinh!$F$57-1)</f>
        <v/>
      </c>
      <c r="E30" s="25">
        <f>IF(25&lt;=Gia_dinh!$F$57,0,Gia_dinh!$F$58)</f>
        <v/>
      </c>
      <c r="F30" s="25">
        <f>IF(25&lt;=Gia_dinh!$F$57,0,Gia_dinh!$F$59*Gia_dinh!$F$60)</f>
        <v/>
      </c>
      <c r="G30" s="25">
        <f>E30*F30</f>
        <v/>
      </c>
      <c r="H30" s="25">
        <f>G30*(1-Gia_dinh!$F$61)</f>
        <v/>
      </c>
      <c r="I30" s="25">
        <f>H30*Gia_dinh!$F$62</f>
        <v/>
      </c>
      <c r="J30" s="25">
        <f>IF(25=0,0,Gia_dinh!$F$63)</f>
        <v/>
      </c>
      <c r="K30" s="25">
        <f>IF(25=0,0,Gia_dinh!$F$64)</f>
        <v/>
      </c>
      <c r="L30" s="25">
        <f>H30*Gia_dinh!$F$65</f>
        <v/>
      </c>
      <c r="M30" s="25">
        <f>IF(25=0,0,Gia_dinh!$F$66)</f>
        <v/>
      </c>
      <c r="N30" s="25">
        <f>IF(25=0,Gia_dinh!$F$56,0)</f>
        <v/>
      </c>
      <c r="O30" s="25">
        <f>SUM(J30:N30)</f>
        <v/>
      </c>
      <c r="P30" s="25">
        <f>I30-O30</f>
        <v/>
      </c>
      <c r="Q30" s="25">
        <f>Q29+P30</f>
        <v/>
      </c>
    </row>
    <row r="31">
      <c r="B31" t="n">
        <v>26</v>
      </c>
      <c r="C31">
        <f>IF(26=0,"Dựng IP AI",IF(26&lt;=Gia_dinh!$F$57,"Ramp","Bán hàng"))</f>
        <v/>
      </c>
      <c r="D31" s="12">
        <f>(1-Gia_dinh!$F$108)^MAX(0,26-Gia_dinh!$F$57-1)</f>
        <v/>
      </c>
      <c r="E31" s="25">
        <f>IF(26&lt;=Gia_dinh!$F$57,0,Gia_dinh!$F$58)</f>
        <v/>
      </c>
      <c r="F31" s="25">
        <f>IF(26&lt;=Gia_dinh!$F$57,0,Gia_dinh!$F$59*Gia_dinh!$F$60)</f>
        <v/>
      </c>
      <c r="G31" s="25">
        <f>E31*F31</f>
        <v/>
      </c>
      <c r="H31" s="25">
        <f>G31*(1-Gia_dinh!$F$61)</f>
        <v/>
      </c>
      <c r="I31" s="25">
        <f>H31*Gia_dinh!$F$62</f>
        <v/>
      </c>
      <c r="J31" s="25">
        <f>IF(26=0,0,Gia_dinh!$F$63)</f>
        <v/>
      </c>
      <c r="K31" s="25">
        <f>IF(26=0,0,Gia_dinh!$F$64)</f>
        <v/>
      </c>
      <c r="L31" s="25">
        <f>H31*Gia_dinh!$F$65</f>
        <v/>
      </c>
      <c r="M31" s="25">
        <f>IF(26=0,0,Gia_dinh!$F$66)</f>
        <v/>
      </c>
      <c r="N31" s="25">
        <f>IF(26=0,Gia_dinh!$F$56,0)</f>
        <v/>
      </c>
      <c r="O31" s="25">
        <f>SUM(J31:N31)</f>
        <v/>
      </c>
      <c r="P31" s="25">
        <f>I31-O31</f>
        <v/>
      </c>
      <c r="Q31" s="25">
        <f>Q30+P31</f>
        <v/>
      </c>
    </row>
    <row r="32">
      <c r="B32" t="n">
        <v>27</v>
      </c>
      <c r="C32">
        <f>IF(27=0,"Dựng IP AI",IF(27&lt;=Gia_dinh!$F$57,"Ramp","Bán hàng"))</f>
        <v/>
      </c>
      <c r="D32" s="12">
        <f>(1-Gia_dinh!$F$108)^MAX(0,27-Gia_dinh!$F$57-1)</f>
        <v/>
      </c>
      <c r="E32" s="25">
        <f>IF(27&lt;=Gia_dinh!$F$57,0,Gia_dinh!$F$58)</f>
        <v/>
      </c>
      <c r="F32" s="25">
        <f>IF(27&lt;=Gia_dinh!$F$57,0,Gia_dinh!$F$59*Gia_dinh!$F$60)</f>
        <v/>
      </c>
      <c r="G32" s="25">
        <f>E32*F32</f>
        <v/>
      </c>
      <c r="H32" s="25">
        <f>G32*(1-Gia_dinh!$F$61)</f>
        <v/>
      </c>
      <c r="I32" s="25">
        <f>H32*Gia_dinh!$F$62</f>
        <v/>
      </c>
      <c r="J32" s="25">
        <f>IF(27=0,0,Gia_dinh!$F$63)</f>
        <v/>
      </c>
      <c r="K32" s="25">
        <f>IF(27=0,0,Gia_dinh!$F$64)</f>
        <v/>
      </c>
      <c r="L32" s="25">
        <f>H32*Gia_dinh!$F$65</f>
        <v/>
      </c>
      <c r="M32" s="25">
        <f>IF(27=0,0,Gia_dinh!$F$66)</f>
        <v/>
      </c>
      <c r="N32" s="25">
        <f>IF(27=0,Gia_dinh!$F$56,0)</f>
        <v/>
      </c>
      <c r="O32" s="25">
        <f>SUM(J32:N32)</f>
        <v/>
      </c>
      <c r="P32" s="25">
        <f>I32-O32</f>
        <v/>
      </c>
      <c r="Q32" s="25">
        <f>Q31+P32</f>
        <v/>
      </c>
    </row>
    <row r="33">
      <c r="B33" t="n">
        <v>28</v>
      </c>
      <c r="C33">
        <f>IF(28=0,"Dựng IP AI",IF(28&lt;=Gia_dinh!$F$57,"Ramp","Bán hàng"))</f>
        <v/>
      </c>
      <c r="D33" s="12">
        <f>(1-Gia_dinh!$F$108)^MAX(0,28-Gia_dinh!$F$57-1)</f>
        <v/>
      </c>
      <c r="E33" s="25">
        <f>IF(28&lt;=Gia_dinh!$F$57,0,Gia_dinh!$F$58)</f>
        <v/>
      </c>
      <c r="F33" s="25">
        <f>IF(28&lt;=Gia_dinh!$F$57,0,Gia_dinh!$F$59*Gia_dinh!$F$60)</f>
        <v/>
      </c>
      <c r="G33" s="25">
        <f>E33*F33</f>
        <v/>
      </c>
      <c r="H33" s="25">
        <f>G33*(1-Gia_dinh!$F$61)</f>
        <v/>
      </c>
      <c r="I33" s="25">
        <f>H33*Gia_dinh!$F$62</f>
        <v/>
      </c>
      <c r="J33" s="25">
        <f>IF(28=0,0,Gia_dinh!$F$63)</f>
        <v/>
      </c>
      <c r="K33" s="25">
        <f>IF(28=0,0,Gia_dinh!$F$64)</f>
        <v/>
      </c>
      <c r="L33" s="25">
        <f>H33*Gia_dinh!$F$65</f>
        <v/>
      </c>
      <c r="M33" s="25">
        <f>IF(28=0,0,Gia_dinh!$F$66)</f>
        <v/>
      </c>
      <c r="N33" s="25">
        <f>IF(28=0,Gia_dinh!$F$56,0)</f>
        <v/>
      </c>
      <c r="O33" s="25">
        <f>SUM(J33:N33)</f>
        <v/>
      </c>
      <c r="P33" s="25">
        <f>I33-O33</f>
        <v/>
      </c>
      <c r="Q33" s="25">
        <f>Q32+P33</f>
        <v/>
      </c>
    </row>
    <row r="34">
      <c r="B34" t="n">
        <v>29</v>
      </c>
      <c r="C34">
        <f>IF(29=0,"Dựng IP AI",IF(29&lt;=Gia_dinh!$F$57,"Ramp","Bán hàng"))</f>
        <v/>
      </c>
      <c r="D34" s="12">
        <f>(1-Gia_dinh!$F$108)^MAX(0,29-Gia_dinh!$F$57-1)</f>
        <v/>
      </c>
      <c r="E34" s="25">
        <f>IF(29&lt;=Gia_dinh!$F$57,0,Gia_dinh!$F$58)</f>
        <v/>
      </c>
      <c r="F34" s="25">
        <f>IF(29&lt;=Gia_dinh!$F$57,0,Gia_dinh!$F$59*Gia_dinh!$F$60)</f>
        <v/>
      </c>
      <c r="G34" s="25">
        <f>E34*F34</f>
        <v/>
      </c>
      <c r="H34" s="25">
        <f>G34*(1-Gia_dinh!$F$61)</f>
        <v/>
      </c>
      <c r="I34" s="25">
        <f>H34*Gia_dinh!$F$62</f>
        <v/>
      </c>
      <c r="J34" s="25">
        <f>IF(29=0,0,Gia_dinh!$F$63)</f>
        <v/>
      </c>
      <c r="K34" s="25">
        <f>IF(29=0,0,Gia_dinh!$F$64)</f>
        <v/>
      </c>
      <c r="L34" s="25">
        <f>H34*Gia_dinh!$F$65</f>
        <v/>
      </c>
      <c r="M34" s="25">
        <f>IF(29=0,0,Gia_dinh!$F$66)</f>
        <v/>
      </c>
      <c r="N34" s="25">
        <f>IF(29=0,Gia_dinh!$F$56,0)</f>
        <v/>
      </c>
      <c r="O34" s="25">
        <f>SUM(J34:N34)</f>
        <v/>
      </c>
      <c r="P34" s="25">
        <f>I34-O34</f>
        <v/>
      </c>
      <c r="Q34" s="25">
        <f>Q33+P34</f>
        <v/>
      </c>
    </row>
    <row r="35">
      <c r="B35" t="n">
        <v>30</v>
      </c>
      <c r="C35">
        <f>IF(30=0,"Dựng IP AI",IF(30&lt;=Gia_dinh!$F$57,"Ramp","Bán hàng"))</f>
        <v/>
      </c>
      <c r="D35" s="12">
        <f>(1-Gia_dinh!$F$108)^MAX(0,30-Gia_dinh!$F$57-1)</f>
        <v/>
      </c>
      <c r="E35" s="25">
        <f>IF(30&lt;=Gia_dinh!$F$57,0,Gia_dinh!$F$58)</f>
        <v/>
      </c>
      <c r="F35" s="25">
        <f>IF(30&lt;=Gia_dinh!$F$57,0,Gia_dinh!$F$59*Gia_dinh!$F$60)</f>
        <v/>
      </c>
      <c r="G35" s="25">
        <f>E35*F35</f>
        <v/>
      </c>
      <c r="H35" s="25">
        <f>G35*(1-Gia_dinh!$F$61)</f>
        <v/>
      </c>
      <c r="I35" s="25">
        <f>H35*Gia_dinh!$F$62</f>
        <v/>
      </c>
      <c r="J35" s="25">
        <f>IF(30=0,0,Gia_dinh!$F$63)</f>
        <v/>
      </c>
      <c r="K35" s="25">
        <f>IF(30=0,0,Gia_dinh!$F$64)</f>
        <v/>
      </c>
      <c r="L35" s="25">
        <f>H35*Gia_dinh!$F$65</f>
        <v/>
      </c>
      <c r="M35" s="25">
        <f>IF(30=0,0,Gia_dinh!$F$66)</f>
        <v/>
      </c>
      <c r="N35" s="25">
        <f>IF(30=0,Gia_dinh!$F$56,0)</f>
        <v/>
      </c>
      <c r="O35" s="25">
        <f>SUM(J35:N35)</f>
        <v/>
      </c>
      <c r="P35" s="25">
        <f>I35-O35</f>
        <v/>
      </c>
      <c r="Q35" s="25">
        <f>Q34+P35</f>
        <v/>
      </c>
    </row>
    <row r="36">
      <c r="B36" t="n">
        <v>31</v>
      </c>
      <c r="C36">
        <f>IF(31=0,"Dựng IP AI",IF(31&lt;=Gia_dinh!$F$57,"Ramp","Bán hàng"))</f>
        <v/>
      </c>
      <c r="D36" s="12">
        <f>(1-Gia_dinh!$F$108)^MAX(0,31-Gia_dinh!$F$57-1)</f>
        <v/>
      </c>
      <c r="E36" s="25">
        <f>IF(31&lt;=Gia_dinh!$F$57,0,Gia_dinh!$F$58)</f>
        <v/>
      </c>
      <c r="F36" s="25">
        <f>IF(31&lt;=Gia_dinh!$F$57,0,Gia_dinh!$F$59*Gia_dinh!$F$60)</f>
        <v/>
      </c>
      <c r="G36" s="25">
        <f>E36*F36</f>
        <v/>
      </c>
      <c r="H36" s="25">
        <f>G36*(1-Gia_dinh!$F$61)</f>
        <v/>
      </c>
      <c r="I36" s="25">
        <f>H36*Gia_dinh!$F$62</f>
        <v/>
      </c>
      <c r="J36" s="25">
        <f>IF(31=0,0,Gia_dinh!$F$63)</f>
        <v/>
      </c>
      <c r="K36" s="25">
        <f>IF(31=0,0,Gia_dinh!$F$64)</f>
        <v/>
      </c>
      <c r="L36" s="25">
        <f>H36*Gia_dinh!$F$65</f>
        <v/>
      </c>
      <c r="M36" s="25">
        <f>IF(31=0,0,Gia_dinh!$F$66)</f>
        <v/>
      </c>
      <c r="N36" s="25">
        <f>IF(31=0,Gia_dinh!$F$56,0)</f>
        <v/>
      </c>
      <c r="O36" s="25">
        <f>SUM(J36:N36)</f>
        <v/>
      </c>
      <c r="P36" s="25">
        <f>I36-O36</f>
        <v/>
      </c>
      <c r="Q36" s="25">
        <f>Q35+P36</f>
        <v/>
      </c>
    </row>
    <row r="37">
      <c r="B37" t="n">
        <v>32</v>
      </c>
      <c r="C37">
        <f>IF(32=0,"Dựng IP AI",IF(32&lt;=Gia_dinh!$F$57,"Ramp","Bán hàng"))</f>
        <v/>
      </c>
      <c r="D37" s="12">
        <f>(1-Gia_dinh!$F$108)^MAX(0,32-Gia_dinh!$F$57-1)</f>
        <v/>
      </c>
      <c r="E37" s="25">
        <f>IF(32&lt;=Gia_dinh!$F$57,0,Gia_dinh!$F$58)</f>
        <v/>
      </c>
      <c r="F37" s="25">
        <f>IF(32&lt;=Gia_dinh!$F$57,0,Gia_dinh!$F$59*Gia_dinh!$F$60)</f>
        <v/>
      </c>
      <c r="G37" s="25">
        <f>E37*F37</f>
        <v/>
      </c>
      <c r="H37" s="25">
        <f>G37*(1-Gia_dinh!$F$61)</f>
        <v/>
      </c>
      <c r="I37" s="25">
        <f>H37*Gia_dinh!$F$62</f>
        <v/>
      </c>
      <c r="J37" s="25">
        <f>IF(32=0,0,Gia_dinh!$F$63)</f>
        <v/>
      </c>
      <c r="K37" s="25">
        <f>IF(32=0,0,Gia_dinh!$F$64)</f>
        <v/>
      </c>
      <c r="L37" s="25">
        <f>H37*Gia_dinh!$F$65</f>
        <v/>
      </c>
      <c r="M37" s="25">
        <f>IF(32=0,0,Gia_dinh!$F$66)</f>
        <v/>
      </c>
      <c r="N37" s="25">
        <f>IF(32=0,Gia_dinh!$F$56,0)</f>
        <v/>
      </c>
      <c r="O37" s="25">
        <f>SUM(J37:N37)</f>
        <v/>
      </c>
      <c r="P37" s="25">
        <f>I37-O37</f>
        <v/>
      </c>
      <c r="Q37" s="25">
        <f>Q36+P37</f>
        <v/>
      </c>
    </row>
    <row r="38">
      <c r="B38" t="n">
        <v>33</v>
      </c>
      <c r="C38">
        <f>IF(33=0,"Dựng IP AI",IF(33&lt;=Gia_dinh!$F$57,"Ramp","Bán hàng"))</f>
        <v/>
      </c>
      <c r="D38" s="12">
        <f>(1-Gia_dinh!$F$108)^MAX(0,33-Gia_dinh!$F$57-1)</f>
        <v/>
      </c>
      <c r="E38" s="25">
        <f>IF(33&lt;=Gia_dinh!$F$57,0,Gia_dinh!$F$58)</f>
        <v/>
      </c>
      <c r="F38" s="25">
        <f>IF(33&lt;=Gia_dinh!$F$57,0,Gia_dinh!$F$59*Gia_dinh!$F$60)</f>
        <v/>
      </c>
      <c r="G38" s="25">
        <f>E38*F38</f>
        <v/>
      </c>
      <c r="H38" s="25">
        <f>G38*(1-Gia_dinh!$F$61)</f>
        <v/>
      </c>
      <c r="I38" s="25">
        <f>H38*Gia_dinh!$F$62</f>
        <v/>
      </c>
      <c r="J38" s="25">
        <f>IF(33=0,0,Gia_dinh!$F$63)</f>
        <v/>
      </c>
      <c r="K38" s="25">
        <f>IF(33=0,0,Gia_dinh!$F$64)</f>
        <v/>
      </c>
      <c r="L38" s="25">
        <f>H38*Gia_dinh!$F$65</f>
        <v/>
      </c>
      <c r="M38" s="25">
        <f>IF(33=0,0,Gia_dinh!$F$66)</f>
        <v/>
      </c>
      <c r="N38" s="25">
        <f>IF(33=0,Gia_dinh!$F$56,0)</f>
        <v/>
      </c>
      <c r="O38" s="25">
        <f>SUM(J38:N38)</f>
        <v/>
      </c>
      <c r="P38" s="25">
        <f>I38-O38</f>
        <v/>
      </c>
      <c r="Q38" s="25">
        <f>Q37+P38</f>
        <v/>
      </c>
    </row>
    <row r="39">
      <c r="B39" t="n">
        <v>34</v>
      </c>
      <c r="C39">
        <f>IF(34=0,"Dựng IP AI",IF(34&lt;=Gia_dinh!$F$57,"Ramp","Bán hàng"))</f>
        <v/>
      </c>
      <c r="D39" s="12">
        <f>(1-Gia_dinh!$F$108)^MAX(0,34-Gia_dinh!$F$57-1)</f>
        <v/>
      </c>
      <c r="E39" s="25">
        <f>IF(34&lt;=Gia_dinh!$F$57,0,Gia_dinh!$F$58)</f>
        <v/>
      </c>
      <c r="F39" s="25">
        <f>IF(34&lt;=Gia_dinh!$F$57,0,Gia_dinh!$F$59*Gia_dinh!$F$60)</f>
        <v/>
      </c>
      <c r="G39" s="25">
        <f>E39*F39</f>
        <v/>
      </c>
      <c r="H39" s="25">
        <f>G39*(1-Gia_dinh!$F$61)</f>
        <v/>
      </c>
      <c r="I39" s="25">
        <f>H39*Gia_dinh!$F$62</f>
        <v/>
      </c>
      <c r="J39" s="25">
        <f>IF(34=0,0,Gia_dinh!$F$63)</f>
        <v/>
      </c>
      <c r="K39" s="25">
        <f>IF(34=0,0,Gia_dinh!$F$64)</f>
        <v/>
      </c>
      <c r="L39" s="25">
        <f>H39*Gia_dinh!$F$65</f>
        <v/>
      </c>
      <c r="M39" s="25">
        <f>IF(34=0,0,Gia_dinh!$F$66)</f>
        <v/>
      </c>
      <c r="N39" s="25">
        <f>IF(34=0,Gia_dinh!$F$56,0)</f>
        <v/>
      </c>
      <c r="O39" s="25">
        <f>SUM(J39:N39)</f>
        <v/>
      </c>
      <c r="P39" s="25">
        <f>I39-O39</f>
        <v/>
      </c>
      <c r="Q39" s="25">
        <f>Q38+P39</f>
        <v/>
      </c>
    </row>
    <row r="40">
      <c r="B40" t="n">
        <v>35</v>
      </c>
      <c r="C40">
        <f>IF(35=0,"Dựng IP AI",IF(35&lt;=Gia_dinh!$F$57,"Ramp","Bán hàng"))</f>
        <v/>
      </c>
      <c r="D40" s="12">
        <f>(1-Gia_dinh!$F$108)^MAX(0,35-Gia_dinh!$F$57-1)</f>
        <v/>
      </c>
      <c r="E40" s="25">
        <f>IF(35&lt;=Gia_dinh!$F$57,0,Gia_dinh!$F$58)</f>
        <v/>
      </c>
      <c r="F40" s="25">
        <f>IF(35&lt;=Gia_dinh!$F$57,0,Gia_dinh!$F$59*Gia_dinh!$F$60)</f>
        <v/>
      </c>
      <c r="G40" s="25">
        <f>E40*F40</f>
        <v/>
      </c>
      <c r="H40" s="25">
        <f>G40*(1-Gia_dinh!$F$61)</f>
        <v/>
      </c>
      <c r="I40" s="25">
        <f>H40*Gia_dinh!$F$62</f>
        <v/>
      </c>
      <c r="J40" s="25">
        <f>IF(35=0,0,Gia_dinh!$F$63)</f>
        <v/>
      </c>
      <c r="K40" s="25">
        <f>IF(35=0,0,Gia_dinh!$F$64)</f>
        <v/>
      </c>
      <c r="L40" s="25">
        <f>H40*Gia_dinh!$F$65</f>
        <v/>
      </c>
      <c r="M40" s="25">
        <f>IF(35=0,0,Gia_dinh!$F$66)</f>
        <v/>
      </c>
      <c r="N40" s="25">
        <f>IF(35=0,Gia_dinh!$F$56,0)</f>
        <v/>
      </c>
      <c r="O40" s="25">
        <f>SUM(J40:N40)</f>
        <v/>
      </c>
      <c r="P40" s="25">
        <f>I40-O40</f>
        <v/>
      </c>
      <c r="Q40" s="25">
        <f>Q39+P40</f>
        <v/>
      </c>
    </row>
    <row r="41">
      <c r="B41" t="n">
        <v>36</v>
      </c>
      <c r="C41">
        <f>IF(36=0,"Dựng IP AI",IF(36&lt;=Gia_dinh!$F$57,"Ramp","Bán hàng"))</f>
        <v/>
      </c>
      <c r="D41" s="12">
        <f>(1-Gia_dinh!$F$108)^MAX(0,36-Gia_dinh!$F$57-1)</f>
        <v/>
      </c>
      <c r="E41" s="25">
        <f>IF(36&lt;=Gia_dinh!$F$57,0,Gia_dinh!$F$58)</f>
        <v/>
      </c>
      <c r="F41" s="25">
        <f>IF(36&lt;=Gia_dinh!$F$57,0,Gia_dinh!$F$59*Gia_dinh!$F$60)</f>
        <v/>
      </c>
      <c r="G41" s="25">
        <f>E41*F41</f>
        <v/>
      </c>
      <c r="H41" s="25">
        <f>G41*(1-Gia_dinh!$F$61)</f>
        <v/>
      </c>
      <c r="I41" s="25">
        <f>H41*Gia_dinh!$F$62</f>
        <v/>
      </c>
      <c r="J41" s="25">
        <f>IF(36=0,0,Gia_dinh!$F$63)</f>
        <v/>
      </c>
      <c r="K41" s="25">
        <f>IF(36=0,0,Gia_dinh!$F$64)</f>
        <v/>
      </c>
      <c r="L41" s="25">
        <f>H41*Gia_dinh!$F$65</f>
        <v/>
      </c>
      <c r="M41" s="25">
        <f>IF(36=0,0,Gia_dinh!$F$66)</f>
        <v/>
      </c>
      <c r="N41" s="25">
        <f>IF(36=0,Gia_dinh!$F$56,0)</f>
        <v/>
      </c>
      <c r="O41" s="25">
        <f>SUM(J41:N41)</f>
        <v/>
      </c>
      <c r="P41" s="25">
        <f>I41-O41</f>
        <v/>
      </c>
      <c r="Q41" s="25">
        <f>Q40+P41</f>
        <v/>
      </c>
    </row>
    <row r="43">
      <c r="B43" s="7" t="inlineStr">
        <is>
          <t>KẾT QUẢ MỘT IP AI (kịch bản đang chạy)</t>
        </is>
      </c>
    </row>
    <row r="44">
      <c r="B44" t="inlineStr">
        <is>
          <t>Lãi gộp/tháng khi ổn định (tuổi 12)</t>
        </is>
      </c>
      <c r="F44" s="26">
        <f>P17</f>
        <v/>
      </c>
    </row>
    <row r="45">
      <c r="B45" t="inlineStr">
        <is>
          <t>Biên lãi gộp trên doanh thu MCN</t>
        </is>
      </c>
      <c r="F45" s="27">
        <f>P17/I17</f>
        <v/>
      </c>
    </row>
    <row r="46">
      <c r="B46" t="inlineStr">
        <is>
          <t>Đỉnh vốn phải bỏ ra cho 1 IP AI</t>
        </is>
      </c>
      <c r="F46" s="26">
        <f>MIN(Q5:Q41)</f>
        <v/>
      </c>
    </row>
    <row r="47">
      <c r="B47" t="inlineStr">
        <is>
          <t>Tháng hoà vốn luỹ kế của 1 IP AI</t>
        </is>
      </c>
      <c r="F47" s="13">
        <f>IF(COUNTIF(Q5:Q41,"&lt;0")&gt;36,"Không hoà vốn trong 36 tháng",COUNTIF(Q5:Q41,"&lt;0"))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97"/>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48"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c r="A1" s="7" t="inlineStr">
        <is>
          <t>ĐỘI HÌNH IP THEO THÁNG (mô hình cohort)</t>
        </is>
      </c>
    </row>
    <row r="2">
      <c r="A2" t="inlineStr">
        <is>
          <t>Số IP ở mỗi tuổi = số IP ký mới của tháng tương ứng × tỷ lệ sống sót của tuổi đó.</t>
        </is>
      </c>
    </row>
    <row r="3">
      <c r="A3" s="28" t="n"/>
      <c r="B3" s="8" t="inlineStr">
        <is>
          <t>Thang</t>
        </is>
      </c>
      <c r="C3" s="8" t="inlineStr">
        <is>
          <t>Đơn vị</t>
        </is>
      </c>
      <c r="D3" s="29" t="n">
        <v>1</v>
      </c>
      <c r="E3" s="29" t="n">
        <v>2</v>
      </c>
      <c r="F3" s="29" t="n">
        <v>3</v>
      </c>
      <c r="G3" s="29" t="n">
        <v>4</v>
      </c>
      <c r="H3" s="29" t="n">
        <v>5</v>
      </c>
      <c r="I3" s="29" t="n">
        <v>6</v>
      </c>
      <c r="J3" s="29" t="n">
        <v>7</v>
      </c>
      <c r="K3" s="29" t="n">
        <v>8</v>
      </c>
      <c r="L3" s="29" t="n">
        <v>9</v>
      </c>
      <c r="M3" s="29" t="n">
        <v>10</v>
      </c>
      <c r="N3" s="29" t="n">
        <v>11</v>
      </c>
      <c r="O3" s="29" t="n">
        <v>12</v>
      </c>
      <c r="P3" s="29" t="n">
        <v>13</v>
      </c>
      <c r="Q3" s="29" t="n">
        <v>14</v>
      </c>
      <c r="R3" s="29" t="n">
        <v>15</v>
      </c>
      <c r="S3" s="29" t="n">
        <v>16</v>
      </c>
      <c r="T3" s="29" t="n">
        <v>17</v>
      </c>
      <c r="U3" s="29" t="n">
        <v>18</v>
      </c>
      <c r="V3" s="29" t="n">
        <v>19</v>
      </c>
      <c r="W3" s="29" t="n">
        <v>20</v>
      </c>
      <c r="X3" s="29" t="n">
        <v>21</v>
      </c>
      <c r="Y3" s="29" t="n">
        <v>22</v>
      </c>
      <c r="Z3" s="29" t="n">
        <v>23</v>
      </c>
      <c r="AA3" s="29" t="n">
        <v>24</v>
      </c>
      <c r="AB3" s="29" t="n">
        <v>25</v>
      </c>
      <c r="AC3" s="29" t="n">
        <v>26</v>
      </c>
      <c r="AD3" s="29" t="n">
        <v>27</v>
      </c>
      <c r="AE3" s="29" t="n">
        <v>28</v>
      </c>
      <c r="AF3" s="29" t="n">
        <v>29</v>
      </c>
      <c r="AG3" s="29" t="n">
        <v>30</v>
      </c>
      <c r="AH3" s="29" t="n">
        <v>31</v>
      </c>
      <c r="AI3" s="29" t="n">
        <v>32</v>
      </c>
      <c r="AJ3" s="29" t="n">
        <v>33</v>
      </c>
      <c r="AK3" s="29" t="n">
        <v>34</v>
      </c>
      <c r="AL3" s="29" t="n">
        <v>35</v>
      </c>
      <c r="AM3" s="29" t="n">
        <v>36</v>
      </c>
    </row>
    <row r="4">
      <c r="A4" s="28" t="n"/>
      <c r="B4" s="8" t="inlineStr">
        <is>
          <t>Ky</t>
        </is>
      </c>
      <c r="C4" s="28" t="n"/>
      <c r="D4" s="30">
        <f>EDATE(Gia_dinh!$B$5,1-1)</f>
        <v/>
      </c>
      <c r="E4" s="30">
        <f>EDATE(Gia_dinh!$B$5,2-1)</f>
        <v/>
      </c>
      <c r="F4" s="30">
        <f>EDATE(Gia_dinh!$B$5,3-1)</f>
        <v/>
      </c>
      <c r="G4" s="30">
        <f>EDATE(Gia_dinh!$B$5,4-1)</f>
        <v/>
      </c>
      <c r="H4" s="30">
        <f>EDATE(Gia_dinh!$B$5,5-1)</f>
        <v/>
      </c>
      <c r="I4" s="30">
        <f>EDATE(Gia_dinh!$B$5,6-1)</f>
        <v/>
      </c>
      <c r="J4" s="30">
        <f>EDATE(Gia_dinh!$B$5,7-1)</f>
        <v/>
      </c>
      <c r="K4" s="30">
        <f>EDATE(Gia_dinh!$B$5,8-1)</f>
        <v/>
      </c>
      <c r="L4" s="30">
        <f>EDATE(Gia_dinh!$B$5,9-1)</f>
        <v/>
      </c>
      <c r="M4" s="30">
        <f>EDATE(Gia_dinh!$B$5,10-1)</f>
        <v/>
      </c>
      <c r="N4" s="30">
        <f>EDATE(Gia_dinh!$B$5,11-1)</f>
        <v/>
      </c>
      <c r="O4" s="30">
        <f>EDATE(Gia_dinh!$B$5,12-1)</f>
        <v/>
      </c>
      <c r="P4" s="30">
        <f>EDATE(Gia_dinh!$B$5,13-1)</f>
        <v/>
      </c>
      <c r="Q4" s="30">
        <f>EDATE(Gia_dinh!$B$5,14-1)</f>
        <v/>
      </c>
      <c r="R4" s="30">
        <f>EDATE(Gia_dinh!$B$5,15-1)</f>
        <v/>
      </c>
      <c r="S4" s="30">
        <f>EDATE(Gia_dinh!$B$5,16-1)</f>
        <v/>
      </c>
      <c r="T4" s="30">
        <f>EDATE(Gia_dinh!$B$5,17-1)</f>
        <v/>
      </c>
      <c r="U4" s="30">
        <f>EDATE(Gia_dinh!$B$5,18-1)</f>
        <v/>
      </c>
      <c r="V4" s="30">
        <f>EDATE(Gia_dinh!$B$5,19-1)</f>
        <v/>
      </c>
      <c r="W4" s="30">
        <f>EDATE(Gia_dinh!$B$5,20-1)</f>
        <v/>
      </c>
      <c r="X4" s="30">
        <f>EDATE(Gia_dinh!$B$5,21-1)</f>
        <v/>
      </c>
      <c r="Y4" s="30">
        <f>EDATE(Gia_dinh!$B$5,22-1)</f>
        <v/>
      </c>
      <c r="Z4" s="30">
        <f>EDATE(Gia_dinh!$B$5,23-1)</f>
        <v/>
      </c>
      <c r="AA4" s="30">
        <f>EDATE(Gia_dinh!$B$5,24-1)</f>
        <v/>
      </c>
      <c r="AB4" s="30">
        <f>EDATE(Gia_dinh!$B$5,25-1)</f>
        <v/>
      </c>
      <c r="AC4" s="30">
        <f>EDATE(Gia_dinh!$B$5,26-1)</f>
        <v/>
      </c>
      <c r="AD4" s="30">
        <f>EDATE(Gia_dinh!$B$5,27-1)</f>
        <v/>
      </c>
      <c r="AE4" s="30">
        <f>EDATE(Gia_dinh!$B$5,28-1)</f>
        <v/>
      </c>
      <c r="AF4" s="30">
        <f>EDATE(Gia_dinh!$B$5,29-1)</f>
        <v/>
      </c>
      <c r="AG4" s="30">
        <f>EDATE(Gia_dinh!$B$5,30-1)</f>
        <v/>
      </c>
      <c r="AH4" s="30">
        <f>EDATE(Gia_dinh!$B$5,31-1)</f>
        <v/>
      </c>
      <c r="AI4" s="30">
        <f>EDATE(Gia_dinh!$B$5,32-1)</f>
        <v/>
      </c>
      <c r="AJ4" s="30">
        <f>EDATE(Gia_dinh!$B$5,33-1)</f>
        <v/>
      </c>
      <c r="AK4" s="30">
        <f>EDATE(Gia_dinh!$B$5,34-1)</f>
        <v/>
      </c>
      <c r="AL4" s="30">
        <f>EDATE(Gia_dinh!$B$5,35-1)</f>
        <v/>
      </c>
      <c r="AM4" s="30">
        <f>EDATE(Gia_dinh!$B$5,36-1)</f>
        <v/>
      </c>
    </row>
    <row r="5">
      <c r="A5" s="28" t="n"/>
      <c r="B5" s="8" t="inlineStr">
        <is>
          <t>Nam</t>
        </is>
      </c>
      <c r="C5" s="28" t="n"/>
      <c r="D5" s="31" t="inlineStr">
        <is>
          <t>Nam 1</t>
        </is>
      </c>
      <c r="E5" s="31" t="inlineStr">
        <is>
          <t>Nam 1</t>
        </is>
      </c>
      <c r="F5" s="31" t="inlineStr">
        <is>
          <t>Nam 1</t>
        </is>
      </c>
      <c r="G5" s="31" t="inlineStr">
        <is>
          <t>Nam 1</t>
        </is>
      </c>
      <c r="H5" s="31" t="inlineStr">
        <is>
          <t>Nam 1</t>
        </is>
      </c>
      <c r="I5" s="31" t="inlineStr">
        <is>
          <t>Nam 1</t>
        </is>
      </c>
      <c r="J5" s="31" t="inlineStr">
        <is>
          <t>Nam 1</t>
        </is>
      </c>
      <c r="K5" s="31" t="inlineStr">
        <is>
          <t>Nam 1</t>
        </is>
      </c>
      <c r="L5" s="31" t="inlineStr">
        <is>
          <t>Nam 1</t>
        </is>
      </c>
      <c r="M5" s="31" t="inlineStr">
        <is>
          <t>Nam 1</t>
        </is>
      </c>
      <c r="N5" s="31" t="inlineStr">
        <is>
          <t>Nam 1</t>
        </is>
      </c>
      <c r="O5" s="31" t="inlineStr">
        <is>
          <t>Nam 1</t>
        </is>
      </c>
      <c r="P5" s="31" t="inlineStr">
        <is>
          <t>Nam 2</t>
        </is>
      </c>
      <c r="Q5" s="31" t="inlineStr">
        <is>
          <t>Nam 2</t>
        </is>
      </c>
      <c r="R5" s="31" t="inlineStr">
        <is>
          <t>Nam 2</t>
        </is>
      </c>
      <c r="S5" s="31" t="inlineStr">
        <is>
          <t>Nam 2</t>
        </is>
      </c>
      <c r="T5" s="31" t="inlineStr">
        <is>
          <t>Nam 2</t>
        </is>
      </c>
      <c r="U5" s="31" t="inlineStr">
        <is>
          <t>Nam 2</t>
        </is>
      </c>
      <c r="V5" s="31" t="inlineStr">
        <is>
          <t>Nam 2</t>
        </is>
      </c>
      <c r="W5" s="31" t="inlineStr">
        <is>
          <t>Nam 2</t>
        </is>
      </c>
      <c r="X5" s="31" t="inlineStr">
        <is>
          <t>Nam 2</t>
        </is>
      </c>
      <c r="Y5" s="31" t="inlineStr">
        <is>
          <t>Nam 2</t>
        </is>
      </c>
      <c r="Z5" s="31" t="inlineStr">
        <is>
          <t>Nam 2</t>
        </is>
      </c>
      <c r="AA5" s="31" t="inlineStr">
        <is>
          <t>Nam 2</t>
        </is>
      </c>
      <c r="AB5" s="31" t="inlineStr">
        <is>
          <t>Nam 3</t>
        </is>
      </c>
      <c r="AC5" s="31" t="inlineStr">
        <is>
          <t>Nam 3</t>
        </is>
      </c>
      <c r="AD5" s="31" t="inlineStr">
        <is>
          <t>Nam 3</t>
        </is>
      </c>
      <c r="AE5" s="31" t="inlineStr">
        <is>
          <t>Nam 3</t>
        </is>
      </c>
      <c r="AF5" s="31" t="inlineStr">
        <is>
          <t>Nam 3</t>
        </is>
      </c>
      <c r="AG5" s="31" t="inlineStr">
        <is>
          <t>Nam 3</t>
        </is>
      </c>
      <c r="AH5" s="31" t="inlineStr">
        <is>
          <t>Nam 3</t>
        </is>
      </c>
      <c r="AI5" s="31" t="inlineStr">
        <is>
          <t>Nam 3</t>
        </is>
      </c>
      <c r="AJ5" s="31" t="inlineStr">
        <is>
          <t>Nam 3</t>
        </is>
      </c>
      <c r="AK5" s="31" t="inlineStr">
        <is>
          <t>Nam 3</t>
        </is>
      </c>
      <c r="AL5" s="31" t="inlineStr">
        <is>
          <t>Nam 3</t>
        </is>
      </c>
      <c r="AM5" s="31" t="inlineStr">
        <is>
          <t>Nam 3</t>
        </is>
      </c>
    </row>
    <row r="6">
      <c r="B6" s="4" t="inlineStr">
        <is>
          <t>KẾ HOẠCH KÝ MỚI</t>
        </is>
      </c>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row>
    <row r="7">
      <c r="B7" t="inlineStr">
        <is>
          <t>IP người thật ký mới trong tháng</t>
        </is>
      </c>
      <c r="C7" t="inlineStr">
        <is>
          <t>IP</t>
        </is>
      </c>
      <c r="D7" s="11">
        <f>IF(1&lt;=6,Gia_dinh!$F$10,IF(1&lt;=18,Gia_dinh!$F$11,Gia_dinh!$F$12))</f>
        <v/>
      </c>
      <c r="E7" s="11">
        <f>IF(2&lt;=6,Gia_dinh!$F$10,IF(2&lt;=18,Gia_dinh!$F$11,Gia_dinh!$F$12))</f>
        <v/>
      </c>
      <c r="F7" s="11">
        <f>IF(3&lt;=6,Gia_dinh!$F$10,IF(3&lt;=18,Gia_dinh!$F$11,Gia_dinh!$F$12))</f>
        <v/>
      </c>
      <c r="G7" s="11">
        <f>IF(4&lt;=6,Gia_dinh!$F$10,IF(4&lt;=18,Gia_dinh!$F$11,Gia_dinh!$F$12))</f>
        <v/>
      </c>
      <c r="H7" s="11">
        <f>IF(5&lt;=6,Gia_dinh!$F$10,IF(5&lt;=18,Gia_dinh!$F$11,Gia_dinh!$F$12))</f>
        <v/>
      </c>
      <c r="I7" s="11">
        <f>IF(6&lt;=6,Gia_dinh!$F$10,IF(6&lt;=18,Gia_dinh!$F$11,Gia_dinh!$F$12))</f>
        <v/>
      </c>
      <c r="J7" s="11">
        <f>IF(7&lt;=6,Gia_dinh!$F$10,IF(7&lt;=18,Gia_dinh!$F$11,Gia_dinh!$F$12))</f>
        <v/>
      </c>
      <c r="K7" s="11">
        <f>IF(8&lt;=6,Gia_dinh!$F$10,IF(8&lt;=18,Gia_dinh!$F$11,Gia_dinh!$F$12))</f>
        <v/>
      </c>
      <c r="L7" s="11">
        <f>IF(9&lt;=6,Gia_dinh!$F$10,IF(9&lt;=18,Gia_dinh!$F$11,Gia_dinh!$F$12))</f>
        <v/>
      </c>
      <c r="M7" s="11">
        <f>IF(10&lt;=6,Gia_dinh!$F$10,IF(10&lt;=18,Gia_dinh!$F$11,Gia_dinh!$F$12))</f>
        <v/>
      </c>
      <c r="N7" s="11">
        <f>IF(11&lt;=6,Gia_dinh!$F$10,IF(11&lt;=18,Gia_dinh!$F$11,Gia_dinh!$F$12))</f>
        <v/>
      </c>
      <c r="O7" s="11">
        <f>IF(12&lt;=6,Gia_dinh!$F$10,IF(12&lt;=18,Gia_dinh!$F$11,Gia_dinh!$F$12))</f>
        <v/>
      </c>
      <c r="P7" s="11">
        <f>IF(13&lt;=6,Gia_dinh!$F$10,IF(13&lt;=18,Gia_dinh!$F$11,Gia_dinh!$F$12))</f>
        <v/>
      </c>
      <c r="Q7" s="11">
        <f>IF(14&lt;=6,Gia_dinh!$F$10,IF(14&lt;=18,Gia_dinh!$F$11,Gia_dinh!$F$12))</f>
        <v/>
      </c>
      <c r="R7" s="11">
        <f>IF(15&lt;=6,Gia_dinh!$F$10,IF(15&lt;=18,Gia_dinh!$F$11,Gia_dinh!$F$12))</f>
        <v/>
      </c>
      <c r="S7" s="11">
        <f>IF(16&lt;=6,Gia_dinh!$F$10,IF(16&lt;=18,Gia_dinh!$F$11,Gia_dinh!$F$12))</f>
        <v/>
      </c>
      <c r="T7" s="11">
        <f>IF(17&lt;=6,Gia_dinh!$F$10,IF(17&lt;=18,Gia_dinh!$F$11,Gia_dinh!$F$12))</f>
        <v/>
      </c>
      <c r="U7" s="11">
        <f>IF(18&lt;=6,Gia_dinh!$F$10,IF(18&lt;=18,Gia_dinh!$F$11,Gia_dinh!$F$12))</f>
        <v/>
      </c>
      <c r="V7" s="11">
        <f>IF(19&lt;=6,Gia_dinh!$F$10,IF(19&lt;=18,Gia_dinh!$F$11,Gia_dinh!$F$12))</f>
        <v/>
      </c>
      <c r="W7" s="11">
        <f>IF(20&lt;=6,Gia_dinh!$F$10,IF(20&lt;=18,Gia_dinh!$F$11,Gia_dinh!$F$12))</f>
        <v/>
      </c>
      <c r="X7" s="11">
        <f>IF(21&lt;=6,Gia_dinh!$F$10,IF(21&lt;=18,Gia_dinh!$F$11,Gia_dinh!$F$12))</f>
        <v/>
      </c>
      <c r="Y7" s="11">
        <f>IF(22&lt;=6,Gia_dinh!$F$10,IF(22&lt;=18,Gia_dinh!$F$11,Gia_dinh!$F$12))</f>
        <v/>
      </c>
      <c r="Z7" s="11">
        <f>IF(23&lt;=6,Gia_dinh!$F$10,IF(23&lt;=18,Gia_dinh!$F$11,Gia_dinh!$F$12))</f>
        <v/>
      </c>
      <c r="AA7" s="11">
        <f>IF(24&lt;=6,Gia_dinh!$F$10,IF(24&lt;=18,Gia_dinh!$F$11,Gia_dinh!$F$12))</f>
        <v/>
      </c>
      <c r="AB7" s="11">
        <f>IF(25&lt;=6,Gia_dinh!$F$10,IF(25&lt;=18,Gia_dinh!$F$11,Gia_dinh!$F$12))</f>
        <v/>
      </c>
      <c r="AC7" s="11">
        <f>IF(26&lt;=6,Gia_dinh!$F$10,IF(26&lt;=18,Gia_dinh!$F$11,Gia_dinh!$F$12))</f>
        <v/>
      </c>
      <c r="AD7" s="11">
        <f>IF(27&lt;=6,Gia_dinh!$F$10,IF(27&lt;=18,Gia_dinh!$F$11,Gia_dinh!$F$12))</f>
        <v/>
      </c>
      <c r="AE7" s="11">
        <f>IF(28&lt;=6,Gia_dinh!$F$10,IF(28&lt;=18,Gia_dinh!$F$11,Gia_dinh!$F$12))</f>
        <v/>
      </c>
      <c r="AF7" s="11">
        <f>IF(29&lt;=6,Gia_dinh!$F$10,IF(29&lt;=18,Gia_dinh!$F$11,Gia_dinh!$F$12))</f>
        <v/>
      </c>
      <c r="AG7" s="11">
        <f>IF(30&lt;=6,Gia_dinh!$F$10,IF(30&lt;=18,Gia_dinh!$F$11,Gia_dinh!$F$12))</f>
        <v/>
      </c>
      <c r="AH7" s="11">
        <f>IF(31&lt;=6,Gia_dinh!$F$10,IF(31&lt;=18,Gia_dinh!$F$11,Gia_dinh!$F$12))</f>
        <v/>
      </c>
      <c r="AI7" s="11">
        <f>IF(32&lt;=6,Gia_dinh!$F$10,IF(32&lt;=18,Gia_dinh!$F$11,Gia_dinh!$F$12))</f>
        <v/>
      </c>
      <c r="AJ7" s="11">
        <f>IF(33&lt;=6,Gia_dinh!$F$10,IF(33&lt;=18,Gia_dinh!$F$11,Gia_dinh!$F$12))</f>
        <v/>
      </c>
      <c r="AK7" s="11">
        <f>IF(34&lt;=6,Gia_dinh!$F$10,IF(34&lt;=18,Gia_dinh!$F$11,Gia_dinh!$F$12))</f>
        <v/>
      </c>
      <c r="AL7" s="11">
        <f>IF(35&lt;=6,Gia_dinh!$F$10,IF(35&lt;=18,Gia_dinh!$F$11,Gia_dinh!$F$12))</f>
        <v/>
      </c>
      <c r="AM7" s="11">
        <f>IF(36&lt;=6,Gia_dinh!$F$10,IF(36&lt;=18,Gia_dinh!$F$11,Gia_dinh!$F$12))</f>
        <v/>
      </c>
    </row>
    <row r="8">
      <c r="B8" t="inlineStr">
        <is>
          <t>IP AI ra mắt trong tháng</t>
        </is>
      </c>
      <c r="C8" t="inlineStr">
        <is>
          <t>IP</t>
        </is>
      </c>
      <c r="D8" s="11">
        <f>IF(1&lt;Gia_dinh!$F$13,0,IF(1&lt;Gia_dinh!$F$13+12,Gia_dinh!$F$14,Gia_dinh!$F$15))</f>
        <v/>
      </c>
      <c r="E8" s="11">
        <f>IF(2&lt;Gia_dinh!$F$13,0,IF(2&lt;Gia_dinh!$F$13+12,Gia_dinh!$F$14,Gia_dinh!$F$15))</f>
        <v/>
      </c>
      <c r="F8" s="11">
        <f>IF(3&lt;Gia_dinh!$F$13,0,IF(3&lt;Gia_dinh!$F$13+12,Gia_dinh!$F$14,Gia_dinh!$F$15))</f>
        <v/>
      </c>
      <c r="G8" s="11">
        <f>IF(4&lt;Gia_dinh!$F$13,0,IF(4&lt;Gia_dinh!$F$13+12,Gia_dinh!$F$14,Gia_dinh!$F$15))</f>
        <v/>
      </c>
      <c r="H8" s="11">
        <f>IF(5&lt;Gia_dinh!$F$13,0,IF(5&lt;Gia_dinh!$F$13+12,Gia_dinh!$F$14,Gia_dinh!$F$15))</f>
        <v/>
      </c>
      <c r="I8" s="11">
        <f>IF(6&lt;Gia_dinh!$F$13,0,IF(6&lt;Gia_dinh!$F$13+12,Gia_dinh!$F$14,Gia_dinh!$F$15))</f>
        <v/>
      </c>
      <c r="J8" s="11">
        <f>IF(7&lt;Gia_dinh!$F$13,0,IF(7&lt;Gia_dinh!$F$13+12,Gia_dinh!$F$14,Gia_dinh!$F$15))</f>
        <v/>
      </c>
      <c r="K8" s="11">
        <f>IF(8&lt;Gia_dinh!$F$13,0,IF(8&lt;Gia_dinh!$F$13+12,Gia_dinh!$F$14,Gia_dinh!$F$15))</f>
        <v/>
      </c>
      <c r="L8" s="11">
        <f>IF(9&lt;Gia_dinh!$F$13,0,IF(9&lt;Gia_dinh!$F$13+12,Gia_dinh!$F$14,Gia_dinh!$F$15))</f>
        <v/>
      </c>
      <c r="M8" s="11">
        <f>IF(10&lt;Gia_dinh!$F$13,0,IF(10&lt;Gia_dinh!$F$13+12,Gia_dinh!$F$14,Gia_dinh!$F$15))</f>
        <v/>
      </c>
      <c r="N8" s="11">
        <f>IF(11&lt;Gia_dinh!$F$13,0,IF(11&lt;Gia_dinh!$F$13+12,Gia_dinh!$F$14,Gia_dinh!$F$15))</f>
        <v/>
      </c>
      <c r="O8" s="11">
        <f>IF(12&lt;Gia_dinh!$F$13,0,IF(12&lt;Gia_dinh!$F$13+12,Gia_dinh!$F$14,Gia_dinh!$F$15))</f>
        <v/>
      </c>
      <c r="P8" s="11">
        <f>IF(13&lt;Gia_dinh!$F$13,0,IF(13&lt;Gia_dinh!$F$13+12,Gia_dinh!$F$14,Gia_dinh!$F$15))</f>
        <v/>
      </c>
      <c r="Q8" s="11">
        <f>IF(14&lt;Gia_dinh!$F$13,0,IF(14&lt;Gia_dinh!$F$13+12,Gia_dinh!$F$14,Gia_dinh!$F$15))</f>
        <v/>
      </c>
      <c r="R8" s="11">
        <f>IF(15&lt;Gia_dinh!$F$13,0,IF(15&lt;Gia_dinh!$F$13+12,Gia_dinh!$F$14,Gia_dinh!$F$15))</f>
        <v/>
      </c>
      <c r="S8" s="11">
        <f>IF(16&lt;Gia_dinh!$F$13,0,IF(16&lt;Gia_dinh!$F$13+12,Gia_dinh!$F$14,Gia_dinh!$F$15))</f>
        <v/>
      </c>
      <c r="T8" s="11">
        <f>IF(17&lt;Gia_dinh!$F$13,0,IF(17&lt;Gia_dinh!$F$13+12,Gia_dinh!$F$14,Gia_dinh!$F$15))</f>
        <v/>
      </c>
      <c r="U8" s="11">
        <f>IF(18&lt;Gia_dinh!$F$13,0,IF(18&lt;Gia_dinh!$F$13+12,Gia_dinh!$F$14,Gia_dinh!$F$15))</f>
        <v/>
      </c>
      <c r="V8" s="11">
        <f>IF(19&lt;Gia_dinh!$F$13,0,IF(19&lt;Gia_dinh!$F$13+12,Gia_dinh!$F$14,Gia_dinh!$F$15))</f>
        <v/>
      </c>
      <c r="W8" s="11">
        <f>IF(20&lt;Gia_dinh!$F$13,0,IF(20&lt;Gia_dinh!$F$13+12,Gia_dinh!$F$14,Gia_dinh!$F$15))</f>
        <v/>
      </c>
      <c r="X8" s="11">
        <f>IF(21&lt;Gia_dinh!$F$13,0,IF(21&lt;Gia_dinh!$F$13+12,Gia_dinh!$F$14,Gia_dinh!$F$15))</f>
        <v/>
      </c>
      <c r="Y8" s="11">
        <f>IF(22&lt;Gia_dinh!$F$13,0,IF(22&lt;Gia_dinh!$F$13+12,Gia_dinh!$F$14,Gia_dinh!$F$15))</f>
        <v/>
      </c>
      <c r="Z8" s="11">
        <f>IF(23&lt;Gia_dinh!$F$13,0,IF(23&lt;Gia_dinh!$F$13+12,Gia_dinh!$F$14,Gia_dinh!$F$15))</f>
        <v/>
      </c>
      <c r="AA8" s="11">
        <f>IF(24&lt;Gia_dinh!$F$13,0,IF(24&lt;Gia_dinh!$F$13+12,Gia_dinh!$F$14,Gia_dinh!$F$15))</f>
        <v/>
      </c>
      <c r="AB8" s="11">
        <f>IF(25&lt;Gia_dinh!$F$13,0,IF(25&lt;Gia_dinh!$F$13+12,Gia_dinh!$F$14,Gia_dinh!$F$15))</f>
        <v/>
      </c>
      <c r="AC8" s="11">
        <f>IF(26&lt;Gia_dinh!$F$13,0,IF(26&lt;Gia_dinh!$F$13+12,Gia_dinh!$F$14,Gia_dinh!$F$15))</f>
        <v/>
      </c>
      <c r="AD8" s="11">
        <f>IF(27&lt;Gia_dinh!$F$13,0,IF(27&lt;Gia_dinh!$F$13+12,Gia_dinh!$F$14,Gia_dinh!$F$15))</f>
        <v/>
      </c>
      <c r="AE8" s="11">
        <f>IF(28&lt;Gia_dinh!$F$13,0,IF(28&lt;Gia_dinh!$F$13+12,Gia_dinh!$F$14,Gia_dinh!$F$15))</f>
        <v/>
      </c>
      <c r="AF8" s="11">
        <f>IF(29&lt;Gia_dinh!$F$13,0,IF(29&lt;Gia_dinh!$F$13+12,Gia_dinh!$F$14,Gia_dinh!$F$15))</f>
        <v/>
      </c>
      <c r="AG8" s="11">
        <f>IF(30&lt;Gia_dinh!$F$13,0,IF(30&lt;Gia_dinh!$F$13+12,Gia_dinh!$F$14,Gia_dinh!$F$15))</f>
        <v/>
      </c>
      <c r="AH8" s="11">
        <f>IF(31&lt;Gia_dinh!$F$13,0,IF(31&lt;Gia_dinh!$F$13+12,Gia_dinh!$F$14,Gia_dinh!$F$15))</f>
        <v/>
      </c>
      <c r="AI8" s="11">
        <f>IF(32&lt;Gia_dinh!$F$13,0,IF(32&lt;Gia_dinh!$F$13+12,Gia_dinh!$F$14,Gia_dinh!$F$15))</f>
        <v/>
      </c>
      <c r="AJ8" s="11">
        <f>IF(33&lt;Gia_dinh!$F$13,0,IF(33&lt;Gia_dinh!$F$13+12,Gia_dinh!$F$14,Gia_dinh!$F$15))</f>
        <v/>
      </c>
      <c r="AK8" s="11">
        <f>IF(34&lt;Gia_dinh!$F$13,0,IF(34&lt;Gia_dinh!$F$13+12,Gia_dinh!$F$14,Gia_dinh!$F$15))</f>
        <v/>
      </c>
      <c r="AL8" s="11">
        <f>IF(35&lt;Gia_dinh!$F$13,0,IF(35&lt;Gia_dinh!$F$13+12,Gia_dinh!$F$14,Gia_dinh!$F$15))</f>
        <v/>
      </c>
      <c r="AM8" s="11">
        <f>IF(36&lt;Gia_dinh!$F$13,0,IF(36&lt;Gia_dinh!$F$13+12,Gia_dinh!$F$14,Gia_dinh!$F$15))</f>
        <v/>
      </c>
    </row>
    <row r="10">
      <c r="B10" s="4" t="inlineStr">
        <is>
          <t>A. SỐ IP NGƯỜI THẬT THEO TUỔI (hàng = tuổi, cột = tháng)</t>
        </is>
      </c>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row>
    <row r="11">
      <c r="B11" s="8" t="inlineStr">
        <is>
          <t>Tuổi (tháng)</t>
        </is>
      </c>
      <c r="C11" s="8" t="inlineStr">
        <is>
          <t>Tỷ lệ sống sót</t>
        </is>
      </c>
    </row>
    <row r="12">
      <c r="B12" t="n">
        <v>0</v>
      </c>
      <c r="C12" s="12">
        <f>Don_vi_IP!D5</f>
        <v/>
      </c>
      <c r="D12" s="25">
        <f>D7*$C12</f>
        <v/>
      </c>
      <c r="E12" s="25">
        <f>E7*$C12</f>
        <v/>
      </c>
      <c r="F12" s="25">
        <f>F7*$C12</f>
        <v/>
      </c>
      <c r="G12" s="25">
        <f>G7*$C12</f>
        <v/>
      </c>
      <c r="H12" s="25">
        <f>H7*$C12</f>
        <v/>
      </c>
      <c r="I12" s="25">
        <f>I7*$C12</f>
        <v/>
      </c>
      <c r="J12" s="25">
        <f>J7*$C12</f>
        <v/>
      </c>
      <c r="K12" s="25">
        <f>K7*$C12</f>
        <v/>
      </c>
      <c r="L12" s="25">
        <f>L7*$C12</f>
        <v/>
      </c>
      <c r="M12" s="25">
        <f>M7*$C12</f>
        <v/>
      </c>
      <c r="N12" s="25">
        <f>N7*$C12</f>
        <v/>
      </c>
      <c r="O12" s="25">
        <f>O7*$C12</f>
        <v/>
      </c>
      <c r="P12" s="25">
        <f>P7*$C12</f>
        <v/>
      </c>
      <c r="Q12" s="25">
        <f>Q7*$C12</f>
        <v/>
      </c>
      <c r="R12" s="25">
        <f>R7*$C12</f>
        <v/>
      </c>
      <c r="S12" s="25">
        <f>S7*$C12</f>
        <v/>
      </c>
      <c r="T12" s="25">
        <f>T7*$C12</f>
        <v/>
      </c>
      <c r="U12" s="25">
        <f>U7*$C12</f>
        <v/>
      </c>
      <c r="V12" s="25">
        <f>V7*$C12</f>
        <v/>
      </c>
      <c r="W12" s="25">
        <f>W7*$C12</f>
        <v/>
      </c>
      <c r="X12" s="25">
        <f>X7*$C12</f>
        <v/>
      </c>
      <c r="Y12" s="25">
        <f>Y7*$C12</f>
        <v/>
      </c>
      <c r="Z12" s="25">
        <f>Z7*$C12</f>
        <v/>
      </c>
      <c r="AA12" s="25">
        <f>AA7*$C12</f>
        <v/>
      </c>
      <c r="AB12" s="25">
        <f>AB7*$C12</f>
        <v/>
      </c>
      <c r="AC12" s="25">
        <f>AC7*$C12</f>
        <v/>
      </c>
      <c r="AD12" s="25">
        <f>AD7*$C12</f>
        <v/>
      </c>
      <c r="AE12" s="25">
        <f>AE7*$C12</f>
        <v/>
      </c>
      <c r="AF12" s="25">
        <f>AF7*$C12</f>
        <v/>
      </c>
      <c r="AG12" s="25">
        <f>AG7*$C12</f>
        <v/>
      </c>
      <c r="AH12" s="25">
        <f>AH7*$C12</f>
        <v/>
      </c>
      <c r="AI12" s="25">
        <f>AI7*$C12</f>
        <v/>
      </c>
      <c r="AJ12" s="25">
        <f>AJ7*$C12</f>
        <v/>
      </c>
      <c r="AK12" s="25">
        <f>AK7*$C12</f>
        <v/>
      </c>
      <c r="AL12" s="25">
        <f>AL7*$C12</f>
        <v/>
      </c>
      <c r="AM12" s="25">
        <f>AM7*$C12</f>
        <v/>
      </c>
    </row>
    <row r="13">
      <c r="B13" t="n">
        <v>1</v>
      </c>
      <c r="C13" s="12">
        <f>Don_vi_IP!D6</f>
        <v/>
      </c>
      <c r="E13" s="25">
        <f>D7*$C13</f>
        <v/>
      </c>
      <c r="F13" s="25">
        <f>E7*$C13</f>
        <v/>
      </c>
      <c r="G13" s="25">
        <f>F7*$C13</f>
        <v/>
      </c>
      <c r="H13" s="25">
        <f>G7*$C13</f>
        <v/>
      </c>
      <c r="I13" s="25">
        <f>H7*$C13</f>
        <v/>
      </c>
      <c r="J13" s="25">
        <f>I7*$C13</f>
        <v/>
      </c>
      <c r="K13" s="25">
        <f>J7*$C13</f>
        <v/>
      </c>
      <c r="L13" s="25">
        <f>K7*$C13</f>
        <v/>
      </c>
      <c r="M13" s="25">
        <f>L7*$C13</f>
        <v/>
      </c>
      <c r="N13" s="25">
        <f>M7*$C13</f>
        <v/>
      </c>
      <c r="O13" s="25">
        <f>N7*$C13</f>
        <v/>
      </c>
      <c r="P13" s="25">
        <f>O7*$C13</f>
        <v/>
      </c>
      <c r="Q13" s="25">
        <f>P7*$C13</f>
        <v/>
      </c>
      <c r="R13" s="25">
        <f>Q7*$C13</f>
        <v/>
      </c>
      <c r="S13" s="25">
        <f>R7*$C13</f>
        <v/>
      </c>
      <c r="T13" s="25">
        <f>S7*$C13</f>
        <v/>
      </c>
      <c r="U13" s="25">
        <f>T7*$C13</f>
        <v/>
      </c>
      <c r="V13" s="25">
        <f>U7*$C13</f>
        <v/>
      </c>
      <c r="W13" s="25">
        <f>V7*$C13</f>
        <v/>
      </c>
      <c r="X13" s="25">
        <f>W7*$C13</f>
        <v/>
      </c>
      <c r="Y13" s="25">
        <f>X7*$C13</f>
        <v/>
      </c>
      <c r="Z13" s="25">
        <f>Y7*$C13</f>
        <v/>
      </c>
      <c r="AA13" s="25">
        <f>Z7*$C13</f>
        <v/>
      </c>
      <c r="AB13" s="25">
        <f>AA7*$C13</f>
        <v/>
      </c>
      <c r="AC13" s="25">
        <f>AB7*$C13</f>
        <v/>
      </c>
      <c r="AD13" s="25">
        <f>AC7*$C13</f>
        <v/>
      </c>
      <c r="AE13" s="25">
        <f>AD7*$C13</f>
        <v/>
      </c>
      <c r="AF13" s="25">
        <f>AE7*$C13</f>
        <v/>
      </c>
      <c r="AG13" s="25">
        <f>AF7*$C13</f>
        <v/>
      </c>
      <c r="AH13" s="25">
        <f>AG7*$C13</f>
        <v/>
      </c>
      <c r="AI13" s="25">
        <f>AH7*$C13</f>
        <v/>
      </c>
      <c r="AJ13" s="25">
        <f>AI7*$C13</f>
        <v/>
      </c>
      <c r="AK13" s="25">
        <f>AJ7*$C13</f>
        <v/>
      </c>
      <c r="AL13" s="25">
        <f>AK7*$C13</f>
        <v/>
      </c>
      <c r="AM13" s="25">
        <f>AL7*$C13</f>
        <v/>
      </c>
    </row>
    <row r="14">
      <c r="B14" t="n">
        <v>2</v>
      </c>
      <c r="C14" s="12">
        <f>Don_vi_IP!D7</f>
        <v/>
      </c>
      <c r="F14" s="25">
        <f>D7*$C14</f>
        <v/>
      </c>
      <c r="G14" s="25">
        <f>E7*$C14</f>
        <v/>
      </c>
      <c r="H14" s="25">
        <f>F7*$C14</f>
        <v/>
      </c>
      <c r="I14" s="25">
        <f>G7*$C14</f>
        <v/>
      </c>
      <c r="J14" s="25">
        <f>H7*$C14</f>
        <v/>
      </c>
      <c r="K14" s="25">
        <f>I7*$C14</f>
        <v/>
      </c>
      <c r="L14" s="25">
        <f>J7*$C14</f>
        <v/>
      </c>
      <c r="M14" s="25">
        <f>K7*$C14</f>
        <v/>
      </c>
      <c r="N14" s="25">
        <f>L7*$C14</f>
        <v/>
      </c>
      <c r="O14" s="25">
        <f>M7*$C14</f>
        <v/>
      </c>
      <c r="P14" s="25">
        <f>N7*$C14</f>
        <v/>
      </c>
      <c r="Q14" s="25">
        <f>O7*$C14</f>
        <v/>
      </c>
      <c r="R14" s="25">
        <f>P7*$C14</f>
        <v/>
      </c>
      <c r="S14" s="25">
        <f>Q7*$C14</f>
        <v/>
      </c>
      <c r="T14" s="25">
        <f>R7*$C14</f>
        <v/>
      </c>
      <c r="U14" s="25">
        <f>S7*$C14</f>
        <v/>
      </c>
      <c r="V14" s="25">
        <f>T7*$C14</f>
        <v/>
      </c>
      <c r="W14" s="25">
        <f>U7*$C14</f>
        <v/>
      </c>
      <c r="X14" s="25">
        <f>V7*$C14</f>
        <v/>
      </c>
      <c r="Y14" s="25">
        <f>W7*$C14</f>
        <v/>
      </c>
      <c r="Z14" s="25">
        <f>X7*$C14</f>
        <v/>
      </c>
      <c r="AA14" s="25">
        <f>Y7*$C14</f>
        <v/>
      </c>
      <c r="AB14" s="25">
        <f>Z7*$C14</f>
        <v/>
      </c>
      <c r="AC14" s="25">
        <f>AA7*$C14</f>
        <v/>
      </c>
      <c r="AD14" s="25">
        <f>AB7*$C14</f>
        <v/>
      </c>
      <c r="AE14" s="25">
        <f>AC7*$C14</f>
        <v/>
      </c>
      <c r="AF14" s="25">
        <f>AD7*$C14</f>
        <v/>
      </c>
      <c r="AG14" s="25">
        <f>AE7*$C14</f>
        <v/>
      </c>
      <c r="AH14" s="25">
        <f>AF7*$C14</f>
        <v/>
      </c>
      <c r="AI14" s="25">
        <f>AG7*$C14</f>
        <v/>
      </c>
      <c r="AJ14" s="25">
        <f>AH7*$C14</f>
        <v/>
      </c>
      <c r="AK14" s="25">
        <f>AI7*$C14</f>
        <v/>
      </c>
      <c r="AL14" s="25">
        <f>AJ7*$C14</f>
        <v/>
      </c>
      <c r="AM14" s="25">
        <f>AK7*$C14</f>
        <v/>
      </c>
    </row>
    <row r="15">
      <c r="B15" t="n">
        <v>3</v>
      </c>
      <c r="C15" s="12">
        <f>Don_vi_IP!D8</f>
        <v/>
      </c>
      <c r="G15" s="25">
        <f>D7*$C15</f>
        <v/>
      </c>
      <c r="H15" s="25">
        <f>E7*$C15</f>
        <v/>
      </c>
      <c r="I15" s="25">
        <f>F7*$C15</f>
        <v/>
      </c>
      <c r="J15" s="25">
        <f>G7*$C15</f>
        <v/>
      </c>
      <c r="K15" s="25">
        <f>H7*$C15</f>
        <v/>
      </c>
      <c r="L15" s="25">
        <f>I7*$C15</f>
        <v/>
      </c>
      <c r="M15" s="25">
        <f>J7*$C15</f>
        <v/>
      </c>
      <c r="N15" s="25">
        <f>K7*$C15</f>
        <v/>
      </c>
      <c r="O15" s="25">
        <f>L7*$C15</f>
        <v/>
      </c>
      <c r="P15" s="25">
        <f>M7*$C15</f>
        <v/>
      </c>
      <c r="Q15" s="25">
        <f>N7*$C15</f>
        <v/>
      </c>
      <c r="R15" s="25">
        <f>O7*$C15</f>
        <v/>
      </c>
      <c r="S15" s="25">
        <f>P7*$C15</f>
        <v/>
      </c>
      <c r="T15" s="25">
        <f>Q7*$C15</f>
        <v/>
      </c>
      <c r="U15" s="25">
        <f>R7*$C15</f>
        <v/>
      </c>
      <c r="V15" s="25">
        <f>S7*$C15</f>
        <v/>
      </c>
      <c r="W15" s="25">
        <f>T7*$C15</f>
        <v/>
      </c>
      <c r="X15" s="25">
        <f>U7*$C15</f>
        <v/>
      </c>
      <c r="Y15" s="25">
        <f>V7*$C15</f>
        <v/>
      </c>
      <c r="Z15" s="25">
        <f>W7*$C15</f>
        <v/>
      </c>
      <c r="AA15" s="25">
        <f>X7*$C15</f>
        <v/>
      </c>
      <c r="AB15" s="25">
        <f>Y7*$C15</f>
        <v/>
      </c>
      <c r="AC15" s="25">
        <f>Z7*$C15</f>
        <v/>
      </c>
      <c r="AD15" s="25">
        <f>AA7*$C15</f>
        <v/>
      </c>
      <c r="AE15" s="25">
        <f>AB7*$C15</f>
        <v/>
      </c>
      <c r="AF15" s="25">
        <f>AC7*$C15</f>
        <v/>
      </c>
      <c r="AG15" s="25">
        <f>AD7*$C15</f>
        <v/>
      </c>
      <c r="AH15" s="25">
        <f>AE7*$C15</f>
        <v/>
      </c>
      <c r="AI15" s="25">
        <f>AF7*$C15</f>
        <v/>
      </c>
      <c r="AJ15" s="25">
        <f>AG7*$C15</f>
        <v/>
      </c>
      <c r="AK15" s="25">
        <f>AH7*$C15</f>
        <v/>
      </c>
      <c r="AL15" s="25">
        <f>AI7*$C15</f>
        <v/>
      </c>
      <c r="AM15" s="25">
        <f>AJ7*$C15</f>
        <v/>
      </c>
    </row>
    <row r="16">
      <c r="B16" t="n">
        <v>4</v>
      </c>
      <c r="C16" s="12">
        <f>Don_vi_IP!D9</f>
        <v/>
      </c>
      <c r="H16" s="25">
        <f>D7*$C16</f>
        <v/>
      </c>
      <c r="I16" s="25">
        <f>E7*$C16</f>
        <v/>
      </c>
      <c r="J16" s="25">
        <f>F7*$C16</f>
        <v/>
      </c>
      <c r="K16" s="25">
        <f>G7*$C16</f>
        <v/>
      </c>
      <c r="L16" s="25">
        <f>H7*$C16</f>
        <v/>
      </c>
      <c r="M16" s="25">
        <f>I7*$C16</f>
        <v/>
      </c>
      <c r="N16" s="25">
        <f>J7*$C16</f>
        <v/>
      </c>
      <c r="O16" s="25">
        <f>K7*$C16</f>
        <v/>
      </c>
      <c r="P16" s="25">
        <f>L7*$C16</f>
        <v/>
      </c>
      <c r="Q16" s="25">
        <f>M7*$C16</f>
        <v/>
      </c>
      <c r="R16" s="25">
        <f>N7*$C16</f>
        <v/>
      </c>
      <c r="S16" s="25">
        <f>O7*$C16</f>
        <v/>
      </c>
      <c r="T16" s="25">
        <f>P7*$C16</f>
        <v/>
      </c>
      <c r="U16" s="25">
        <f>Q7*$C16</f>
        <v/>
      </c>
      <c r="V16" s="25">
        <f>R7*$C16</f>
        <v/>
      </c>
      <c r="W16" s="25">
        <f>S7*$C16</f>
        <v/>
      </c>
      <c r="X16" s="25">
        <f>T7*$C16</f>
        <v/>
      </c>
      <c r="Y16" s="25">
        <f>U7*$C16</f>
        <v/>
      </c>
      <c r="Z16" s="25">
        <f>V7*$C16</f>
        <v/>
      </c>
      <c r="AA16" s="25">
        <f>W7*$C16</f>
        <v/>
      </c>
      <c r="AB16" s="25">
        <f>X7*$C16</f>
        <v/>
      </c>
      <c r="AC16" s="25">
        <f>Y7*$C16</f>
        <v/>
      </c>
      <c r="AD16" s="25">
        <f>Z7*$C16</f>
        <v/>
      </c>
      <c r="AE16" s="25">
        <f>AA7*$C16</f>
        <v/>
      </c>
      <c r="AF16" s="25">
        <f>AB7*$C16</f>
        <v/>
      </c>
      <c r="AG16" s="25">
        <f>AC7*$C16</f>
        <v/>
      </c>
      <c r="AH16" s="25">
        <f>AD7*$C16</f>
        <v/>
      </c>
      <c r="AI16" s="25">
        <f>AE7*$C16</f>
        <v/>
      </c>
      <c r="AJ16" s="25">
        <f>AF7*$C16</f>
        <v/>
      </c>
      <c r="AK16" s="25">
        <f>AG7*$C16</f>
        <v/>
      </c>
      <c r="AL16" s="25">
        <f>AH7*$C16</f>
        <v/>
      </c>
      <c r="AM16" s="25">
        <f>AI7*$C16</f>
        <v/>
      </c>
    </row>
    <row r="17">
      <c r="B17" t="n">
        <v>5</v>
      </c>
      <c r="C17" s="12">
        <f>Don_vi_IP!D10</f>
        <v/>
      </c>
      <c r="I17" s="25">
        <f>D7*$C17</f>
        <v/>
      </c>
      <c r="J17" s="25">
        <f>E7*$C17</f>
        <v/>
      </c>
      <c r="K17" s="25">
        <f>F7*$C17</f>
        <v/>
      </c>
      <c r="L17" s="25">
        <f>G7*$C17</f>
        <v/>
      </c>
      <c r="M17" s="25">
        <f>H7*$C17</f>
        <v/>
      </c>
      <c r="N17" s="25">
        <f>I7*$C17</f>
        <v/>
      </c>
      <c r="O17" s="25">
        <f>J7*$C17</f>
        <v/>
      </c>
      <c r="P17" s="25">
        <f>K7*$C17</f>
        <v/>
      </c>
      <c r="Q17" s="25">
        <f>L7*$C17</f>
        <v/>
      </c>
      <c r="R17" s="25">
        <f>M7*$C17</f>
        <v/>
      </c>
      <c r="S17" s="25">
        <f>N7*$C17</f>
        <v/>
      </c>
      <c r="T17" s="25">
        <f>O7*$C17</f>
        <v/>
      </c>
      <c r="U17" s="25">
        <f>P7*$C17</f>
        <v/>
      </c>
      <c r="V17" s="25">
        <f>Q7*$C17</f>
        <v/>
      </c>
      <c r="W17" s="25">
        <f>R7*$C17</f>
        <v/>
      </c>
      <c r="X17" s="25">
        <f>S7*$C17</f>
        <v/>
      </c>
      <c r="Y17" s="25">
        <f>T7*$C17</f>
        <v/>
      </c>
      <c r="Z17" s="25">
        <f>U7*$C17</f>
        <v/>
      </c>
      <c r="AA17" s="25">
        <f>V7*$C17</f>
        <v/>
      </c>
      <c r="AB17" s="25">
        <f>W7*$C17</f>
        <v/>
      </c>
      <c r="AC17" s="25">
        <f>X7*$C17</f>
        <v/>
      </c>
      <c r="AD17" s="25">
        <f>Y7*$C17</f>
        <v/>
      </c>
      <c r="AE17" s="25">
        <f>Z7*$C17</f>
        <v/>
      </c>
      <c r="AF17" s="25">
        <f>AA7*$C17</f>
        <v/>
      </c>
      <c r="AG17" s="25">
        <f>AB7*$C17</f>
        <v/>
      </c>
      <c r="AH17" s="25">
        <f>AC7*$C17</f>
        <v/>
      </c>
      <c r="AI17" s="25">
        <f>AD7*$C17</f>
        <v/>
      </c>
      <c r="AJ17" s="25">
        <f>AE7*$C17</f>
        <v/>
      </c>
      <c r="AK17" s="25">
        <f>AF7*$C17</f>
        <v/>
      </c>
      <c r="AL17" s="25">
        <f>AG7*$C17</f>
        <v/>
      </c>
      <c r="AM17" s="25">
        <f>AH7*$C17</f>
        <v/>
      </c>
    </row>
    <row r="18">
      <c r="B18" t="n">
        <v>6</v>
      </c>
      <c r="C18" s="12">
        <f>Don_vi_IP!D11</f>
        <v/>
      </c>
      <c r="J18" s="25">
        <f>D7*$C18</f>
        <v/>
      </c>
      <c r="K18" s="25">
        <f>E7*$C18</f>
        <v/>
      </c>
      <c r="L18" s="25">
        <f>F7*$C18</f>
        <v/>
      </c>
      <c r="M18" s="25">
        <f>G7*$C18</f>
        <v/>
      </c>
      <c r="N18" s="25">
        <f>H7*$C18</f>
        <v/>
      </c>
      <c r="O18" s="25">
        <f>I7*$C18</f>
        <v/>
      </c>
      <c r="P18" s="25">
        <f>J7*$C18</f>
        <v/>
      </c>
      <c r="Q18" s="25">
        <f>K7*$C18</f>
        <v/>
      </c>
      <c r="R18" s="25">
        <f>L7*$C18</f>
        <v/>
      </c>
      <c r="S18" s="25">
        <f>M7*$C18</f>
        <v/>
      </c>
      <c r="T18" s="25">
        <f>N7*$C18</f>
        <v/>
      </c>
      <c r="U18" s="25">
        <f>O7*$C18</f>
        <v/>
      </c>
      <c r="V18" s="25">
        <f>P7*$C18</f>
        <v/>
      </c>
      <c r="W18" s="25">
        <f>Q7*$C18</f>
        <v/>
      </c>
      <c r="X18" s="25">
        <f>R7*$C18</f>
        <v/>
      </c>
      <c r="Y18" s="25">
        <f>S7*$C18</f>
        <v/>
      </c>
      <c r="Z18" s="25">
        <f>T7*$C18</f>
        <v/>
      </c>
      <c r="AA18" s="25">
        <f>U7*$C18</f>
        <v/>
      </c>
      <c r="AB18" s="25">
        <f>V7*$C18</f>
        <v/>
      </c>
      <c r="AC18" s="25">
        <f>W7*$C18</f>
        <v/>
      </c>
      <c r="AD18" s="25">
        <f>X7*$C18</f>
        <v/>
      </c>
      <c r="AE18" s="25">
        <f>Y7*$C18</f>
        <v/>
      </c>
      <c r="AF18" s="25">
        <f>Z7*$C18</f>
        <v/>
      </c>
      <c r="AG18" s="25">
        <f>AA7*$C18</f>
        <v/>
      </c>
      <c r="AH18" s="25">
        <f>AB7*$C18</f>
        <v/>
      </c>
      <c r="AI18" s="25">
        <f>AC7*$C18</f>
        <v/>
      </c>
      <c r="AJ18" s="25">
        <f>AD7*$C18</f>
        <v/>
      </c>
      <c r="AK18" s="25">
        <f>AE7*$C18</f>
        <v/>
      </c>
      <c r="AL18" s="25">
        <f>AF7*$C18</f>
        <v/>
      </c>
      <c r="AM18" s="25">
        <f>AG7*$C18</f>
        <v/>
      </c>
    </row>
    <row r="19">
      <c r="B19" t="n">
        <v>7</v>
      </c>
      <c r="C19" s="12">
        <f>Don_vi_IP!D12</f>
        <v/>
      </c>
      <c r="K19" s="25">
        <f>D7*$C19</f>
        <v/>
      </c>
      <c r="L19" s="25">
        <f>E7*$C19</f>
        <v/>
      </c>
      <c r="M19" s="25">
        <f>F7*$C19</f>
        <v/>
      </c>
      <c r="N19" s="25">
        <f>G7*$C19</f>
        <v/>
      </c>
      <c r="O19" s="25">
        <f>H7*$C19</f>
        <v/>
      </c>
      <c r="P19" s="25">
        <f>I7*$C19</f>
        <v/>
      </c>
      <c r="Q19" s="25">
        <f>J7*$C19</f>
        <v/>
      </c>
      <c r="R19" s="25">
        <f>K7*$C19</f>
        <v/>
      </c>
      <c r="S19" s="25">
        <f>L7*$C19</f>
        <v/>
      </c>
      <c r="T19" s="25">
        <f>M7*$C19</f>
        <v/>
      </c>
      <c r="U19" s="25">
        <f>N7*$C19</f>
        <v/>
      </c>
      <c r="V19" s="25">
        <f>O7*$C19</f>
        <v/>
      </c>
      <c r="W19" s="25">
        <f>P7*$C19</f>
        <v/>
      </c>
      <c r="X19" s="25">
        <f>Q7*$C19</f>
        <v/>
      </c>
      <c r="Y19" s="25">
        <f>R7*$C19</f>
        <v/>
      </c>
      <c r="Z19" s="25">
        <f>S7*$C19</f>
        <v/>
      </c>
      <c r="AA19" s="25">
        <f>T7*$C19</f>
        <v/>
      </c>
      <c r="AB19" s="25">
        <f>U7*$C19</f>
        <v/>
      </c>
      <c r="AC19" s="25">
        <f>V7*$C19</f>
        <v/>
      </c>
      <c r="AD19" s="25">
        <f>W7*$C19</f>
        <v/>
      </c>
      <c r="AE19" s="25">
        <f>X7*$C19</f>
        <v/>
      </c>
      <c r="AF19" s="25">
        <f>Y7*$C19</f>
        <v/>
      </c>
      <c r="AG19" s="25">
        <f>Z7*$C19</f>
        <v/>
      </c>
      <c r="AH19" s="25">
        <f>AA7*$C19</f>
        <v/>
      </c>
      <c r="AI19" s="25">
        <f>AB7*$C19</f>
        <v/>
      </c>
      <c r="AJ19" s="25">
        <f>AC7*$C19</f>
        <v/>
      </c>
      <c r="AK19" s="25">
        <f>AD7*$C19</f>
        <v/>
      </c>
      <c r="AL19" s="25">
        <f>AE7*$C19</f>
        <v/>
      </c>
      <c r="AM19" s="25">
        <f>AF7*$C19</f>
        <v/>
      </c>
    </row>
    <row r="20">
      <c r="B20" t="n">
        <v>8</v>
      </c>
      <c r="C20" s="12">
        <f>Don_vi_IP!D13</f>
        <v/>
      </c>
      <c r="L20" s="25">
        <f>D7*$C20</f>
        <v/>
      </c>
      <c r="M20" s="25">
        <f>E7*$C20</f>
        <v/>
      </c>
      <c r="N20" s="25">
        <f>F7*$C20</f>
        <v/>
      </c>
      <c r="O20" s="25">
        <f>G7*$C20</f>
        <v/>
      </c>
      <c r="P20" s="25">
        <f>H7*$C20</f>
        <v/>
      </c>
      <c r="Q20" s="25">
        <f>I7*$C20</f>
        <v/>
      </c>
      <c r="R20" s="25">
        <f>J7*$C20</f>
        <v/>
      </c>
      <c r="S20" s="25">
        <f>K7*$C20</f>
        <v/>
      </c>
      <c r="T20" s="25">
        <f>L7*$C20</f>
        <v/>
      </c>
      <c r="U20" s="25">
        <f>M7*$C20</f>
        <v/>
      </c>
      <c r="V20" s="25">
        <f>N7*$C20</f>
        <v/>
      </c>
      <c r="W20" s="25">
        <f>O7*$C20</f>
        <v/>
      </c>
      <c r="X20" s="25">
        <f>P7*$C20</f>
        <v/>
      </c>
      <c r="Y20" s="25">
        <f>Q7*$C20</f>
        <v/>
      </c>
      <c r="Z20" s="25">
        <f>R7*$C20</f>
        <v/>
      </c>
      <c r="AA20" s="25">
        <f>S7*$C20</f>
        <v/>
      </c>
      <c r="AB20" s="25">
        <f>T7*$C20</f>
        <v/>
      </c>
      <c r="AC20" s="25">
        <f>U7*$C20</f>
        <v/>
      </c>
      <c r="AD20" s="25">
        <f>V7*$C20</f>
        <v/>
      </c>
      <c r="AE20" s="25">
        <f>W7*$C20</f>
        <v/>
      </c>
      <c r="AF20" s="25">
        <f>X7*$C20</f>
        <v/>
      </c>
      <c r="AG20" s="25">
        <f>Y7*$C20</f>
        <v/>
      </c>
      <c r="AH20" s="25">
        <f>Z7*$C20</f>
        <v/>
      </c>
      <c r="AI20" s="25">
        <f>AA7*$C20</f>
        <v/>
      </c>
      <c r="AJ20" s="25">
        <f>AB7*$C20</f>
        <v/>
      </c>
      <c r="AK20" s="25">
        <f>AC7*$C20</f>
        <v/>
      </c>
      <c r="AL20" s="25">
        <f>AD7*$C20</f>
        <v/>
      </c>
      <c r="AM20" s="25">
        <f>AE7*$C20</f>
        <v/>
      </c>
    </row>
    <row r="21">
      <c r="B21" t="n">
        <v>9</v>
      </c>
      <c r="C21" s="12">
        <f>Don_vi_IP!D14</f>
        <v/>
      </c>
      <c r="M21" s="25">
        <f>D7*$C21</f>
        <v/>
      </c>
      <c r="N21" s="25">
        <f>E7*$C21</f>
        <v/>
      </c>
      <c r="O21" s="25">
        <f>F7*$C21</f>
        <v/>
      </c>
      <c r="P21" s="25">
        <f>G7*$C21</f>
        <v/>
      </c>
      <c r="Q21" s="25">
        <f>H7*$C21</f>
        <v/>
      </c>
      <c r="R21" s="25">
        <f>I7*$C21</f>
        <v/>
      </c>
      <c r="S21" s="25">
        <f>J7*$C21</f>
        <v/>
      </c>
      <c r="T21" s="25">
        <f>K7*$C21</f>
        <v/>
      </c>
      <c r="U21" s="25">
        <f>L7*$C21</f>
        <v/>
      </c>
      <c r="V21" s="25">
        <f>M7*$C21</f>
        <v/>
      </c>
      <c r="W21" s="25">
        <f>N7*$C21</f>
        <v/>
      </c>
      <c r="X21" s="25">
        <f>O7*$C21</f>
        <v/>
      </c>
      <c r="Y21" s="25">
        <f>P7*$C21</f>
        <v/>
      </c>
      <c r="Z21" s="25">
        <f>Q7*$C21</f>
        <v/>
      </c>
      <c r="AA21" s="25">
        <f>R7*$C21</f>
        <v/>
      </c>
      <c r="AB21" s="25">
        <f>S7*$C21</f>
        <v/>
      </c>
      <c r="AC21" s="25">
        <f>T7*$C21</f>
        <v/>
      </c>
      <c r="AD21" s="25">
        <f>U7*$C21</f>
        <v/>
      </c>
      <c r="AE21" s="25">
        <f>V7*$C21</f>
        <v/>
      </c>
      <c r="AF21" s="25">
        <f>W7*$C21</f>
        <v/>
      </c>
      <c r="AG21" s="25">
        <f>X7*$C21</f>
        <v/>
      </c>
      <c r="AH21" s="25">
        <f>Y7*$C21</f>
        <v/>
      </c>
      <c r="AI21" s="25">
        <f>Z7*$C21</f>
        <v/>
      </c>
      <c r="AJ21" s="25">
        <f>AA7*$C21</f>
        <v/>
      </c>
      <c r="AK21" s="25">
        <f>AB7*$C21</f>
        <v/>
      </c>
      <c r="AL21" s="25">
        <f>AC7*$C21</f>
        <v/>
      </c>
      <c r="AM21" s="25">
        <f>AD7*$C21</f>
        <v/>
      </c>
    </row>
    <row r="22">
      <c r="B22" t="n">
        <v>10</v>
      </c>
      <c r="C22" s="12">
        <f>Don_vi_IP!D15</f>
        <v/>
      </c>
      <c r="N22" s="25">
        <f>D7*$C22</f>
        <v/>
      </c>
      <c r="O22" s="25">
        <f>E7*$C22</f>
        <v/>
      </c>
      <c r="P22" s="25">
        <f>F7*$C22</f>
        <v/>
      </c>
      <c r="Q22" s="25">
        <f>G7*$C22</f>
        <v/>
      </c>
      <c r="R22" s="25">
        <f>H7*$C22</f>
        <v/>
      </c>
      <c r="S22" s="25">
        <f>I7*$C22</f>
        <v/>
      </c>
      <c r="T22" s="25">
        <f>J7*$C22</f>
        <v/>
      </c>
      <c r="U22" s="25">
        <f>K7*$C22</f>
        <v/>
      </c>
      <c r="V22" s="25">
        <f>L7*$C22</f>
        <v/>
      </c>
      <c r="W22" s="25">
        <f>M7*$C22</f>
        <v/>
      </c>
      <c r="X22" s="25">
        <f>N7*$C22</f>
        <v/>
      </c>
      <c r="Y22" s="25">
        <f>O7*$C22</f>
        <v/>
      </c>
      <c r="Z22" s="25">
        <f>P7*$C22</f>
        <v/>
      </c>
      <c r="AA22" s="25">
        <f>Q7*$C22</f>
        <v/>
      </c>
      <c r="AB22" s="25">
        <f>R7*$C22</f>
        <v/>
      </c>
      <c r="AC22" s="25">
        <f>S7*$C22</f>
        <v/>
      </c>
      <c r="AD22" s="25">
        <f>T7*$C22</f>
        <v/>
      </c>
      <c r="AE22" s="25">
        <f>U7*$C22</f>
        <v/>
      </c>
      <c r="AF22" s="25">
        <f>V7*$C22</f>
        <v/>
      </c>
      <c r="AG22" s="25">
        <f>W7*$C22</f>
        <v/>
      </c>
      <c r="AH22" s="25">
        <f>X7*$C22</f>
        <v/>
      </c>
      <c r="AI22" s="25">
        <f>Y7*$C22</f>
        <v/>
      </c>
      <c r="AJ22" s="25">
        <f>Z7*$C22</f>
        <v/>
      </c>
      <c r="AK22" s="25">
        <f>AA7*$C22</f>
        <v/>
      </c>
      <c r="AL22" s="25">
        <f>AB7*$C22</f>
        <v/>
      </c>
      <c r="AM22" s="25">
        <f>AC7*$C22</f>
        <v/>
      </c>
    </row>
    <row r="23">
      <c r="B23" t="n">
        <v>11</v>
      </c>
      <c r="C23" s="12">
        <f>Don_vi_IP!D16</f>
        <v/>
      </c>
      <c r="O23" s="25">
        <f>D7*$C23</f>
        <v/>
      </c>
      <c r="P23" s="25">
        <f>E7*$C23</f>
        <v/>
      </c>
      <c r="Q23" s="25">
        <f>F7*$C23</f>
        <v/>
      </c>
      <c r="R23" s="25">
        <f>G7*$C23</f>
        <v/>
      </c>
      <c r="S23" s="25">
        <f>H7*$C23</f>
        <v/>
      </c>
      <c r="T23" s="25">
        <f>I7*$C23</f>
        <v/>
      </c>
      <c r="U23" s="25">
        <f>J7*$C23</f>
        <v/>
      </c>
      <c r="V23" s="25">
        <f>K7*$C23</f>
        <v/>
      </c>
      <c r="W23" s="25">
        <f>L7*$C23</f>
        <v/>
      </c>
      <c r="X23" s="25">
        <f>M7*$C23</f>
        <v/>
      </c>
      <c r="Y23" s="25">
        <f>N7*$C23</f>
        <v/>
      </c>
      <c r="Z23" s="25">
        <f>O7*$C23</f>
        <v/>
      </c>
      <c r="AA23" s="25">
        <f>P7*$C23</f>
        <v/>
      </c>
      <c r="AB23" s="25">
        <f>Q7*$C23</f>
        <v/>
      </c>
      <c r="AC23" s="25">
        <f>R7*$C23</f>
        <v/>
      </c>
      <c r="AD23" s="25">
        <f>S7*$C23</f>
        <v/>
      </c>
      <c r="AE23" s="25">
        <f>T7*$C23</f>
        <v/>
      </c>
      <c r="AF23" s="25">
        <f>U7*$C23</f>
        <v/>
      </c>
      <c r="AG23" s="25">
        <f>V7*$C23</f>
        <v/>
      </c>
      <c r="AH23" s="25">
        <f>W7*$C23</f>
        <v/>
      </c>
      <c r="AI23" s="25">
        <f>X7*$C23</f>
        <v/>
      </c>
      <c r="AJ23" s="25">
        <f>Y7*$C23</f>
        <v/>
      </c>
      <c r="AK23" s="25">
        <f>Z7*$C23</f>
        <v/>
      </c>
      <c r="AL23" s="25">
        <f>AA7*$C23</f>
        <v/>
      </c>
      <c r="AM23" s="25">
        <f>AB7*$C23</f>
        <v/>
      </c>
    </row>
    <row r="24">
      <c r="B24" t="n">
        <v>12</v>
      </c>
      <c r="C24" s="12">
        <f>Don_vi_IP!D17</f>
        <v/>
      </c>
      <c r="P24" s="25">
        <f>D7*$C24</f>
        <v/>
      </c>
      <c r="Q24" s="25">
        <f>E7*$C24</f>
        <v/>
      </c>
      <c r="R24" s="25">
        <f>F7*$C24</f>
        <v/>
      </c>
      <c r="S24" s="25">
        <f>G7*$C24</f>
        <v/>
      </c>
      <c r="T24" s="25">
        <f>H7*$C24</f>
        <v/>
      </c>
      <c r="U24" s="25">
        <f>I7*$C24</f>
        <v/>
      </c>
      <c r="V24" s="25">
        <f>J7*$C24</f>
        <v/>
      </c>
      <c r="W24" s="25">
        <f>K7*$C24</f>
        <v/>
      </c>
      <c r="X24" s="25">
        <f>L7*$C24</f>
        <v/>
      </c>
      <c r="Y24" s="25">
        <f>M7*$C24</f>
        <v/>
      </c>
      <c r="Z24" s="25">
        <f>N7*$C24</f>
        <v/>
      </c>
      <c r="AA24" s="25">
        <f>O7*$C24</f>
        <v/>
      </c>
      <c r="AB24" s="25">
        <f>P7*$C24</f>
        <v/>
      </c>
      <c r="AC24" s="25">
        <f>Q7*$C24</f>
        <v/>
      </c>
      <c r="AD24" s="25">
        <f>R7*$C24</f>
        <v/>
      </c>
      <c r="AE24" s="25">
        <f>S7*$C24</f>
        <v/>
      </c>
      <c r="AF24" s="25">
        <f>T7*$C24</f>
        <v/>
      </c>
      <c r="AG24" s="25">
        <f>U7*$C24</f>
        <v/>
      </c>
      <c r="AH24" s="25">
        <f>V7*$C24</f>
        <v/>
      </c>
      <c r="AI24" s="25">
        <f>W7*$C24</f>
        <v/>
      </c>
      <c r="AJ24" s="25">
        <f>X7*$C24</f>
        <v/>
      </c>
      <c r="AK24" s="25">
        <f>Y7*$C24</f>
        <v/>
      </c>
      <c r="AL24" s="25">
        <f>Z7*$C24</f>
        <v/>
      </c>
      <c r="AM24" s="25">
        <f>AA7*$C24</f>
        <v/>
      </c>
    </row>
    <row r="25">
      <c r="B25" t="n">
        <v>13</v>
      </c>
      <c r="C25" s="12">
        <f>Don_vi_IP!D18</f>
        <v/>
      </c>
      <c r="Q25" s="25">
        <f>D7*$C25</f>
        <v/>
      </c>
      <c r="R25" s="25">
        <f>E7*$C25</f>
        <v/>
      </c>
      <c r="S25" s="25">
        <f>F7*$C25</f>
        <v/>
      </c>
      <c r="T25" s="25">
        <f>G7*$C25</f>
        <v/>
      </c>
      <c r="U25" s="25">
        <f>H7*$C25</f>
        <v/>
      </c>
      <c r="V25" s="25">
        <f>I7*$C25</f>
        <v/>
      </c>
      <c r="W25" s="25">
        <f>J7*$C25</f>
        <v/>
      </c>
      <c r="X25" s="25">
        <f>K7*$C25</f>
        <v/>
      </c>
      <c r="Y25" s="25">
        <f>L7*$C25</f>
        <v/>
      </c>
      <c r="Z25" s="25">
        <f>M7*$C25</f>
        <v/>
      </c>
      <c r="AA25" s="25">
        <f>N7*$C25</f>
        <v/>
      </c>
      <c r="AB25" s="25">
        <f>O7*$C25</f>
        <v/>
      </c>
      <c r="AC25" s="25">
        <f>P7*$C25</f>
        <v/>
      </c>
      <c r="AD25" s="25">
        <f>Q7*$C25</f>
        <v/>
      </c>
      <c r="AE25" s="25">
        <f>R7*$C25</f>
        <v/>
      </c>
      <c r="AF25" s="25">
        <f>S7*$C25</f>
        <v/>
      </c>
      <c r="AG25" s="25">
        <f>T7*$C25</f>
        <v/>
      </c>
      <c r="AH25" s="25">
        <f>U7*$C25</f>
        <v/>
      </c>
      <c r="AI25" s="25">
        <f>V7*$C25</f>
        <v/>
      </c>
      <c r="AJ25" s="25">
        <f>W7*$C25</f>
        <v/>
      </c>
      <c r="AK25" s="25">
        <f>X7*$C25</f>
        <v/>
      </c>
      <c r="AL25" s="25">
        <f>Y7*$C25</f>
        <v/>
      </c>
      <c r="AM25" s="25">
        <f>Z7*$C25</f>
        <v/>
      </c>
    </row>
    <row r="26">
      <c r="B26" t="n">
        <v>14</v>
      </c>
      <c r="C26" s="12">
        <f>Don_vi_IP!D19</f>
        <v/>
      </c>
      <c r="R26" s="25">
        <f>D7*$C26</f>
        <v/>
      </c>
      <c r="S26" s="25">
        <f>E7*$C26</f>
        <v/>
      </c>
      <c r="T26" s="25">
        <f>F7*$C26</f>
        <v/>
      </c>
      <c r="U26" s="25">
        <f>G7*$C26</f>
        <v/>
      </c>
      <c r="V26" s="25">
        <f>H7*$C26</f>
        <v/>
      </c>
      <c r="W26" s="25">
        <f>I7*$C26</f>
        <v/>
      </c>
      <c r="X26" s="25">
        <f>J7*$C26</f>
        <v/>
      </c>
      <c r="Y26" s="25">
        <f>K7*$C26</f>
        <v/>
      </c>
      <c r="Z26" s="25">
        <f>L7*$C26</f>
        <v/>
      </c>
      <c r="AA26" s="25">
        <f>M7*$C26</f>
        <v/>
      </c>
      <c r="AB26" s="25">
        <f>N7*$C26</f>
        <v/>
      </c>
      <c r="AC26" s="25">
        <f>O7*$C26</f>
        <v/>
      </c>
      <c r="AD26" s="25">
        <f>P7*$C26</f>
        <v/>
      </c>
      <c r="AE26" s="25">
        <f>Q7*$C26</f>
        <v/>
      </c>
      <c r="AF26" s="25">
        <f>R7*$C26</f>
        <v/>
      </c>
      <c r="AG26" s="25">
        <f>S7*$C26</f>
        <v/>
      </c>
      <c r="AH26" s="25">
        <f>T7*$C26</f>
        <v/>
      </c>
      <c r="AI26" s="25">
        <f>U7*$C26</f>
        <v/>
      </c>
      <c r="AJ26" s="25">
        <f>V7*$C26</f>
        <v/>
      </c>
      <c r="AK26" s="25">
        <f>W7*$C26</f>
        <v/>
      </c>
      <c r="AL26" s="25">
        <f>X7*$C26</f>
        <v/>
      </c>
      <c r="AM26" s="25">
        <f>Y7*$C26</f>
        <v/>
      </c>
    </row>
    <row r="27">
      <c r="B27" t="n">
        <v>15</v>
      </c>
      <c r="C27" s="12">
        <f>Don_vi_IP!D20</f>
        <v/>
      </c>
      <c r="S27" s="25">
        <f>D7*$C27</f>
        <v/>
      </c>
      <c r="T27" s="25">
        <f>E7*$C27</f>
        <v/>
      </c>
      <c r="U27" s="25">
        <f>F7*$C27</f>
        <v/>
      </c>
      <c r="V27" s="25">
        <f>G7*$C27</f>
        <v/>
      </c>
      <c r="W27" s="25">
        <f>H7*$C27</f>
        <v/>
      </c>
      <c r="X27" s="25">
        <f>I7*$C27</f>
        <v/>
      </c>
      <c r="Y27" s="25">
        <f>J7*$C27</f>
        <v/>
      </c>
      <c r="Z27" s="25">
        <f>K7*$C27</f>
        <v/>
      </c>
      <c r="AA27" s="25">
        <f>L7*$C27</f>
        <v/>
      </c>
      <c r="AB27" s="25">
        <f>M7*$C27</f>
        <v/>
      </c>
      <c r="AC27" s="25">
        <f>N7*$C27</f>
        <v/>
      </c>
      <c r="AD27" s="25">
        <f>O7*$C27</f>
        <v/>
      </c>
      <c r="AE27" s="25">
        <f>P7*$C27</f>
        <v/>
      </c>
      <c r="AF27" s="25">
        <f>Q7*$C27</f>
        <v/>
      </c>
      <c r="AG27" s="25">
        <f>R7*$C27</f>
        <v/>
      </c>
      <c r="AH27" s="25">
        <f>S7*$C27</f>
        <v/>
      </c>
      <c r="AI27" s="25">
        <f>T7*$C27</f>
        <v/>
      </c>
      <c r="AJ27" s="25">
        <f>U7*$C27</f>
        <v/>
      </c>
      <c r="AK27" s="25">
        <f>V7*$C27</f>
        <v/>
      </c>
      <c r="AL27" s="25">
        <f>W7*$C27</f>
        <v/>
      </c>
      <c r="AM27" s="25">
        <f>X7*$C27</f>
        <v/>
      </c>
    </row>
    <row r="28">
      <c r="B28" t="n">
        <v>16</v>
      </c>
      <c r="C28" s="12">
        <f>Don_vi_IP!D21</f>
        <v/>
      </c>
      <c r="T28" s="25">
        <f>D7*$C28</f>
        <v/>
      </c>
      <c r="U28" s="25">
        <f>E7*$C28</f>
        <v/>
      </c>
      <c r="V28" s="25">
        <f>F7*$C28</f>
        <v/>
      </c>
      <c r="W28" s="25">
        <f>G7*$C28</f>
        <v/>
      </c>
      <c r="X28" s="25">
        <f>H7*$C28</f>
        <v/>
      </c>
      <c r="Y28" s="25">
        <f>I7*$C28</f>
        <v/>
      </c>
      <c r="Z28" s="25">
        <f>J7*$C28</f>
        <v/>
      </c>
      <c r="AA28" s="25">
        <f>K7*$C28</f>
        <v/>
      </c>
      <c r="AB28" s="25">
        <f>L7*$C28</f>
        <v/>
      </c>
      <c r="AC28" s="25">
        <f>M7*$C28</f>
        <v/>
      </c>
      <c r="AD28" s="25">
        <f>N7*$C28</f>
        <v/>
      </c>
      <c r="AE28" s="25">
        <f>O7*$C28</f>
        <v/>
      </c>
      <c r="AF28" s="25">
        <f>P7*$C28</f>
        <v/>
      </c>
      <c r="AG28" s="25">
        <f>Q7*$C28</f>
        <v/>
      </c>
      <c r="AH28" s="25">
        <f>R7*$C28</f>
        <v/>
      </c>
      <c r="AI28" s="25">
        <f>S7*$C28</f>
        <v/>
      </c>
      <c r="AJ28" s="25">
        <f>T7*$C28</f>
        <v/>
      </c>
      <c r="AK28" s="25">
        <f>U7*$C28</f>
        <v/>
      </c>
      <c r="AL28" s="25">
        <f>V7*$C28</f>
        <v/>
      </c>
      <c r="AM28" s="25">
        <f>W7*$C28</f>
        <v/>
      </c>
    </row>
    <row r="29">
      <c r="B29" t="n">
        <v>17</v>
      </c>
      <c r="C29" s="12">
        <f>Don_vi_IP!D22</f>
        <v/>
      </c>
      <c r="U29" s="25">
        <f>D7*$C29</f>
        <v/>
      </c>
      <c r="V29" s="25">
        <f>E7*$C29</f>
        <v/>
      </c>
      <c r="W29" s="25">
        <f>F7*$C29</f>
        <v/>
      </c>
      <c r="X29" s="25">
        <f>G7*$C29</f>
        <v/>
      </c>
      <c r="Y29" s="25">
        <f>H7*$C29</f>
        <v/>
      </c>
      <c r="Z29" s="25">
        <f>I7*$C29</f>
        <v/>
      </c>
      <c r="AA29" s="25">
        <f>J7*$C29</f>
        <v/>
      </c>
      <c r="AB29" s="25">
        <f>K7*$C29</f>
        <v/>
      </c>
      <c r="AC29" s="25">
        <f>L7*$C29</f>
        <v/>
      </c>
      <c r="AD29" s="25">
        <f>M7*$C29</f>
        <v/>
      </c>
      <c r="AE29" s="25">
        <f>N7*$C29</f>
        <v/>
      </c>
      <c r="AF29" s="25">
        <f>O7*$C29</f>
        <v/>
      </c>
      <c r="AG29" s="25">
        <f>P7*$C29</f>
        <v/>
      </c>
      <c r="AH29" s="25">
        <f>Q7*$C29</f>
        <v/>
      </c>
      <c r="AI29" s="25">
        <f>R7*$C29</f>
        <v/>
      </c>
      <c r="AJ29" s="25">
        <f>S7*$C29</f>
        <v/>
      </c>
      <c r="AK29" s="25">
        <f>T7*$C29</f>
        <v/>
      </c>
      <c r="AL29" s="25">
        <f>U7*$C29</f>
        <v/>
      </c>
      <c r="AM29" s="25">
        <f>V7*$C29</f>
        <v/>
      </c>
    </row>
    <row r="30">
      <c r="B30" t="n">
        <v>18</v>
      </c>
      <c r="C30" s="12">
        <f>Don_vi_IP!D23</f>
        <v/>
      </c>
      <c r="V30" s="25">
        <f>D7*$C30</f>
        <v/>
      </c>
      <c r="W30" s="25">
        <f>E7*$C30</f>
        <v/>
      </c>
      <c r="X30" s="25">
        <f>F7*$C30</f>
        <v/>
      </c>
      <c r="Y30" s="25">
        <f>G7*$C30</f>
        <v/>
      </c>
      <c r="Z30" s="25">
        <f>H7*$C30</f>
        <v/>
      </c>
      <c r="AA30" s="25">
        <f>I7*$C30</f>
        <v/>
      </c>
      <c r="AB30" s="25">
        <f>J7*$C30</f>
        <v/>
      </c>
      <c r="AC30" s="25">
        <f>K7*$C30</f>
        <v/>
      </c>
      <c r="AD30" s="25">
        <f>L7*$C30</f>
        <v/>
      </c>
      <c r="AE30" s="25">
        <f>M7*$C30</f>
        <v/>
      </c>
      <c r="AF30" s="25">
        <f>N7*$C30</f>
        <v/>
      </c>
      <c r="AG30" s="25">
        <f>O7*$C30</f>
        <v/>
      </c>
      <c r="AH30" s="25">
        <f>P7*$C30</f>
        <v/>
      </c>
      <c r="AI30" s="25">
        <f>Q7*$C30</f>
        <v/>
      </c>
      <c r="AJ30" s="25">
        <f>R7*$C30</f>
        <v/>
      </c>
      <c r="AK30" s="25">
        <f>S7*$C30</f>
        <v/>
      </c>
      <c r="AL30" s="25">
        <f>T7*$C30</f>
        <v/>
      </c>
      <c r="AM30" s="25">
        <f>U7*$C30</f>
        <v/>
      </c>
    </row>
    <row r="31">
      <c r="B31" t="n">
        <v>19</v>
      </c>
      <c r="C31" s="12">
        <f>Don_vi_IP!D24</f>
        <v/>
      </c>
      <c r="W31" s="25">
        <f>D7*$C31</f>
        <v/>
      </c>
      <c r="X31" s="25">
        <f>E7*$C31</f>
        <v/>
      </c>
      <c r="Y31" s="25">
        <f>F7*$C31</f>
        <v/>
      </c>
      <c r="Z31" s="25">
        <f>G7*$C31</f>
        <v/>
      </c>
      <c r="AA31" s="25">
        <f>H7*$C31</f>
        <v/>
      </c>
      <c r="AB31" s="25">
        <f>I7*$C31</f>
        <v/>
      </c>
      <c r="AC31" s="25">
        <f>J7*$C31</f>
        <v/>
      </c>
      <c r="AD31" s="25">
        <f>K7*$C31</f>
        <v/>
      </c>
      <c r="AE31" s="25">
        <f>L7*$C31</f>
        <v/>
      </c>
      <c r="AF31" s="25">
        <f>M7*$C31</f>
        <v/>
      </c>
      <c r="AG31" s="25">
        <f>N7*$C31</f>
        <v/>
      </c>
      <c r="AH31" s="25">
        <f>O7*$C31</f>
        <v/>
      </c>
      <c r="AI31" s="25">
        <f>P7*$C31</f>
        <v/>
      </c>
      <c r="AJ31" s="25">
        <f>Q7*$C31</f>
        <v/>
      </c>
      <c r="AK31" s="25">
        <f>R7*$C31</f>
        <v/>
      </c>
      <c r="AL31" s="25">
        <f>S7*$C31</f>
        <v/>
      </c>
      <c r="AM31" s="25">
        <f>T7*$C31</f>
        <v/>
      </c>
    </row>
    <row r="32">
      <c r="B32" t="n">
        <v>20</v>
      </c>
      <c r="C32" s="12">
        <f>Don_vi_IP!D25</f>
        <v/>
      </c>
      <c r="X32" s="25">
        <f>D7*$C32</f>
        <v/>
      </c>
      <c r="Y32" s="25">
        <f>E7*$C32</f>
        <v/>
      </c>
      <c r="Z32" s="25">
        <f>F7*$C32</f>
        <v/>
      </c>
      <c r="AA32" s="25">
        <f>G7*$C32</f>
        <v/>
      </c>
      <c r="AB32" s="25">
        <f>H7*$C32</f>
        <v/>
      </c>
      <c r="AC32" s="25">
        <f>I7*$C32</f>
        <v/>
      </c>
      <c r="AD32" s="25">
        <f>J7*$C32</f>
        <v/>
      </c>
      <c r="AE32" s="25">
        <f>K7*$C32</f>
        <v/>
      </c>
      <c r="AF32" s="25">
        <f>L7*$C32</f>
        <v/>
      </c>
      <c r="AG32" s="25">
        <f>M7*$C32</f>
        <v/>
      </c>
      <c r="AH32" s="25">
        <f>N7*$C32</f>
        <v/>
      </c>
      <c r="AI32" s="25">
        <f>O7*$C32</f>
        <v/>
      </c>
      <c r="AJ32" s="25">
        <f>P7*$C32</f>
        <v/>
      </c>
      <c r="AK32" s="25">
        <f>Q7*$C32</f>
        <v/>
      </c>
      <c r="AL32" s="25">
        <f>R7*$C32</f>
        <v/>
      </c>
      <c r="AM32" s="25">
        <f>S7*$C32</f>
        <v/>
      </c>
    </row>
    <row r="33">
      <c r="B33" t="n">
        <v>21</v>
      </c>
      <c r="C33" s="12">
        <f>Don_vi_IP!D26</f>
        <v/>
      </c>
      <c r="Y33" s="25">
        <f>D7*$C33</f>
        <v/>
      </c>
      <c r="Z33" s="25">
        <f>E7*$C33</f>
        <v/>
      </c>
      <c r="AA33" s="25">
        <f>F7*$C33</f>
        <v/>
      </c>
      <c r="AB33" s="25">
        <f>G7*$C33</f>
        <v/>
      </c>
      <c r="AC33" s="25">
        <f>H7*$C33</f>
        <v/>
      </c>
      <c r="AD33" s="25">
        <f>I7*$C33</f>
        <v/>
      </c>
      <c r="AE33" s="25">
        <f>J7*$C33</f>
        <v/>
      </c>
      <c r="AF33" s="25">
        <f>K7*$C33</f>
        <v/>
      </c>
      <c r="AG33" s="25">
        <f>L7*$C33</f>
        <v/>
      </c>
      <c r="AH33" s="25">
        <f>M7*$C33</f>
        <v/>
      </c>
      <c r="AI33" s="25">
        <f>N7*$C33</f>
        <v/>
      </c>
      <c r="AJ33" s="25">
        <f>O7*$C33</f>
        <v/>
      </c>
      <c r="AK33" s="25">
        <f>P7*$C33</f>
        <v/>
      </c>
      <c r="AL33" s="25">
        <f>Q7*$C33</f>
        <v/>
      </c>
      <c r="AM33" s="25">
        <f>R7*$C33</f>
        <v/>
      </c>
    </row>
    <row r="34">
      <c r="B34" t="n">
        <v>22</v>
      </c>
      <c r="C34" s="12">
        <f>Don_vi_IP!D27</f>
        <v/>
      </c>
      <c r="Z34" s="25">
        <f>D7*$C34</f>
        <v/>
      </c>
      <c r="AA34" s="25">
        <f>E7*$C34</f>
        <v/>
      </c>
      <c r="AB34" s="25">
        <f>F7*$C34</f>
        <v/>
      </c>
      <c r="AC34" s="25">
        <f>G7*$C34</f>
        <v/>
      </c>
      <c r="AD34" s="25">
        <f>H7*$C34</f>
        <v/>
      </c>
      <c r="AE34" s="25">
        <f>I7*$C34</f>
        <v/>
      </c>
      <c r="AF34" s="25">
        <f>J7*$C34</f>
        <v/>
      </c>
      <c r="AG34" s="25">
        <f>K7*$C34</f>
        <v/>
      </c>
      <c r="AH34" s="25">
        <f>L7*$C34</f>
        <v/>
      </c>
      <c r="AI34" s="25">
        <f>M7*$C34</f>
        <v/>
      </c>
      <c r="AJ34" s="25">
        <f>N7*$C34</f>
        <v/>
      </c>
      <c r="AK34" s="25">
        <f>O7*$C34</f>
        <v/>
      </c>
      <c r="AL34" s="25">
        <f>P7*$C34</f>
        <v/>
      </c>
      <c r="AM34" s="25">
        <f>Q7*$C34</f>
        <v/>
      </c>
    </row>
    <row r="35">
      <c r="B35" t="n">
        <v>23</v>
      </c>
      <c r="C35" s="12">
        <f>Don_vi_IP!D28</f>
        <v/>
      </c>
      <c r="AA35" s="25">
        <f>D7*$C35</f>
        <v/>
      </c>
      <c r="AB35" s="25">
        <f>E7*$C35</f>
        <v/>
      </c>
      <c r="AC35" s="25">
        <f>F7*$C35</f>
        <v/>
      </c>
      <c r="AD35" s="25">
        <f>G7*$C35</f>
        <v/>
      </c>
      <c r="AE35" s="25">
        <f>H7*$C35</f>
        <v/>
      </c>
      <c r="AF35" s="25">
        <f>I7*$C35</f>
        <v/>
      </c>
      <c r="AG35" s="25">
        <f>J7*$C35</f>
        <v/>
      </c>
      <c r="AH35" s="25">
        <f>K7*$C35</f>
        <v/>
      </c>
      <c r="AI35" s="25">
        <f>L7*$C35</f>
        <v/>
      </c>
      <c r="AJ35" s="25">
        <f>M7*$C35</f>
        <v/>
      </c>
      <c r="AK35" s="25">
        <f>N7*$C35</f>
        <v/>
      </c>
      <c r="AL35" s="25">
        <f>O7*$C35</f>
        <v/>
      </c>
      <c r="AM35" s="25">
        <f>P7*$C35</f>
        <v/>
      </c>
    </row>
    <row r="36">
      <c r="B36" t="n">
        <v>24</v>
      </c>
      <c r="C36" s="12">
        <f>Don_vi_IP!D29</f>
        <v/>
      </c>
      <c r="AB36" s="25">
        <f>D7*$C36</f>
        <v/>
      </c>
      <c r="AC36" s="25">
        <f>E7*$C36</f>
        <v/>
      </c>
      <c r="AD36" s="25">
        <f>F7*$C36</f>
        <v/>
      </c>
      <c r="AE36" s="25">
        <f>G7*$C36</f>
        <v/>
      </c>
      <c r="AF36" s="25">
        <f>H7*$C36</f>
        <v/>
      </c>
      <c r="AG36" s="25">
        <f>I7*$C36</f>
        <v/>
      </c>
      <c r="AH36" s="25">
        <f>J7*$C36</f>
        <v/>
      </c>
      <c r="AI36" s="25">
        <f>K7*$C36</f>
        <v/>
      </c>
      <c r="AJ36" s="25">
        <f>L7*$C36</f>
        <v/>
      </c>
      <c r="AK36" s="25">
        <f>M7*$C36</f>
        <v/>
      </c>
      <c r="AL36" s="25">
        <f>N7*$C36</f>
        <v/>
      </c>
      <c r="AM36" s="25">
        <f>O7*$C36</f>
        <v/>
      </c>
    </row>
    <row r="37">
      <c r="B37" t="n">
        <v>25</v>
      </c>
      <c r="C37" s="12">
        <f>Don_vi_IP!D30</f>
        <v/>
      </c>
      <c r="AC37" s="25">
        <f>D7*$C37</f>
        <v/>
      </c>
      <c r="AD37" s="25">
        <f>E7*$C37</f>
        <v/>
      </c>
      <c r="AE37" s="25">
        <f>F7*$C37</f>
        <v/>
      </c>
      <c r="AF37" s="25">
        <f>G7*$C37</f>
        <v/>
      </c>
      <c r="AG37" s="25">
        <f>H7*$C37</f>
        <v/>
      </c>
      <c r="AH37" s="25">
        <f>I7*$C37</f>
        <v/>
      </c>
      <c r="AI37" s="25">
        <f>J7*$C37</f>
        <v/>
      </c>
      <c r="AJ37" s="25">
        <f>K7*$C37</f>
        <v/>
      </c>
      <c r="AK37" s="25">
        <f>L7*$C37</f>
        <v/>
      </c>
      <c r="AL37" s="25">
        <f>M7*$C37</f>
        <v/>
      </c>
      <c r="AM37" s="25">
        <f>N7*$C37</f>
        <v/>
      </c>
    </row>
    <row r="38">
      <c r="B38" t="n">
        <v>26</v>
      </c>
      <c r="C38" s="12">
        <f>Don_vi_IP!D31</f>
        <v/>
      </c>
      <c r="AD38" s="25">
        <f>D7*$C38</f>
        <v/>
      </c>
      <c r="AE38" s="25">
        <f>E7*$C38</f>
        <v/>
      </c>
      <c r="AF38" s="25">
        <f>F7*$C38</f>
        <v/>
      </c>
      <c r="AG38" s="25">
        <f>G7*$C38</f>
        <v/>
      </c>
      <c r="AH38" s="25">
        <f>H7*$C38</f>
        <v/>
      </c>
      <c r="AI38" s="25">
        <f>I7*$C38</f>
        <v/>
      </c>
      <c r="AJ38" s="25">
        <f>J7*$C38</f>
        <v/>
      </c>
      <c r="AK38" s="25">
        <f>K7*$C38</f>
        <v/>
      </c>
      <c r="AL38" s="25">
        <f>L7*$C38</f>
        <v/>
      </c>
      <c r="AM38" s="25">
        <f>M7*$C38</f>
        <v/>
      </c>
    </row>
    <row r="39">
      <c r="B39" t="n">
        <v>27</v>
      </c>
      <c r="C39" s="12">
        <f>Don_vi_IP!D32</f>
        <v/>
      </c>
      <c r="AE39" s="25">
        <f>D7*$C39</f>
        <v/>
      </c>
      <c r="AF39" s="25">
        <f>E7*$C39</f>
        <v/>
      </c>
      <c r="AG39" s="25">
        <f>F7*$C39</f>
        <v/>
      </c>
      <c r="AH39" s="25">
        <f>G7*$C39</f>
        <v/>
      </c>
      <c r="AI39" s="25">
        <f>H7*$C39</f>
        <v/>
      </c>
      <c r="AJ39" s="25">
        <f>I7*$C39</f>
        <v/>
      </c>
      <c r="AK39" s="25">
        <f>J7*$C39</f>
        <v/>
      </c>
      <c r="AL39" s="25">
        <f>K7*$C39</f>
        <v/>
      </c>
      <c r="AM39" s="25">
        <f>L7*$C39</f>
        <v/>
      </c>
    </row>
    <row r="40">
      <c r="B40" t="n">
        <v>28</v>
      </c>
      <c r="C40" s="12">
        <f>Don_vi_IP!D33</f>
        <v/>
      </c>
      <c r="AF40" s="25">
        <f>D7*$C40</f>
        <v/>
      </c>
      <c r="AG40" s="25">
        <f>E7*$C40</f>
        <v/>
      </c>
      <c r="AH40" s="25">
        <f>F7*$C40</f>
        <v/>
      </c>
      <c r="AI40" s="25">
        <f>G7*$C40</f>
        <v/>
      </c>
      <c r="AJ40" s="25">
        <f>H7*$C40</f>
        <v/>
      </c>
      <c r="AK40" s="25">
        <f>I7*$C40</f>
        <v/>
      </c>
      <c r="AL40" s="25">
        <f>J7*$C40</f>
        <v/>
      </c>
      <c r="AM40" s="25">
        <f>K7*$C40</f>
        <v/>
      </c>
    </row>
    <row r="41">
      <c r="B41" t="n">
        <v>29</v>
      </c>
      <c r="C41" s="12">
        <f>Don_vi_IP!D34</f>
        <v/>
      </c>
      <c r="AG41" s="25">
        <f>D7*$C41</f>
        <v/>
      </c>
      <c r="AH41" s="25">
        <f>E7*$C41</f>
        <v/>
      </c>
      <c r="AI41" s="25">
        <f>F7*$C41</f>
        <v/>
      </c>
      <c r="AJ41" s="25">
        <f>G7*$C41</f>
        <v/>
      </c>
      <c r="AK41" s="25">
        <f>H7*$C41</f>
        <v/>
      </c>
      <c r="AL41" s="25">
        <f>I7*$C41</f>
        <v/>
      </c>
      <c r="AM41" s="25">
        <f>J7*$C41</f>
        <v/>
      </c>
    </row>
    <row r="42">
      <c r="B42" t="n">
        <v>30</v>
      </c>
      <c r="C42" s="12">
        <f>Don_vi_IP!D35</f>
        <v/>
      </c>
      <c r="AH42" s="25">
        <f>D7*$C42</f>
        <v/>
      </c>
      <c r="AI42" s="25">
        <f>E7*$C42</f>
        <v/>
      </c>
      <c r="AJ42" s="25">
        <f>F7*$C42</f>
        <v/>
      </c>
      <c r="AK42" s="25">
        <f>G7*$C42</f>
        <v/>
      </c>
      <c r="AL42" s="25">
        <f>H7*$C42</f>
        <v/>
      </c>
      <c r="AM42" s="25">
        <f>I7*$C42</f>
        <v/>
      </c>
    </row>
    <row r="43">
      <c r="B43" t="n">
        <v>31</v>
      </c>
      <c r="C43" s="12">
        <f>Don_vi_IP!D36</f>
        <v/>
      </c>
      <c r="AI43" s="25">
        <f>D7*$C43</f>
        <v/>
      </c>
      <c r="AJ43" s="25">
        <f>E7*$C43</f>
        <v/>
      </c>
      <c r="AK43" s="25">
        <f>F7*$C43</f>
        <v/>
      </c>
      <c r="AL43" s="25">
        <f>G7*$C43</f>
        <v/>
      </c>
      <c r="AM43" s="25">
        <f>H7*$C43</f>
        <v/>
      </c>
    </row>
    <row r="44">
      <c r="B44" t="n">
        <v>32</v>
      </c>
      <c r="C44" s="12">
        <f>Don_vi_IP!D37</f>
        <v/>
      </c>
      <c r="AJ44" s="25">
        <f>D7*$C44</f>
        <v/>
      </c>
      <c r="AK44" s="25">
        <f>E7*$C44</f>
        <v/>
      </c>
      <c r="AL44" s="25">
        <f>F7*$C44</f>
        <v/>
      </c>
      <c r="AM44" s="25">
        <f>G7*$C44</f>
        <v/>
      </c>
    </row>
    <row r="45">
      <c r="B45" t="n">
        <v>33</v>
      </c>
      <c r="C45" s="12">
        <f>Don_vi_IP!D38</f>
        <v/>
      </c>
      <c r="AK45" s="25">
        <f>D7*$C45</f>
        <v/>
      </c>
      <c r="AL45" s="25">
        <f>E7*$C45</f>
        <v/>
      </c>
      <c r="AM45" s="25">
        <f>F7*$C45</f>
        <v/>
      </c>
    </row>
    <row r="46">
      <c r="B46" t="n">
        <v>34</v>
      </c>
      <c r="C46" s="12">
        <f>Don_vi_IP!D39</f>
        <v/>
      </c>
      <c r="AL46" s="25">
        <f>D7*$C46</f>
        <v/>
      </c>
      <c r="AM46" s="25">
        <f>E7*$C46</f>
        <v/>
      </c>
    </row>
    <row r="47">
      <c r="B47" t="n">
        <v>35</v>
      </c>
      <c r="C47" s="12">
        <f>Don_vi_IP!D40</f>
        <v/>
      </c>
      <c r="AM47" s="25">
        <f>D7*$C47</f>
        <v/>
      </c>
    </row>
    <row r="48">
      <c r="B48" t="n">
        <v>36</v>
      </c>
      <c r="C48" s="12">
        <f>Don_vi_IP!D41</f>
        <v/>
      </c>
    </row>
    <row r="49">
      <c r="B49" t="inlineStr">
        <is>
          <t>IP người thật đang dựng (tuổi 0)</t>
        </is>
      </c>
      <c r="C49" t="inlineStr">
        <is>
          <t>IP</t>
        </is>
      </c>
      <c r="D49" s="25">
        <f>D12</f>
        <v/>
      </c>
      <c r="E49" s="25">
        <f>E12</f>
        <v/>
      </c>
      <c r="F49" s="25">
        <f>F12</f>
        <v/>
      </c>
      <c r="G49" s="25">
        <f>G12</f>
        <v/>
      </c>
      <c r="H49" s="25">
        <f>H12</f>
        <v/>
      </c>
      <c r="I49" s="25">
        <f>I12</f>
        <v/>
      </c>
      <c r="J49" s="25">
        <f>J12</f>
        <v/>
      </c>
      <c r="K49" s="25">
        <f>K12</f>
        <v/>
      </c>
      <c r="L49" s="25">
        <f>L12</f>
        <v/>
      </c>
      <c r="M49" s="25">
        <f>M12</f>
        <v/>
      </c>
      <c r="N49" s="25">
        <f>N12</f>
        <v/>
      </c>
      <c r="O49" s="25">
        <f>O12</f>
        <v/>
      </c>
      <c r="P49" s="25">
        <f>P12</f>
        <v/>
      </c>
      <c r="Q49" s="25">
        <f>Q12</f>
        <v/>
      </c>
      <c r="R49" s="25">
        <f>R12</f>
        <v/>
      </c>
      <c r="S49" s="25">
        <f>S12</f>
        <v/>
      </c>
      <c r="T49" s="25">
        <f>T12</f>
        <v/>
      </c>
      <c r="U49" s="25">
        <f>U12</f>
        <v/>
      </c>
      <c r="V49" s="25">
        <f>V12</f>
        <v/>
      </c>
      <c r="W49" s="25">
        <f>W12</f>
        <v/>
      </c>
      <c r="X49" s="25">
        <f>X12</f>
        <v/>
      </c>
      <c r="Y49" s="25">
        <f>Y12</f>
        <v/>
      </c>
      <c r="Z49" s="25">
        <f>Z12</f>
        <v/>
      </c>
      <c r="AA49" s="25">
        <f>AA12</f>
        <v/>
      </c>
      <c r="AB49" s="25">
        <f>AB12</f>
        <v/>
      </c>
      <c r="AC49" s="25">
        <f>AC12</f>
        <v/>
      </c>
      <c r="AD49" s="25">
        <f>AD12</f>
        <v/>
      </c>
      <c r="AE49" s="25">
        <f>AE12</f>
        <v/>
      </c>
      <c r="AF49" s="25">
        <f>AF12</f>
        <v/>
      </c>
      <c r="AG49" s="25">
        <f>AG12</f>
        <v/>
      </c>
      <c r="AH49" s="25">
        <f>AH12</f>
        <v/>
      </c>
      <c r="AI49" s="25">
        <f>AI12</f>
        <v/>
      </c>
      <c r="AJ49" s="25">
        <f>AJ12</f>
        <v/>
      </c>
      <c r="AK49" s="25">
        <f>AK12</f>
        <v/>
      </c>
      <c r="AL49" s="25">
        <f>AL12</f>
        <v/>
      </c>
      <c r="AM49" s="25">
        <f>AM12</f>
        <v/>
      </c>
    </row>
    <row r="50">
      <c r="B50" s="2" t="inlineStr">
        <is>
          <t>TỔNG IP NGƯỜI THẬT ĐANG HOẠT ĐỘNG</t>
        </is>
      </c>
      <c r="C50" t="inlineStr">
        <is>
          <t>IP</t>
        </is>
      </c>
      <c r="D50" s="32">
        <f>SUM(D13:D48)</f>
        <v/>
      </c>
      <c r="E50" s="32">
        <f>SUM(E13:E48)</f>
        <v/>
      </c>
      <c r="F50" s="32">
        <f>SUM(F13:F48)</f>
        <v/>
      </c>
      <c r="G50" s="32">
        <f>SUM(G13:G48)</f>
        <v/>
      </c>
      <c r="H50" s="32">
        <f>SUM(H13:H48)</f>
        <v/>
      </c>
      <c r="I50" s="32">
        <f>SUM(I13:I48)</f>
        <v/>
      </c>
      <c r="J50" s="32">
        <f>SUM(J13:J48)</f>
        <v/>
      </c>
      <c r="K50" s="32">
        <f>SUM(K13:K48)</f>
        <v/>
      </c>
      <c r="L50" s="32">
        <f>SUM(L13:L48)</f>
        <v/>
      </c>
      <c r="M50" s="32">
        <f>SUM(M13:M48)</f>
        <v/>
      </c>
      <c r="N50" s="32">
        <f>SUM(N13:N48)</f>
        <v/>
      </c>
      <c r="O50" s="32">
        <f>SUM(O13:O48)</f>
        <v/>
      </c>
      <c r="P50" s="32">
        <f>SUM(P13:P48)</f>
        <v/>
      </c>
      <c r="Q50" s="32">
        <f>SUM(Q13:Q48)</f>
        <v/>
      </c>
      <c r="R50" s="32">
        <f>SUM(R13:R48)</f>
        <v/>
      </c>
      <c r="S50" s="32">
        <f>SUM(S13:S48)</f>
        <v/>
      </c>
      <c r="T50" s="32">
        <f>SUM(T13:T48)</f>
        <v/>
      </c>
      <c r="U50" s="32">
        <f>SUM(U13:U48)</f>
        <v/>
      </c>
      <c r="V50" s="32">
        <f>SUM(V13:V48)</f>
        <v/>
      </c>
      <c r="W50" s="32">
        <f>SUM(W13:W48)</f>
        <v/>
      </c>
      <c r="X50" s="32">
        <f>SUM(X13:X48)</f>
        <v/>
      </c>
      <c r="Y50" s="32">
        <f>SUM(Y13:Y48)</f>
        <v/>
      </c>
      <c r="Z50" s="32">
        <f>SUM(Z13:Z48)</f>
        <v/>
      </c>
      <c r="AA50" s="32">
        <f>SUM(AA13:AA48)</f>
        <v/>
      </c>
      <c r="AB50" s="32">
        <f>SUM(AB13:AB48)</f>
        <v/>
      </c>
      <c r="AC50" s="32">
        <f>SUM(AC13:AC48)</f>
        <v/>
      </c>
      <c r="AD50" s="32">
        <f>SUM(AD13:AD48)</f>
        <v/>
      </c>
      <c r="AE50" s="32">
        <f>SUM(AE13:AE48)</f>
        <v/>
      </c>
      <c r="AF50" s="32">
        <f>SUM(AF13:AF48)</f>
        <v/>
      </c>
      <c r="AG50" s="32">
        <f>SUM(AG13:AG48)</f>
        <v/>
      </c>
      <c r="AH50" s="32">
        <f>SUM(AH13:AH48)</f>
        <v/>
      </c>
      <c r="AI50" s="32">
        <f>SUM(AI13:AI48)</f>
        <v/>
      </c>
      <c r="AJ50" s="32">
        <f>SUM(AJ13:AJ48)</f>
        <v/>
      </c>
      <c r="AK50" s="32">
        <f>SUM(AK13:AK48)</f>
        <v/>
      </c>
      <c r="AL50" s="32">
        <f>SUM(AL13:AL48)</f>
        <v/>
      </c>
      <c r="AM50" s="32">
        <f>SUM(AM13:AM48)</f>
        <v/>
      </c>
    </row>
    <row r="51">
      <c r="B51" t="inlineStr">
        <is>
          <t>— giai đoạn ươm (tuổi 1-3)</t>
        </is>
      </c>
      <c r="C51" t="inlineStr">
        <is>
          <t>IP</t>
        </is>
      </c>
      <c r="D51" s="25">
        <f>SUM(D13:D15)</f>
        <v/>
      </c>
      <c r="E51" s="25">
        <f>SUM(E13:E15)</f>
        <v/>
      </c>
      <c r="F51" s="25">
        <f>SUM(F13:F15)</f>
        <v/>
      </c>
      <c r="G51" s="25">
        <f>SUM(G13:G15)</f>
        <v/>
      </c>
      <c r="H51" s="25">
        <f>SUM(H13:H15)</f>
        <v/>
      </c>
      <c r="I51" s="25">
        <f>SUM(I13:I15)</f>
        <v/>
      </c>
      <c r="J51" s="25">
        <f>SUM(J13:J15)</f>
        <v/>
      </c>
      <c r="K51" s="25">
        <f>SUM(K13:K15)</f>
        <v/>
      </c>
      <c r="L51" s="25">
        <f>SUM(L13:L15)</f>
        <v/>
      </c>
      <c r="M51" s="25">
        <f>SUM(M13:M15)</f>
        <v/>
      </c>
      <c r="N51" s="25">
        <f>SUM(N13:N15)</f>
        <v/>
      </c>
      <c r="O51" s="25">
        <f>SUM(O13:O15)</f>
        <v/>
      </c>
      <c r="P51" s="25">
        <f>SUM(P13:P15)</f>
        <v/>
      </c>
      <c r="Q51" s="25">
        <f>SUM(Q13:Q15)</f>
        <v/>
      </c>
      <c r="R51" s="25">
        <f>SUM(R13:R15)</f>
        <v/>
      </c>
      <c r="S51" s="25">
        <f>SUM(S13:S15)</f>
        <v/>
      </c>
      <c r="T51" s="25">
        <f>SUM(T13:T15)</f>
        <v/>
      </c>
      <c r="U51" s="25">
        <f>SUM(U13:U15)</f>
        <v/>
      </c>
      <c r="V51" s="25">
        <f>SUM(V13:V15)</f>
        <v/>
      </c>
      <c r="W51" s="25">
        <f>SUM(W13:W15)</f>
        <v/>
      </c>
      <c r="X51" s="25">
        <f>SUM(X13:X15)</f>
        <v/>
      </c>
      <c r="Y51" s="25">
        <f>SUM(Y13:Y15)</f>
        <v/>
      </c>
      <c r="Z51" s="25">
        <f>SUM(Z13:Z15)</f>
        <v/>
      </c>
      <c r="AA51" s="25">
        <f>SUM(AA13:AA15)</f>
        <v/>
      </c>
      <c r="AB51" s="25">
        <f>SUM(AB13:AB15)</f>
        <v/>
      </c>
      <c r="AC51" s="25">
        <f>SUM(AC13:AC15)</f>
        <v/>
      </c>
      <c r="AD51" s="25">
        <f>SUM(AD13:AD15)</f>
        <v/>
      </c>
      <c r="AE51" s="25">
        <f>SUM(AE13:AE15)</f>
        <v/>
      </c>
      <c r="AF51" s="25">
        <f>SUM(AF13:AF15)</f>
        <v/>
      </c>
      <c r="AG51" s="25">
        <f>SUM(AG13:AG15)</f>
        <v/>
      </c>
      <c r="AH51" s="25">
        <f>SUM(AH13:AH15)</f>
        <v/>
      </c>
      <c r="AI51" s="25">
        <f>SUM(AI13:AI15)</f>
        <v/>
      </c>
      <c r="AJ51" s="25">
        <f>SUM(AJ13:AJ15)</f>
        <v/>
      </c>
      <c r="AK51" s="25">
        <f>SUM(AK13:AK15)</f>
        <v/>
      </c>
      <c r="AL51" s="25">
        <f>SUM(AL13:AL15)</f>
        <v/>
      </c>
      <c r="AM51" s="25">
        <f>SUM(AM13:AM15)</f>
        <v/>
      </c>
    </row>
    <row r="52">
      <c r="B52" t="inlineStr">
        <is>
          <t>— tăng trưởng sớm (tuổi 4-6)</t>
        </is>
      </c>
      <c r="C52" t="inlineStr">
        <is>
          <t>IP</t>
        </is>
      </c>
      <c r="D52" s="25">
        <f>SUM(D16:D18)</f>
        <v/>
      </c>
      <c r="E52" s="25">
        <f>SUM(E16:E18)</f>
        <v/>
      </c>
      <c r="F52" s="25">
        <f>SUM(F16:F18)</f>
        <v/>
      </c>
      <c r="G52" s="25">
        <f>SUM(G16:G18)</f>
        <v/>
      </c>
      <c r="H52" s="25">
        <f>SUM(H16:H18)</f>
        <v/>
      </c>
      <c r="I52" s="25">
        <f>SUM(I16:I18)</f>
        <v/>
      </c>
      <c r="J52" s="25">
        <f>SUM(J16:J18)</f>
        <v/>
      </c>
      <c r="K52" s="25">
        <f>SUM(K16:K18)</f>
        <v/>
      </c>
      <c r="L52" s="25">
        <f>SUM(L16:L18)</f>
        <v/>
      </c>
      <c r="M52" s="25">
        <f>SUM(M16:M18)</f>
        <v/>
      </c>
      <c r="N52" s="25">
        <f>SUM(N16:N18)</f>
        <v/>
      </c>
      <c r="O52" s="25">
        <f>SUM(O16:O18)</f>
        <v/>
      </c>
      <c r="P52" s="25">
        <f>SUM(P16:P18)</f>
        <v/>
      </c>
      <c r="Q52" s="25">
        <f>SUM(Q16:Q18)</f>
        <v/>
      </c>
      <c r="R52" s="25">
        <f>SUM(R16:R18)</f>
        <v/>
      </c>
      <c r="S52" s="25">
        <f>SUM(S16:S18)</f>
        <v/>
      </c>
      <c r="T52" s="25">
        <f>SUM(T16:T18)</f>
        <v/>
      </c>
      <c r="U52" s="25">
        <f>SUM(U16:U18)</f>
        <v/>
      </c>
      <c r="V52" s="25">
        <f>SUM(V16:V18)</f>
        <v/>
      </c>
      <c r="W52" s="25">
        <f>SUM(W16:W18)</f>
        <v/>
      </c>
      <c r="X52" s="25">
        <f>SUM(X16:X18)</f>
        <v/>
      </c>
      <c r="Y52" s="25">
        <f>SUM(Y16:Y18)</f>
        <v/>
      </c>
      <c r="Z52" s="25">
        <f>SUM(Z16:Z18)</f>
        <v/>
      </c>
      <c r="AA52" s="25">
        <f>SUM(AA16:AA18)</f>
        <v/>
      </c>
      <c r="AB52" s="25">
        <f>SUM(AB16:AB18)</f>
        <v/>
      </c>
      <c r="AC52" s="25">
        <f>SUM(AC16:AC18)</f>
        <v/>
      </c>
      <c r="AD52" s="25">
        <f>SUM(AD16:AD18)</f>
        <v/>
      </c>
      <c r="AE52" s="25">
        <f>SUM(AE16:AE18)</f>
        <v/>
      </c>
      <c r="AF52" s="25">
        <f>SUM(AF16:AF18)</f>
        <v/>
      </c>
      <c r="AG52" s="25">
        <f>SUM(AG16:AG18)</f>
        <v/>
      </c>
      <c r="AH52" s="25">
        <f>SUM(AH16:AH18)</f>
        <v/>
      </c>
      <c r="AI52" s="25">
        <f>SUM(AI16:AI18)</f>
        <v/>
      </c>
      <c r="AJ52" s="25">
        <f>SUM(AJ16:AJ18)</f>
        <v/>
      </c>
      <c r="AK52" s="25">
        <f>SUM(AK16:AK18)</f>
        <v/>
      </c>
      <c r="AL52" s="25">
        <f>SUM(AL16:AL18)</f>
        <v/>
      </c>
      <c r="AM52" s="25">
        <f>SUM(AM16:AM18)</f>
        <v/>
      </c>
    </row>
    <row r="53">
      <c r="B53" t="inlineStr">
        <is>
          <t>— tăng trưởng (tuổi 7-9)</t>
        </is>
      </c>
      <c r="C53" t="inlineStr">
        <is>
          <t>IP</t>
        </is>
      </c>
      <c r="D53" s="25">
        <f>SUM(D19:D21)</f>
        <v/>
      </c>
      <c r="E53" s="25">
        <f>SUM(E19:E21)</f>
        <v/>
      </c>
      <c r="F53" s="25">
        <f>SUM(F19:F21)</f>
        <v/>
      </c>
      <c r="G53" s="25">
        <f>SUM(G19:G21)</f>
        <v/>
      </c>
      <c r="H53" s="25">
        <f>SUM(H19:H21)</f>
        <v/>
      </c>
      <c r="I53" s="25">
        <f>SUM(I19:I21)</f>
        <v/>
      </c>
      <c r="J53" s="25">
        <f>SUM(J19:J21)</f>
        <v/>
      </c>
      <c r="K53" s="25">
        <f>SUM(K19:K21)</f>
        <v/>
      </c>
      <c r="L53" s="25">
        <f>SUM(L19:L21)</f>
        <v/>
      </c>
      <c r="M53" s="25">
        <f>SUM(M19:M21)</f>
        <v/>
      </c>
      <c r="N53" s="25">
        <f>SUM(N19:N21)</f>
        <v/>
      </c>
      <c r="O53" s="25">
        <f>SUM(O19:O21)</f>
        <v/>
      </c>
      <c r="P53" s="25">
        <f>SUM(P19:P21)</f>
        <v/>
      </c>
      <c r="Q53" s="25">
        <f>SUM(Q19:Q21)</f>
        <v/>
      </c>
      <c r="R53" s="25">
        <f>SUM(R19:R21)</f>
        <v/>
      </c>
      <c r="S53" s="25">
        <f>SUM(S19:S21)</f>
        <v/>
      </c>
      <c r="T53" s="25">
        <f>SUM(T19:T21)</f>
        <v/>
      </c>
      <c r="U53" s="25">
        <f>SUM(U19:U21)</f>
        <v/>
      </c>
      <c r="V53" s="25">
        <f>SUM(V19:V21)</f>
        <v/>
      </c>
      <c r="W53" s="25">
        <f>SUM(W19:W21)</f>
        <v/>
      </c>
      <c r="X53" s="25">
        <f>SUM(X19:X21)</f>
        <v/>
      </c>
      <c r="Y53" s="25">
        <f>SUM(Y19:Y21)</f>
        <v/>
      </c>
      <c r="Z53" s="25">
        <f>SUM(Z19:Z21)</f>
        <v/>
      </c>
      <c r="AA53" s="25">
        <f>SUM(AA19:AA21)</f>
        <v/>
      </c>
      <c r="AB53" s="25">
        <f>SUM(AB19:AB21)</f>
        <v/>
      </c>
      <c r="AC53" s="25">
        <f>SUM(AC19:AC21)</f>
        <v/>
      </c>
      <c r="AD53" s="25">
        <f>SUM(AD19:AD21)</f>
        <v/>
      </c>
      <c r="AE53" s="25">
        <f>SUM(AE19:AE21)</f>
        <v/>
      </c>
      <c r="AF53" s="25">
        <f>SUM(AF19:AF21)</f>
        <v/>
      </c>
      <c r="AG53" s="25">
        <f>SUM(AG19:AG21)</f>
        <v/>
      </c>
      <c r="AH53" s="25">
        <f>SUM(AH19:AH21)</f>
        <v/>
      </c>
      <c r="AI53" s="25">
        <f>SUM(AI19:AI21)</f>
        <v/>
      </c>
      <c r="AJ53" s="25">
        <f>SUM(AJ19:AJ21)</f>
        <v/>
      </c>
      <c r="AK53" s="25">
        <f>SUM(AK19:AK21)</f>
        <v/>
      </c>
      <c r="AL53" s="25">
        <f>SUM(AL19:AL21)</f>
        <v/>
      </c>
      <c r="AM53" s="25">
        <f>SUM(AM19:AM21)</f>
        <v/>
      </c>
    </row>
    <row r="54">
      <c r="B54" t="inlineStr">
        <is>
          <t>— ổn định (tuổi 10+)</t>
        </is>
      </c>
      <c r="C54" t="inlineStr">
        <is>
          <t>IP</t>
        </is>
      </c>
      <c r="D54" s="25">
        <f>SUM(D22:D48)</f>
        <v/>
      </c>
      <c r="E54" s="25">
        <f>SUM(E22:E48)</f>
        <v/>
      </c>
      <c r="F54" s="25">
        <f>SUM(F22:F48)</f>
        <v/>
      </c>
      <c r="G54" s="25">
        <f>SUM(G22:G48)</f>
        <v/>
      </c>
      <c r="H54" s="25">
        <f>SUM(H22:H48)</f>
        <v/>
      </c>
      <c r="I54" s="25">
        <f>SUM(I22:I48)</f>
        <v/>
      </c>
      <c r="J54" s="25">
        <f>SUM(J22:J48)</f>
        <v/>
      </c>
      <c r="K54" s="25">
        <f>SUM(K22:K48)</f>
        <v/>
      </c>
      <c r="L54" s="25">
        <f>SUM(L22:L48)</f>
        <v/>
      </c>
      <c r="M54" s="25">
        <f>SUM(M22:M48)</f>
        <v/>
      </c>
      <c r="N54" s="25">
        <f>SUM(N22:N48)</f>
        <v/>
      </c>
      <c r="O54" s="25">
        <f>SUM(O22:O48)</f>
        <v/>
      </c>
      <c r="P54" s="25">
        <f>SUM(P22:P48)</f>
        <v/>
      </c>
      <c r="Q54" s="25">
        <f>SUM(Q22:Q48)</f>
        <v/>
      </c>
      <c r="R54" s="25">
        <f>SUM(R22:R48)</f>
        <v/>
      </c>
      <c r="S54" s="25">
        <f>SUM(S22:S48)</f>
        <v/>
      </c>
      <c r="T54" s="25">
        <f>SUM(T22:T48)</f>
        <v/>
      </c>
      <c r="U54" s="25">
        <f>SUM(U22:U48)</f>
        <v/>
      </c>
      <c r="V54" s="25">
        <f>SUM(V22:V48)</f>
        <v/>
      </c>
      <c r="W54" s="25">
        <f>SUM(W22:W48)</f>
        <v/>
      </c>
      <c r="X54" s="25">
        <f>SUM(X22:X48)</f>
        <v/>
      </c>
      <c r="Y54" s="25">
        <f>SUM(Y22:Y48)</f>
        <v/>
      </c>
      <c r="Z54" s="25">
        <f>SUM(Z22:Z48)</f>
        <v/>
      </c>
      <c r="AA54" s="25">
        <f>SUM(AA22:AA48)</f>
        <v/>
      </c>
      <c r="AB54" s="25">
        <f>SUM(AB22:AB48)</f>
        <v/>
      </c>
      <c r="AC54" s="25">
        <f>SUM(AC22:AC48)</f>
        <v/>
      </c>
      <c r="AD54" s="25">
        <f>SUM(AD22:AD48)</f>
        <v/>
      </c>
      <c r="AE54" s="25">
        <f>SUM(AE22:AE48)</f>
        <v/>
      </c>
      <c r="AF54" s="25">
        <f>SUM(AF22:AF48)</f>
        <v/>
      </c>
      <c r="AG54" s="25">
        <f>SUM(AG22:AG48)</f>
        <v/>
      </c>
      <c r="AH54" s="25">
        <f>SUM(AH22:AH48)</f>
        <v/>
      </c>
      <c r="AI54" s="25">
        <f>SUM(AI22:AI48)</f>
        <v/>
      </c>
      <c r="AJ54" s="25">
        <f>SUM(AJ22:AJ48)</f>
        <v/>
      </c>
      <c r="AK54" s="25">
        <f>SUM(AK22:AK48)</f>
        <v/>
      </c>
      <c r="AL54" s="25">
        <f>SUM(AL22:AL48)</f>
        <v/>
      </c>
      <c r="AM54" s="25">
        <f>SUM(AM22:AM48)</f>
        <v/>
      </c>
    </row>
    <row r="55">
      <c r="B55" t="inlineStr">
        <is>
          <t>Luỹ kế IP người thật đã ký</t>
        </is>
      </c>
      <c r="C55" t="inlineStr">
        <is>
          <t>IP</t>
        </is>
      </c>
      <c r="D55" s="25">
        <f>SUM($D$7:D7)</f>
        <v/>
      </c>
      <c r="E55" s="25">
        <f>SUM($D$7:E7)</f>
        <v/>
      </c>
      <c r="F55" s="25">
        <f>SUM($D$7:F7)</f>
        <v/>
      </c>
      <c r="G55" s="25">
        <f>SUM($D$7:G7)</f>
        <v/>
      </c>
      <c r="H55" s="25">
        <f>SUM($D$7:H7)</f>
        <v/>
      </c>
      <c r="I55" s="25">
        <f>SUM($D$7:I7)</f>
        <v/>
      </c>
      <c r="J55" s="25">
        <f>SUM($D$7:J7)</f>
        <v/>
      </c>
      <c r="K55" s="25">
        <f>SUM($D$7:K7)</f>
        <v/>
      </c>
      <c r="L55" s="25">
        <f>SUM($D$7:L7)</f>
        <v/>
      </c>
      <c r="M55" s="25">
        <f>SUM($D$7:M7)</f>
        <v/>
      </c>
      <c r="N55" s="25">
        <f>SUM($D$7:N7)</f>
        <v/>
      </c>
      <c r="O55" s="25">
        <f>SUM($D$7:O7)</f>
        <v/>
      </c>
      <c r="P55" s="25">
        <f>SUM($D$7:P7)</f>
        <v/>
      </c>
      <c r="Q55" s="25">
        <f>SUM($D$7:Q7)</f>
        <v/>
      </c>
      <c r="R55" s="25">
        <f>SUM($D$7:R7)</f>
        <v/>
      </c>
      <c r="S55" s="25">
        <f>SUM($D$7:S7)</f>
        <v/>
      </c>
      <c r="T55" s="25">
        <f>SUM($D$7:T7)</f>
        <v/>
      </c>
      <c r="U55" s="25">
        <f>SUM($D$7:U7)</f>
        <v/>
      </c>
      <c r="V55" s="25">
        <f>SUM($D$7:V7)</f>
        <v/>
      </c>
      <c r="W55" s="25">
        <f>SUM($D$7:W7)</f>
        <v/>
      </c>
      <c r="X55" s="25">
        <f>SUM($D$7:X7)</f>
        <v/>
      </c>
      <c r="Y55" s="25">
        <f>SUM($D$7:Y7)</f>
        <v/>
      </c>
      <c r="Z55" s="25">
        <f>SUM($D$7:Z7)</f>
        <v/>
      </c>
      <c r="AA55" s="25">
        <f>SUM($D$7:AA7)</f>
        <v/>
      </c>
      <c r="AB55" s="25">
        <f>SUM($D$7:AB7)</f>
        <v/>
      </c>
      <c r="AC55" s="25">
        <f>SUM($D$7:AC7)</f>
        <v/>
      </c>
      <c r="AD55" s="25">
        <f>SUM($D$7:AD7)</f>
        <v/>
      </c>
      <c r="AE55" s="25">
        <f>SUM($D$7:AE7)</f>
        <v/>
      </c>
      <c r="AF55" s="25">
        <f>SUM($D$7:AF7)</f>
        <v/>
      </c>
      <c r="AG55" s="25">
        <f>SUM($D$7:AG7)</f>
        <v/>
      </c>
      <c r="AH55" s="25">
        <f>SUM($D$7:AH7)</f>
        <v/>
      </c>
      <c r="AI55" s="25">
        <f>SUM($D$7:AI7)</f>
        <v/>
      </c>
      <c r="AJ55" s="25">
        <f>SUM($D$7:AJ7)</f>
        <v/>
      </c>
      <c r="AK55" s="25">
        <f>SUM($D$7:AK7)</f>
        <v/>
      </c>
      <c r="AL55" s="25">
        <f>SUM($D$7:AL7)</f>
        <v/>
      </c>
      <c r="AM55" s="25">
        <f>SUM($D$7:AM7)</f>
        <v/>
      </c>
    </row>
    <row r="56">
      <c r="B56" t="inlineStr">
        <is>
          <t>Luỹ kế IP người thật đã bị loại/rời bỏ</t>
        </is>
      </c>
      <c r="C56" t="inlineStr">
        <is>
          <t>IP</t>
        </is>
      </c>
      <c r="D56" s="25">
        <f>D55-D49-D50</f>
        <v/>
      </c>
      <c r="E56" s="25">
        <f>E55-E49-E50</f>
        <v/>
      </c>
      <c r="F56" s="25">
        <f>F55-F49-F50</f>
        <v/>
      </c>
      <c r="G56" s="25">
        <f>G55-G49-G50</f>
        <v/>
      </c>
      <c r="H56" s="25">
        <f>H55-H49-H50</f>
        <v/>
      </c>
      <c r="I56" s="25">
        <f>I55-I49-I50</f>
        <v/>
      </c>
      <c r="J56" s="25">
        <f>J55-J49-J50</f>
        <v/>
      </c>
      <c r="K56" s="25">
        <f>K55-K49-K50</f>
        <v/>
      </c>
      <c r="L56" s="25">
        <f>L55-L49-L50</f>
        <v/>
      </c>
      <c r="M56" s="25">
        <f>M55-M49-M50</f>
        <v/>
      </c>
      <c r="N56" s="25">
        <f>N55-N49-N50</f>
        <v/>
      </c>
      <c r="O56" s="25">
        <f>O55-O49-O50</f>
        <v/>
      </c>
      <c r="P56" s="25">
        <f>P55-P49-P50</f>
        <v/>
      </c>
      <c r="Q56" s="25">
        <f>Q55-Q49-Q50</f>
        <v/>
      </c>
      <c r="R56" s="25">
        <f>R55-R49-R50</f>
        <v/>
      </c>
      <c r="S56" s="25">
        <f>S55-S49-S50</f>
        <v/>
      </c>
      <c r="T56" s="25">
        <f>T55-T49-T50</f>
        <v/>
      </c>
      <c r="U56" s="25">
        <f>U55-U49-U50</f>
        <v/>
      </c>
      <c r="V56" s="25">
        <f>V55-V49-V50</f>
        <v/>
      </c>
      <c r="W56" s="25">
        <f>W55-W49-W50</f>
        <v/>
      </c>
      <c r="X56" s="25">
        <f>X55-X49-X50</f>
        <v/>
      </c>
      <c r="Y56" s="25">
        <f>Y55-Y49-Y50</f>
        <v/>
      </c>
      <c r="Z56" s="25">
        <f>Z55-Z49-Z50</f>
        <v/>
      </c>
      <c r="AA56" s="25">
        <f>AA55-AA49-AA50</f>
        <v/>
      </c>
      <c r="AB56" s="25">
        <f>AB55-AB49-AB50</f>
        <v/>
      </c>
      <c r="AC56" s="25">
        <f>AC55-AC49-AC50</f>
        <v/>
      </c>
      <c r="AD56" s="25">
        <f>AD55-AD49-AD50</f>
        <v/>
      </c>
      <c r="AE56" s="25">
        <f>AE55-AE49-AE50</f>
        <v/>
      </c>
      <c r="AF56" s="25">
        <f>AF55-AF49-AF50</f>
        <v/>
      </c>
      <c r="AG56" s="25">
        <f>AG55-AG49-AG50</f>
        <v/>
      </c>
      <c r="AH56" s="25">
        <f>AH55-AH49-AH50</f>
        <v/>
      </c>
      <c r="AI56" s="25">
        <f>AI55-AI49-AI50</f>
        <v/>
      </c>
      <c r="AJ56" s="25">
        <f>AJ55-AJ49-AJ50</f>
        <v/>
      </c>
      <c r="AK56" s="25">
        <f>AK55-AK49-AK50</f>
        <v/>
      </c>
      <c r="AL56" s="25">
        <f>AL55-AL49-AL50</f>
        <v/>
      </c>
      <c r="AM56" s="25">
        <f>AM55-AM49-AM50</f>
        <v/>
      </c>
    </row>
    <row r="58">
      <c r="B58" s="4" t="inlineStr">
        <is>
          <t>B. SỐ IP AI THEO TUỔI</t>
        </is>
      </c>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row>
    <row r="59">
      <c r="B59" s="8" t="inlineStr">
        <is>
          <t>Tuổi (tháng)</t>
        </is>
      </c>
      <c r="C59" s="8" t="inlineStr">
        <is>
          <t>Tỷ lệ sống sót</t>
        </is>
      </c>
    </row>
    <row r="60">
      <c r="B60" t="n">
        <v>0</v>
      </c>
      <c r="C60" s="12">
        <f>Don_vi_IP_AI!D5</f>
        <v/>
      </c>
      <c r="D60" s="25">
        <f>D8*$C60</f>
        <v/>
      </c>
      <c r="E60" s="25">
        <f>E8*$C60</f>
        <v/>
      </c>
      <c r="F60" s="25">
        <f>F8*$C60</f>
        <v/>
      </c>
      <c r="G60" s="25">
        <f>G8*$C60</f>
        <v/>
      </c>
      <c r="H60" s="25">
        <f>H8*$C60</f>
        <v/>
      </c>
      <c r="I60" s="25">
        <f>I8*$C60</f>
        <v/>
      </c>
      <c r="J60" s="25">
        <f>J8*$C60</f>
        <v/>
      </c>
      <c r="K60" s="25">
        <f>K8*$C60</f>
        <v/>
      </c>
      <c r="L60" s="25">
        <f>L8*$C60</f>
        <v/>
      </c>
      <c r="M60" s="25">
        <f>M8*$C60</f>
        <v/>
      </c>
      <c r="N60" s="25">
        <f>N8*$C60</f>
        <v/>
      </c>
      <c r="O60" s="25">
        <f>O8*$C60</f>
        <v/>
      </c>
      <c r="P60" s="25">
        <f>P8*$C60</f>
        <v/>
      </c>
      <c r="Q60" s="25">
        <f>Q8*$C60</f>
        <v/>
      </c>
      <c r="R60" s="25">
        <f>R8*$C60</f>
        <v/>
      </c>
      <c r="S60" s="25">
        <f>S8*$C60</f>
        <v/>
      </c>
      <c r="T60" s="25">
        <f>T8*$C60</f>
        <v/>
      </c>
      <c r="U60" s="25">
        <f>U8*$C60</f>
        <v/>
      </c>
      <c r="V60" s="25">
        <f>V8*$C60</f>
        <v/>
      </c>
      <c r="W60" s="25">
        <f>W8*$C60</f>
        <v/>
      </c>
      <c r="X60" s="25">
        <f>X8*$C60</f>
        <v/>
      </c>
      <c r="Y60" s="25">
        <f>Y8*$C60</f>
        <v/>
      </c>
      <c r="Z60" s="25">
        <f>Z8*$C60</f>
        <v/>
      </c>
      <c r="AA60" s="25">
        <f>AA8*$C60</f>
        <v/>
      </c>
      <c r="AB60" s="25">
        <f>AB8*$C60</f>
        <v/>
      </c>
      <c r="AC60" s="25">
        <f>AC8*$C60</f>
        <v/>
      </c>
      <c r="AD60" s="25">
        <f>AD8*$C60</f>
        <v/>
      </c>
      <c r="AE60" s="25">
        <f>AE8*$C60</f>
        <v/>
      </c>
      <c r="AF60" s="25">
        <f>AF8*$C60</f>
        <v/>
      </c>
      <c r="AG60" s="25">
        <f>AG8*$C60</f>
        <v/>
      </c>
      <c r="AH60" s="25">
        <f>AH8*$C60</f>
        <v/>
      </c>
      <c r="AI60" s="25">
        <f>AI8*$C60</f>
        <v/>
      </c>
      <c r="AJ60" s="25">
        <f>AJ8*$C60</f>
        <v/>
      </c>
      <c r="AK60" s="25">
        <f>AK8*$C60</f>
        <v/>
      </c>
      <c r="AL60" s="25">
        <f>AL8*$C60</f>
        <v/>
      </c>
      <c r="AM60" s="25">
        <f>AM8*$C60</f>
        <v/>
      </c>
    </row>
    <row r="61">
      <c r="B61" t="n">
        <v>1</v>
      </c>
      <c r="C61" s="12">
        <f>Don_vi_IP_AI!D6</f>
        <v/>
      </c>
      <c r="E61" s="25">
        <f>D8*$C61</f>
        <v/>
      </c>
      <c r="F61" s="25">
        <f>E8*$C61</f>
        <v/>
      </c>
      <c r="G61" s="25">
        <f>F8*$C61</f>
        <v/>
      </c>
      <c r="H61" s="25">
        <f>G8*$C61</f>
        <v/>
      </c>
      <c r="I61" s="25">
        <f>H8*$C61</f>
        <v/>
      </c>
      <c r="J61" s="25">
        <f>I8*$C61</f>
        <v/>
      </c>
      <c r="K61" s="25">
        <f>J8*$C61</f>
        <v/>
      </c>
      <c r="L61" s="25">
        <f>K8*$C61</f>
        <v/>
      </c>
      <c r="M61" s="25">
        <f>L8*$C61</f>
        <v/>
      </c>
      <c r="N61" s="25">
        <f>M8*$C61</f>
        <v/>
      </c>
      <c r="O61" s="25">
        <f>N8*$C61</f>
        <v/>
      </c>
      <c r="P61" s="25">
        <f>O8*$C61</f>
        <v/>
      </c>
      <c r="Q61" s="25">
        <f>P8*$C61</f>
        <v/>
      </c>
      <c r="R61" s="25">
        <f>Q8*$C61</f>
        <v/>
      </c>
      <c r="S61" s="25">
        <f>R8*$C61</f>
        <v/>
      </c>
      <c r="T61" s="25">
        <f>S8*$C61</f>
        <v/>
      </c>
      <c r="U61" s="25">
        <f>T8*$C61</f>
        <v/>
      </c>
      <c r="V61" s="25">
        <f>U8*$C61</f>
        <v/>
      </c>
      <c r="W61" s="25">
        <f>V8*$C61</f>
        <v/>
      </c>
      <c r="X61" s="25">
        <f>W8*$C61</f>
        <v/>
      </c>
      <c r="Y61" s="25">
        <f>X8*$C61</f>
        <v/>
      </c>
      <c r="Z61" s="25">
        <f>Y8*$C61</f>
        <v/>
      </c>
      <c r="AA61" s="25">
        <f>Z8*$C61</f>
        <v/>
      </c>
      <c r="AB61" s="25">
        <f>AA8*$C61</f>
        <v/>
      </c>
      <c r="AC61" s="25">
        <f>AB8*$C61</f>
        <v/>
      </c>
      <c r="AD61" s="25">
        <f>AC8*$C61</f>
        <v/>
      </c>
      <c r="AE61" s="25">
        <f>AD8*$C61</f>
        <v/>
      </c>
      <c r="AF61" s="25">
        <f>AE8*$C61</f>
        <v/>
      </c>
      <c r="AG61" s="25">
        <f>AF8*$C61</f>
        <v/>
      </c>
      <c r="AH61" s="25">
        <f>AG8*$C61</f>
        <v/>
      </c>
      <c r="AI61" s="25">
        <f>AH8*$C61</f>
        <v/>
      </c>
      <c r="AJ61" s="25">
        <f>AI8*$C61</f>
        <v/>
      </c>
      <c r="AK61" s="25">
        <f>AJ8*$C61</f>
        <v/>
      </c>
      <c r="AL61" s="25">
        <f>AK8*$C61</f>
        <v/>
      </c>
      <c r="AM61" s="25">
        <f>AL8*$C61</f>
        <v/>
      </c>
    </row>
    <row r="62">
      <c r="B62" t="n">
        <v>2</v>
      </c>
      <c r="C62" s="12">
        <f>Don_vi_IP_AI!D7</f>
        <v/>
      </c>
      <c r="F62" s="25">
        <f>D8*$C62</f>
        <v/>
      </c>
      <c r="G62" s="25">
        <f>E8*$C62</f>
        <v/>
      </c>
      <c r="H62" s="25">
        <f>F8*$C62</f>
        <v/>
      </c>
      <c r="I62" s="25">
        <f>G8*$C62</f>
        <v/>
      </c>
      <c r="J62" s="25">
        <f>H8*$C62</f>
        <v/>
      </c>
      <c r="K62" s="25">
        <f>I8*$C62</f>
        <v/>
      </c>
      <c r="L62" s="25">
        <f>J8*$C62</f>
        <v/>
      </c>
      <c r="M62" s="25">
        <f>K8*$C62</f>
        <v/>
      </c>
      <c r="N62" s="25">
        <f>L8*$C62</f>
        <v/>
      </c>
      <c r="O62" s="25">
        <f>M8*$C62</f>
        <v/>
      </c>
      <c r="P62" s="25">
        <f>N8*$C62</f>
        <v/>
      </c>
      <c r="Q62" s="25">
        <f>O8*$C62</f>
        <v/>
      </c>
      <c r="R62" s="25">
        <f>P8*$C62</f>
        <v/>
      </c>
      <c r="S62" s="25">
        <f>Q8*$C62</f>
        <v/>
      </c>
      <c r="T62" s="25">
        <f>R8*$C62</f>
        <v/>
      </c>
      <c r="U62" s="25">
        <f>S8*$C62</f>
        <v/>
      </c>
      <c r="V62" s="25">
        <f>T8*$C62</f>
        <v/>
      </c>
      <c r="W62" s="25">
        <f>U8*$C62</f>
        <v/>
      </c>
      <c r="X62" s="25">
        <f>V8*$C62</f>
        <v/>
      </c>
      <c r="Y62" s="25">
        <f>W8*$C62</f>
        <v/>
      </c>
      <c r="Z62" s="25">
        <f>X8*$C62</f>
        <v/>
      </c>
      <c r="AA62" s="25">
        <f>Y8*$C62</f>
        <v/>
      </c>
      <c r="AB62" s="25">
        <f>Z8*$C62</f>
        <v/>
      </c>
      <c r="AC62" s="25">
        <f>AA8*$C62</f>
        <v/>
      </c>
      <c r="AD62" s="25">
        <f>AB8*$C62</f>
        <v/>
      </c>
      <c r="AE62" s="25">
        <f>AC8*$C62</f>
        <v/>
      </c>
      <c r="AF62" s="25">
        <f>AD8*$C62</f>
        <v/>
      </c>
      <c r="AG62" s="25">
        <f>AE8*$C62</f>
        <v/>
      </c>
      <c r="AH62" s="25">
        <f>AF8*$C62</f>
        <v/>
      </c>
      <c r="AI62" s="25">
        <f>AG8*$C62</f>
        <v/>
      </c>
      <c r="AJ62" s="25">
        <f>AH8*$C62</f>
        <v/>
      </c>
      <c r="AK62" s="25">
        <f>AI8*$C62</f>
        <v/>
      </c>
      <c r="AL62" s="25">
        <f>AJ8*$C62</f>
        <v/>
      </c>
      <c r="AM62" s="25">
        <f>AK8*$C62</f>
        <v/>
      </c>
    </row>
    <row r="63">
      <c r="B63" t="n">
        <v>3</v>
      </c>
      <c r="C63" s="12">
        <f>Don_vi_IP_AI!D8</f>
        <v/>
      </c>
      <c r="G63" s="25">
        <f>D8*$C63</f>
        <v/>
      </c>
      <c r="H63" s="25">
        <f>E8*$C63</f>
        <v/>
      </c>
      <c r="I63" s="25">
        <f>F8*$C63</f>
        <v/>
      </c>
      <c r="J63" s="25">
        <f>G8*$C63</f>
        <v/>
      </c>
      <c r="K63" s="25">
        <f>H8*$C63</f>
        <v/>
      </c>
      <c r="L63" s="25">
        <f>I8*$C63</f>
        <v/>
      </c>
      <c r="M63" s="25">
        <f>J8*$C63</f>
        <v/>
      </c>
      <c r="N63" s="25">
        <f>K8*$C63</f>
        <v/>
      </c>
      <c r="O63" s="25">
        <f>L8*$C63</f>
        <v/>
      </c>
      <c r="P63" s="25">
        <f>M8*$C63</f>
        <v/>
      </c>
      <c r="Q63" s="25">
        <f>N8*$C63</f>
        <v/>
      </c>
      <c r="R63" s="25">
        <f>O8*$C63</f>
        <v/>
      </c>
      <c r="S63" s="25">
        <f>P8*$C63</f>
        <v/>
      </c>
      <c r="T63" s="25">
        <f>Q8*$C63</f>
        <v/>
      </c>
      <c r="U63" s="25">
        <f>R8*$C63</f>
        <v/>
      </c>
      <c r="V63" s="25">
        <f>S8*$C63</f>
        <v/>
      </c>
      <c r="W63" s="25">
        <f>T8*$C63</f>
        <v/>
      </c>
      <c r="X63" s="25">
        <f>U8*$C63</f>
        <v/>
      </c>
      <c r="Y63" s="25">
        <f>V8*$C63</f>
        <v/>
      </c>
      <c r="Z63" s="25">
        <f>W8*$C63</f>
        <v/>
      </c>
      <c r="AA63" s="25">
        <f>X8*$C63</f>
        <v/>
      </c>
      <c r="AB63" s="25">
        <f>Y8*$C63</f>
        <v/>
      </c>
      <c r="AC63" s="25">
        <f>Z8*$C63</f>
        <v/>
      </c>
      <c r="AD63" s="25">
        <f>AA8*$C63</f>
        <v/>
      </c>
      <c r="AE63" s="25">
        <f>AB8*$C63</f>
        <v/>
      </c>
      <c r="AF63" s="25">
        <f>AC8*$C63</f>
        <v/>
      </c>
      <c r="AG63" s="25">
        <f>AD8*$C63</f>
        <v/>
      </c>
      <c r="AH63" s="25">
        <f>AE8*$C63</f>
        <v/>
      </c>
      <c r="AI63" s="25">
        <f>AF8*$C63</f>
        <v/>
      </c>
      <c r="AJ63" s="25">
        <f>AG8*$C63</f>
        <v/>
      </c>
      <c r="AK63" s="25">
        <f>AH8*$C63</f>
        <v/>
      </c>
      <c r="AL63" s="25">
        <f>AI8*$C63</f>
        <v/>
      </c>
      <c r="AM63" s="25">
        <f>AJ8*$C63</f>
        <v/>
      </c>
    </row>
    <row r="64">
      <c r="B64" t="n">
        <v>4</v>
      </c>
      <c r="C64" s="12">
        <f>Don_vi_IP_AI!D9</f>
        <v/>
      </c>
      <c r="H64" s="25">
        <f>D8*$C64</f>
        <v/>
      </c>
      <c r="I64" s="25">
        <f>E8*$C64</f>
        <v/>
      </c>
      <c r="J64" s="25">
        <f>F8*$C64</f>
        <v/>
      </c>
      <c r="K64" s="25">
        <f>G8*$C64</f>
        <v/>
      </c>
      <c r="L64" s="25">
        <f>H8*$C64</f>
        <v/>
      </c>
      <c r="M64" s="25">
        <f>I8*$C64</f>
        <v/>
      </c>
      <c r="N64" s="25">
        <f>J8*$C64</f>
        <v/>
      </c>
      <c r="O64" s="25">
        <f>K8*$C64</f>
        <v/>
      </c>
      <c r="P64" s="25">
        <f>L8*$C64</f>
        <v/>
      </c>
      <c r="Q64" s="25">
        <f>M8*$C64</f>
        <v/>
      </c>
      <c r="R64" s="25">
        <f>N8*$C64</f>
        <v/>
      </c>
      <c r="S64" s="25">
        <f>O8*$C64</f>
        <v/>
      </c>
      <c r="T64" s="25">
        <f>P8*$C64</f>
        <v/>
      </c>
      <c r="U64" s="25">
        <f>Q8*$C64</f>
        <v/>
      </c>
      <c r="V64" s="25">
        <f>R8*$C64</f>
        <v/>
      </c>
      <c r="W64" s="25">
        <f>S8*$C64</f>
        <v/>
      </c>
      <c r="X64" s="25">
        <f>T8*$C64</f>
        <v/>
      </c>
      <c r="Y64" s="25">
        <f>U8*$C64</f>
        <v/>
      </c>
      <c r="Z64" s="25">
        <f>V8*$C64</f>
        <v/>
      </c>
      <c r="AA64" s="25">
        <f>W8*$C64</f>
        <v/>
      </c>
      <c r="AB64" s="25">
        <f>X8*$C64</f>
        <v/>
      </c>
      <c r="AC64" s="25">
        <f>Y8*$C64</f>
        <v/>
      </c>
      <c r="AD64" s="25">
        <f>Z8*$C64</f>
        <v/>
      </c>
      <c r="AE64" s="25">
        <f>AA8*$C64</f>
        <v/>
      </c>
      <c r="AF64" s="25">
        <f>AB8*$C64</f>
        <v/>
      </c>
      <c r="AG64" s="25">
        <f>AC8*$C64</f>
        <v/>
      </c>
      <c r="AH64" s="25">
        <f>AD8*$C64</f>
        <v/>
      </c>
      <c r="AI64" s="25">
        <f>AE8*$C64</f>
        <v/>
      </c>
      <c r="AJ64" s="25">
        <f>AF8*$C64</f>
        <v/>
      </c>
      <c r="AK64" s="25">
        <f>AG8*$C64</f>
        <v/>
      </c>
      <c r="AL64" s="25">
        <f>AH8*$C64</f>
        <v/>
      </c>
      <c r="AM64" s="25">
        <f>AI8*$C64</f>
        <v/>
      </c>
    </row>
    <row r="65">
      <c r="B65" t="n">
        <v>5</v>
      </c>
      <c r="C65" s="12">
        <f>Don_vi_IP_AI!D10</f>
        <v/>
      </c>
      <c r="I65" s="25">
        <f>D8*$C65</f>
        <v/>
      </c>
      <c r="J65" s="25">
        <f>E8*$C65</f>
        <v/>
      </c>
      <c r="K65" s="25">
        <f>F8*$C65</f>
        <v/>
      </c>
      <c r="L65" s="25">
        <f>G8*$C65</f>
        <v/>
      </c>
      <c r="M65" s="25">
        <f>H8*$C65</f>
        <v/>
      </c>
      <c r="N65" s="25">
        <f>I8*$C65</f>
        <v/>
      </c>
      <c r="O65" s="25">
        <f>J8*$C65</f>
        <v/>
      </c>
      <c r="P65" s="25">
        <f>K8*$C65</f>
        <v/>
      </c>
      <c r="Q65" s="25">
        <f>L8*$C65</f>
        <v/>
      </c>
      <c r="R65" s="25">
        <f>M8*$C65</f>
        <v/>
      </c>
      <c r="S65" s="25">
        <f>N8*$C65</f>
        <v/>
      </c>
      <c r="T65" s="25">
        <f>O8*$C65</f>
        <v/>
      </c>
      <c r="U65" s="25">
        <f>P8*$C65</f>
        <v/>
      </c>
      <c r="V65" s="25">
        <f>Q8*$C65</f>
        <v/>
      </c>
      <c r="W65" s="25">
        <f>R8*$C65</f>
        <v/>
      </c>
      <c r="X65" s="25">
        <f>S8*$C65</f>
        <v/>
      </c>
      <c r="Y65" s="25">
        <f>T8*$C65</f>
        <v/>
      </c>
      <c r="Z65" s="25">
        <f>U8*$C65</f>
        <v/>
      </c>
      <c r="AA65" s="25">
        <f>V8*$C65</f>
        <v/>
      </c>
      <c r="AB65" s="25">
        <f>W8*$C65</f>
        <v/>
      </c>
      <c r="AC65" s="25">
        <f>X8*$C65</f>
        <v/>
      </c>
      <c r="AD65" s="25">
        <f>Y8*$C65</f>
        <v/>
      </c>
      <c r="AE65" s="25">
        <f>Z8*$C65</f>
        <v/>
      </c>
      <c r="AF65" s="25">
        <f>AA8*$C65</f>
        <v/>
      </c>
      <c r="AG65" s="25">
        <f>AB8*$C65</f>
        <v/>
      </c>
      <c r="AH65" s="25">
        <f>AC8*$C65</f>
        <v/>
      </c>
      <c r="AI65" s="25">
        <f>AD8*$C65</f>
        <v/>
      </c>
      <c r="AJ65" s="25">
        <f>AE8*$C65</f>
        <v/>
      </c>
      <c r="AK65" s="25">
        <f>AF8*$C65</f>
        <v/>
      </c>
      <c r="AL65" s="25">
        <f>AG8*$C65</f>
        <v/>
      </c>
      <c r="AM65" s="25">
        <f>AH8*$C65</f>
        <v/>
      </c>
    </row>
    <row r="66">
      <c r="B66" t="n">
        <v>6</v>
      </c>
      <c r="C66" s="12">
        <f>Don_vi_IP_AI!D11</f>
        <v/>
      </c>
      <c r="J66" s="25">
        <f>D8*$C66</f>
        <v/>
      </c>
      <c r="K66" s="25">
        <f>E8*$C66</f>
        <v/>
      </c>
      <c r="L66" s="25">
        <f>F8*$C66</f>
        <v/>
      </c>
      <c r="M66" s="25">
        <f>G8*$C66</f>
        <v/>
      </c>
      <c r="N66" s="25">
        <f>H8*$C66</f>
        <v/>
      </c>
      <c r="O66" s="25">
        <f>I8*$C66</f>
        <v/>
      </c>
      <c r="P66" s="25">
        <f>J8*$C66</f>
        <v/>
      </c>
      <c r="Q66" s="25">
        <f>K8*$C66</f>
        <v/>
      </c>
      <c r="R66" s="25">
        <f>L8*$C66</f>
        <v/>
      </c>
      <c r="S66" s="25">
        <f>M8*$C66</f>
        <v/>
      </c>
      <c r="T66" s="25">
        <f>N8*$C66</f>
        <v/>
      </c>
      <c r="U66" s="25">
        <f>O8*$C66</f>
        <v/>
      </c>
      <c r="V66" s="25">
        <f>P8*$C66</f>
        <v/>
      </c>
      <c r="W66" s="25">
        <f>Q8*$C66</f>
        <v/>
      </c>
      <c r="X66" s="25">
        <f>R8*$C66</f>
        <v/>
      </c>
      <c r="Y66" s="25">
        <f>S8*$C66</f>
        <v/>
      </c>
      <c r="Z66" s="25">
        <f>T8*$C66</f>
        <v/>
      </c>
      <c r="AA66" s="25">
        <f>U8*$C66</f>
        <v/>
      </c>
      <c r="AB66" s="25">
        <f>V8*$C66</f>
        <v/>
      </c>
      <c r="AC66" s="25">
        <f>W8*$C66</f>
        <v/>
      </c>
      <c r="AD66" s="25">
        <f>X8*$C66</f>
        <v/>
      </c>
      <c r="AE66" s="25">
        <f>Y8*$C66</f>
        <v/>
      </c>
      <c r="AF66" s="25">
        <f>Z8*$C66</f>
        <v/>
      </c>
      <c r="AG66" s="25">
        <f>AA8*$C66</f>
        <v/>
      </c>
      <c r="AH66" s="25">
        <f>AB8*$C66</f>
        <v/>
      </c>
      <c r="AI66" s="25">
        <f>AC8*$C66</f>
        <v/>
      </c>
      <c r="AJ66" s="25">
        <f>AD8*$C66</f>
        <v/>
      </c>
      <c r="AK66" s="25">
        <f>AE8*$C66</f>
        <v/>
      </c>
      <c r="AL66" s="25">
        <f>AF8*$C66</f>
        <v/>
      </c>
      <c r="AM66" s="25">
        <f>AG8*$C66</f>
        <v/>
      </c>
    </row>
    <row r="67">
      <c r="B67" t="n">
        <v>7</v>
      </c>
      <c r="C67" s="12">
        <f>Don_vi_IP_AI!D12</f>
        <v/>
      </c>
      <c r="K67" s="25">
        <f>D8*$C67</f>
        <v/>
      </c>
      <c r="L67" s="25">
        <f>E8*$C67</f>
        <v/>
      </c>
      <c r="M67" s="25">
        <f>F8*$C67</f>
        <v/>
      </c>
      <c r="N67" s="25">
        <f>G8*$C67</f>
        <v/>
      </c>
      <c r="O67" s="25">
        <f>H8*$C67</f>
        <v/>
      </c>
      <c r="P67" s="25">
        <f>I8*$C67</f>
        <v/>
      </c>
      <c r="Q67" s="25">
        <f>J8*$C67</f>
        <v/>
      </c>
      <c r="R67" s="25">
        <f>K8*$C67</f>
        <v/>
      </c>
      <c r="S67" s="25">
        <f>L8*$C67</f>
        <v/>
      </c>
      <c r="T67" s="25">
        <f>M8*$C67</f>
        <v/>
      </c>
      <c r="U67" s="25">
        <f>N8*$C67</f>
        <v/>
      </c>
      <c r="V67" s="25">
        <f>O8*$C67</f>
        <v/>
      </c>
      <c r="W67" s="25">
        <f>P8*$C67</f>
        <v/>
      </c>
      <c r="X67" s="25">
        <f>Q8*$C67</f>
        <v/>
      </c>
      <c r="Y67" s="25">
        <f>R8*$C67</f>
        <v/>
      </c>
      <c r="Z67" s="25">
        <f>S8*$C67</f>
        <v/>
      </c>
      <c r="AA67" s="25">
        <f>T8*$C67</f>
        <v/>
      </c>
      <c r="AB67" s="25">
        <f>U8*$C67</f>
        <v/>
      </c>
      <c r="AC67" s="25">
        <f>V8*$C67</f>
        <v/>
      </c>
      <c r="AD67" s="25">
        <f>W8*$C67</f>
        <v/>
      </c>
      <c r="AE67" s="25">
        <f>X8*$C67</f>
        <v/>
      </c>
      <c r="AF67" s="25">
        <f>Y8*$C67</f>
        <v/>
      </c>
      <c r="AG67" s="25">
        <f>Z8*$C67</f>
        <v/>
      </c>
      <c r="AH67" s="25">
        <f>AA8*$C67</f>
        <v/>
      </c>
      <c r="AI67" s="25">
        <f>AB8*$C67</f>
        <v/>
      </c>
      <c r="AJ67" s="25">
        <f>AC8*$C67</f>
        <v/>
      </c>
      <c r="AK67" s="25">
        <f>AD8*$C67</f>
        <v/>
      </c>
      <c r="AL67" s="25">
        <f>AE8*$C67</f>
        <v/>
      </c>
      <c r="AM67" s="25">
        <f>AF8*$C67</f>
        <v/>
      </c>
    </row>
    <row r="68">
      <c r="B68" t="n">
        <v>8</v>
      </c>
      <c r="C68" s="12">
        <f>Don_vi_IP_AI!D13</f>
        <v/>
      </c>
      <c r="L68" s="25">
        <f>D8*$C68</f>
        <v/>
      </c>
      <c r="M68" s="25">
        <f>E8*$C68</f>
        <v/>
      </c>
      <c r="N68" s="25">
        <f>F8*$C68</f>
        <v/>
      </c>
      <c r="O68" s="25">
        <f>G8*$C68</f>
        <v/>
      </c>
      <c r="P68" s="25">
        <f>H8*$C68</f>
        <v/>
      </c>
      <c r="Q68" s="25">
        <f>I8*$C68</f>
        <v/>
      </c>
      <c r="R68" s="25">
        <f>J8*$C68</f>
        <v/>
      </c>
      <c r="S68" s="25">
        <f>K8*$C68</f>
        <v/>
      </c>
      <c r="T68" s="25">
        <f>L8*$C68</f>
        <v/>
      </c>
      <c r="U68" s="25">
        <f>M8*$C68</f>
        <v/>
      </c>
      <c r="V68" s="25">
        <f>N8*$C68</f>
        <v/>
      </c>
      <c r="W68" s="25">
        <f>O8*$C68</f>
        <v/>
      </c>
      <c r="X68" s="25">
        <f>P8*$C68</f>
        <v/>
      </c>
      <c r="Y68" s="25">
        <f>Q8*$C68</f>
        <v/>
      </c>
      <c r="Z68" s="25">
        <f>R8*$C68</f>
        <v/>
      </c>
      <c r="AA68" s="25">
        <f>S8*$C68</f>
        <v/>
      </c>
      <c r="AB68" s="25">
        <f>T8*$C68</f>
        <v/>
      </c>
      <c r="AC68" s="25">
        <f>U8*$C68</f>
        <v/>
      </c>
      <c r="AD68" s="25">
        <f>V8*$C68</f>
        <v/>
      </c>
      <c r="AE68" s="25">
        <f>W8*$C68</f>
        <v/>
      </c>
      <c r="AF68" s="25">
        <f>X8*$C68</f>
        <v/>
      </c>
      <c r="AG68" s="25">
        <f>Y8*$C68</f>
        <v/>
      </c>
      <c r="AH68" s="25">
        <f>Z8*$C68</f>
        <v/>
      </c>
      <c r="AI68" s="25">
        <f>AA8*$C68</f>
        <v/>
      </c>
      <c r="AJ68" s="25">
        <f>AB8*$C68</f>
        <v/>
      </c>
      <c r="AK68" s="25">
        <f>AC8*$C68</f>
        <v/>
      </c>
      <c r="AL68" s="25">
        <f>AD8*$C68</f>
        <v/>
      </c>
      <c r="AM68" s="25">
        <f>AE8*$C68</f>
        <v/>
      </c>
    </row>
    <row r="69">
      <c r="B69" t="n">
        <v>9</v>
      </c>
      <c r="C69" s="12">
        <f>Don_vi_IP_AI!D14</f>
        <v/>
      </c>
      <c r="M69" s="25">
        <f>D8*$C69</f>
        <v/>
      </c>
      <c r="N69" s="25">
        <f>E8*$C69</f>
        <v/>
      </c>
      <c r="O69" s="25">
        <f>F8*$C69</f>
        <v/>
      </c>
      <c r="P69" s="25">
        <f>G8*$C69</f>
        <v/>
      </c>
      <c r="Q69" s="25">
        <f>H8*$C69</f>
        <v/>
      </c>
      <c r="R69" s="25">
        <f>I8*$C69</f>
        <v/>
      </c>
      <c r="S69" s="25">
        <f>J8*$C69</f>
        <v/>
      </c>
      <c r="T69" s="25">
        <f>K8*$C69</f>
        <v/>
      </c>
      <c r="U69" s="25">
        <f>L8*$C69</f>
        <v/>
      </c>
      <c r="V69" s="25">
        <f>M8*$C69</f>
        <v/>
      </c>
      <c r="W69" s="25">
        <f>N8*$C69</f>
        <v/>
      </c>
      <c r="X69" s="25">
        <f>O8*$C69</f>
        <v/>
      </c>
      <c r="Y69" s="25">
        <f>P8*$C69</f>
        <v/>
      </c>
      <c r="Z69" s="25">
        <f>Q8*$C69</f>
        <v/>
      </c>
      <c r="AA69" s="25">
        <f>R8*$C69</f>
        <v/>
      </c>
      <c r="AB69" s="25">
        <f>S8*$C69</f>
        <v/>
      </c>
      <c r="AC69" s="25">
        <f>T8*$C69</f>
        <v/>
      </c>
      <c r="AD69" s="25">
        <f>U8*$C69</f>
        <v/>
      </c>
      <c r="AE69" s="25">
        <f>V8*$C69</f>
        <v/>
      </c>
      <c r="AF69" s="25">
        <f>W8*$C69</f>
        <v/>
      </c>
      <c r="AG69" s="25">
        <f>X8*$C69</f>
        <v/>
      </c>
      <c r="AH69" s="25">
        <f>Y8*$C69</f>
        <v/>
      </c>
      <c r="AI69" s="25">
        <f>Z8*$C69</f>
        <v/>
      </c>
      <c r="AJ69" s="25">
        <f>AA8*$C69</f>
        <v/>
      </c>
      <c r="AK69" s="25">
        <f>AB8*$C69</f>
        <v/>
      </c>
      <c r="AL69" s="25">
        <f>AC8*$C69</f>
        <v/>
      </c>
      <c r="AM69" s="25">
        <f>AD8*$C69</f>
        <v/>
      </c>
    </row>
    <row r="70">
      <c r="B70" t="n">
        <v>10</v>
      </c>
      <c r="C70" s="12">
        <f>Don_vi_IP_AI!D15</f>
        <v/>
      </c>
      <c r="N70" s="25">
        <f>D8*$C70</f>
        <v/>
      </c>
      <c r="O70" s="25">
        <f>E8*$C70</f>
        <v/>
      </c>
      <c r="P70" s="25">
        <f>F8*$C70</f>
        <v/>
      </c>
      <c r="Q70" s="25">
        <f>G8*$C70</f>
        <v/>
      </c>
      <c r="R70" s="25">
        <f>H8*$C70</f>
        <v/>
      </c>
      <c r="S70" s="25">
        <f>I8*$C70</f>
        <v/>
      </c>
      <c r="T70" s="25">
        <f>J8*$C70</f>
        <v/>
      </c>
      <c r="U70" s="25">
        <f>K8*$C70</f>
        <v/>
      </c>
      <c r="V70" s="25">
        <f>L8*$C70</f>
        <v/>
      </c>
      <c r="W70" s="25">
        <f>M8*$C70</f>
        <v/>
      </c>
      <c r="X70" s="25">
        <f>N8*$C70</f>
        <v/>
      </c>
      <c r="Y70" s="25">
        <f>O8*$C70</f>
        <v/>
      </c>
      <c r="Z70" s="25">
        <f>P8*$C70</f>
        <v/>
      </c>
      <c r="AA70" s="25">
        <f>Q8*$C70</f>
        <v/>
      </c>
      <c r="AB70" s="25">
        <f>R8*$C70</f>
        <v/>
      </c>
      <c r="AC70" s="25">
        <f>S8*$C70</f>
        <v/>
      </c>
      <c r="AD70" s="25">
        <f>T8*$C70</f>
        <v/>
      </c>
      <c r="AE70" s="25">
        <f>U8*$C70</f>
        <v/>
      </c>
      <c r="AF70" s="25">
        <f>V8*$C70</f>
        <v/>
      </c>
      <c r="AG70" s="25">
        <f>W8*$C70</f>
        <v/>
      </c>
      <c r="AH70" s="25">
        <f>X8*$C70</f>
        <v/>
      </c>
      <c r="AI70" s="25">
        <f>Y8*$C70</f>
        <v/>
      </c>
      <c r="AJ70" s="25">
        <f>Z8*$C70</f>
        <v/>
      </c>
      <c r="AK70" s="25">
        <f>AA8*$C70</f>
        <v/>
      </c>
      <c r="AL70" s="25">
        <f>AB8*$C70</f>
        <v/>
      </c>
      <c r="AM70" s="25">
        <f>AC8*$C70</f>
        <v/>
      </c>
    </row>
    <row r="71">
      <c r="B71" t="n">
        <v>11</v>
      </c>
      <c r="C71" s="12">
        <f>Don_vi_IP_AI!D16</f>
        <v/>
      </c>
      <c r="O71" s="25">
        <f>D8*$C71</f>
        <v/>
      </c>
      <c r="P71" s="25">
        <f>E8*$C71</f>
        <v/>
      </c>
      <c r="Q71" s="25">
        <f>F8*$C71</f>
        <v/>
      </c>
      <c r="R71" s="25">
        <f>G8*$C71</f>
        <v/>
      </c>
      <c r="S71" s="25">
        <f>H8*$C71</f>
        <v/>
      </c>
      <c r="T71" s="25">
        <f>I8*$C71</f>
        <v/>
      </c>
      <c r="U71" s="25">
        <f>J8*$C71</f>
        <v/>
      </c>
      <c r="V71" s="25">
        <f>K8*$C71</f>
        <v/>
      </c>
      <c r="W71" s="25">
        <f>L8*$C71</f>
        <v/>
      </c>
      <c r="X71" s="25">
        <f>M8*$C71</f>
        <v/>
      </c>
      <c r="Y71" s="25">
        <f>N8*$C71</f>
        <v/>
      </c>
      <c r="Z71" s="25">
        <f>O8*$C71</f>
        <v/>
      </c>
      <c r="AA71" s="25">
        <f>P8*$C71</f>
        <v/>
      </c>
      <c r="AB71" s="25">
        <f>Q8*$C71</f>
        <v/>
      </c>
      <c r="AC71" s="25">
        <f>R8*$C71</f>
        <v/>
      </c>
      <c r="AD71" s="25">
        <f>S8*$C71</f>
        <v/>
      </c>
      <c r="AE71" s="25">
        <f>T8*$C71</f>
        <v/>
      </c>
      <c r="AF71" s="25">
        <f>U8*$C71</f>
        <v/>
      </c>
      <c r="AG71" s="25">
        <f>V8*$C71</f>
        <v/>
      </c>
      <c r="AH71" s="25">
        <f>W8*$C71</f>
        <v/>
      </c>
      <c r="AI71" s="25">
        <f>X8*$C71</f>
        <v/>
      </c>
      <c r="AJ71" s="25">
        <f>Y8*$C71</f>
        <v/>
      </c>
      <c r="AK71" s="25">
        <f>Z8*$C71</f>
        <v/>
      </c>
      <c r="AL71" s="25">
        <f>AA8*$C71</f>
        <v/>
      </c>
      <c r="AM71" s="25">
        <f>AB8*$C71</f>
        <v/>
      </c>
    </row>
    <row r="72">
      <c r="B72" t="n">
        <v>12</v>
      </c>
      <c r="C72" s="12">
        <f>Don_vi_IP_AI!D17</f>
        <v/>
      </c>
      <c r="P72" s="25">
        <f>D8*$C72</f>
        <v/>
      </c>
      <c r="Q72" s="25">
        <f>E8*$C72</f>
        <v/>
      </c>
      <c r="R72" s="25">
        <f>F8*$C72</f>
        <v/>
      </c>
      <c r="S72" s="25">
        <f>G8*$C72</f>
        <v/>
      </c>
      <c r="T72" s="25">
        <f>H8*$C72</f>
        <v/>
      </c>
      <c r="U72" s="25">
        <f>I8*$C72</f>
        <v/>
      </c>
      <c r="V72" s="25">
        <f>J8*$C72</f>
        <v/>
      </c>
      <c r="W72" s="25">
        <f>K8*$C72</f>
        <v/>
      </c>
      <c r="X72" s="25">
        <f>L8*$C72</f>
        <v/>
      </c>
      <c r="Y72" s="25">
        <f>M8*$C72</f>
        <v/>
      </c>
      <c r="Z72" s="25">
        <f>N8*$C72</f>
        <v/>
      </c>
      <c r="AA72" s="25">
        <f>O8*$C72</f>
        <v/>
      </c>
      <c r="AB72" s="25">
        <f>P8*$C72</f>
        <v/>
      </c>
      <c r="AC72" s="25">
        <f>Q8*$C72</f>
        <v/>
      </c>
      <c r="AD72" s="25">
        <f>R8*$C72</f>
        <v/>
      </c>
      <c r="AE72" s="25">
        <f>S8*$C72</f>
        <v/>
      </c>
      <c r="AF72" s="25">
        <f>T8*$C72</f>
        <v/>
      </c>
      <c r="AG72" s="25">
        <f>U8*$C72</f>
        <v/>
      </c>
      <c r="AH72" s="25">
        <f>V8*$C72</f>
        <v/>
      </c>
      <c r="AI72" s="25">
        <f>W8*$C72</f>
        <v/>
      </c>
      <c r="AJ72" s="25">
        <f>X8*$C72</f>
        <v/>
      </c>
      <c r="AK72" s="25">
        <f>Y8*$C72</f>
        <v/>
      </c>
      <c r="AL72" s="25">
        <f>Z8*$C72</f>
        <v/>
      </c>
      <c r="AM72" s="25">
        <f>AA8*$C72</f>
        <v/>
      </c>
    </row>
    <row r="73">
      <c r="B73" t="n">
        <v>13</v>
      </c>
      <c r="C73" s="12">
        <f>Don_vi_IP_AI!D18</f>
        <v/>
      </c>
      <c r="Q73" s="25">
        <f>D8*$C73</f>
        <v/>
      </c>
      <c r="R73" s="25">
        <f>E8*$C73</f>
        <v/>
      </c>
      <c r="S73" s="25">
        <f>F8*$C73</f>
        <v/>
      </c>
      <c r="T73" s="25">
        <f>G8*$C73</f>
        <v/>
      </c>
      <c r="U73" s="25">
        <f>H8*$C73</f>
        <v/>
      </c>
      <c r="V73" s="25">
        <f>I8*$C73</f>
        <v/>
      </c>
      <c r="W73" s="25">
        <f>J8*$C73</f>
        <v/>
      </c>
      <c r="X73" s="25">
        <f>K8*$C73</f>
        <v/>
      </c>
      <c r="Y73" s="25">
        <f>L8*$C73</f>
        <v/>
      </c>
      <c r="Z73" s="25">
        <f>M8*$C73</f>
        <v/>
      </c>
      <c r="AA73" s="25">
        <f>N8*$C73</f>
        <v/>
      </c>
      <c r="AB73" s="25">
        <f>O8*$C73</f>
        <v/>
      </c>
      <c r="AC73" s="25">
        <f>P8*$C73</f>
        <v/>
      </c>
      <c r="AD73" s="25">
        <f>Q8*$C73</f>
        <v/>
      </c>
      <c r="AE73" s="25">
        <f>R8*$C73</f>
        <v/>
      </c>
      <c r="AF73" s="25">
        <f>S8*$C73</f>
        <v/>
      </c>
      <c r="AG73" s="25">
        <f>T8*$C73</f>
        <v/>
      </c>
      <c r="AH73" s="25">
        <f>U8*$C73</f>
        <v/>
      </c>
      <c r="AI73" s="25">
        <f>V8*$C73</f>
        <v/>
      </c>
      <c r="AJ73" s="25">
        <f>W8*$C73</f>
        <v/>
      </c>
      <c r="AK73" s="25">
        <f>X8*$C73</f>
        <v/>
      </c>
      <c r="AL73" s="25">
        <f>Y8*$C73</f>
        <v/>
      </c>
      <c r="AM73" s="25">
        <f>Z8*$C73</f>
        <v/>
      </c>
    </row>
    <row r="74">
      <c r="B74" t="n">
        <v>14</v>
      </c>
      <c r="C74" s="12">
        <f>Don_vi_IP_AI!D19</f>
        <v/>
      </c>
      <c r="R74" s="25">
        <f>D8*$C74</f>
        <v/>
      </c>
      <c r="S74" s="25">
        <f>E8*$C74</f>
        <v/>
      </c>
      <c r="T74" s="25">
        <f>F8*$C74</f>
        <v/>
      </c>
      <c r="U74" s="25">
        <f>G8*$C74</f>
        <v/>
      </c>
      <c r="V74" s="25">
        <f>H8*$C74</f>
        <v/>
      </c>
      <c r="W74" s="25">
        <f>I8*$C74</f>
        <v/>
      </c>
      <c r="X74" s="25">
        <f>J8*$C74</f>
        <v/>
      </c>
      <c r="Y74" s="25">
        <f>K8*$C74</f>
        <v/>
      </c>
      <c r="Z74" s="25">
        <f>L8*$C74</f>
        <v/>
      </c>
      <c r="AA74" s="25">
        <f>M8*$C74</f>
        <v/>
      </c>
      <c r="AB74" s="25">
        <f>N8*$C74</f>
        <v/>
      </c>
      <c r="AC74" s="25">
        <f>O8*$C74</f>
        <v/>
      </c>
      <c r="AD74" s="25">
        <f>P8*$C74</f>
        <v/>
      </c>
      <c r="AE74" s="25">
        <f>Q8*$C74</f>
        <v/>
      </c>
      <c r="AF74" s="25">
        <f>R8*$C74</f>
        <v/>
      </c>
      <c r="AG74" s="25">
        <f>S8*$C74</f>
        <v/>
      </c>
      <c r="AH74" s="25">
        <f>T8*$C74</f>
        <v/>
      </c>
      <c r="AI74" s="25">
        <f>U8*$C74</f>
        <v/>
      </c>
      <c r="AJ74" s="25">
        <f>V8*$C74</f>
        <v/>
      </c>
      <c r="AK74" s="25">
        <f>W8*$C74</f>
        <v/>
      </c>
      <c r="AL74" s="25">
        <f>X8*$C74</f>
        <v/>
      </c>
      <c r="AM74" s="25">
        <f>Y8*$C74</f>
        <v/>
      </c>
    </row>
    <row r="75">
      <c r="B75" t="n">
        <v>15</v>
      </c>
      <c r="C75" s="12">
        <f>Don_vi_IP_AI!D20</f>
        <v/>
      </c>
      <c r="S75" s="25">
        <f>D8*$C75</f>
        <v/>
      </c>
      <c r="T75" s="25">
        <f>E8*$C75</f>
        <v/>
      </c>
      <c r="U75" s="25">
        <f>F8*$C75</f>
        <v/>
      </c>
      <c r="V75" s="25">
        <f>G8*$C75</f>
        <v/>
      </c>
      <c r="W75" s="25">
        <f>H8*$C75</f>
        <v/>
      </c>
      <c r="X75" s="25">
        <f>I8*$C75</f>
        <v/>
      </c>
      <c r="Y75" s="25">
        <f>J8*$C75</f>
        <v/>
      </c>
      <c r="Z75" s="25">
        <f>K8*$C75</f>
        <v/>
      </c>
      <c r="AA75" s="25">
        <f>L8*$C75</f>
        <v/>
      </c>
      <c r="AB75" s="25">
        <f>M8*$C75</f>
        <v/>
      </c>
      <c r="AC75" s="25">
        <f>N8*$C75</f>
        <v/>
      </c>
      <c r="AD75" s="25">
        <f>O8*$C75</f>
        <v/>
      </c>
      <c r="AE75" s="25">
        <f>P8*$C75</f>
        <v/>
      </c>
      <c r="AF75" s="25">
        <f>Q8*$C75</f>
        <v/>
      </c>
      <c r="AG75" s="25">
        <f>R8*$C75</f>
        <v/>
      </c>
      <c r="AH75" s="25">
        <f>S8*$C75</f>
        <v/>
      </c>
      <c r="AI75" s="25">
        <f>T8*$C75</f>
        <v/>
      </c>
      <c r="AJ75" s="25">
        <f>U8*$C75</f>
        <v/>
      </c>
      <c r="AK75" s="25">
        <f>V8*$C75</f>
        <v/>
      </c>
      <c r="AL75" s="25">
        <f>W8*$C75</f>
        <v/>
      </c>
      <c r="AM75" s="25">
        <f>X8*$C75</f>
        <v/>
      </c>
    </row>
    <row r="76">
      <c r="B76" t="n">
        <v>16</v>
      </c>
      <c r="C76" s="12">
        <f>Don_vi_IP_AI!D21</f>
        <v/>
      </c>
      <c r="T76" s="25">
        <f>D8*$C76</f>
        <v/>
      </c>
      <c r="U76" s="25">
        <f>E8*$C76</f>
        <v/>
      </c>
      <c r="V76" s="25">
        <f>F8*$C76</f>
        <v/>
      </c>
      <c r="W76" s="25">
        <f>G8*$C76</f>
        <v/>
      </c>
      <c r="X76" s="25">
        <f>H8*$C76</f>
        <v/>
      </c>
      <c r="Y76" s="25">
        <f>I8*$C76</f>
        <v/>
      </c>
      <c r="Z76" s="25">
        <f>J8*$C76</f>
        <v/>
      </c>
      <c r="AA76" s="25">
        <f>K8*$C76</f>
        <v/>
      </c>
      <c r="AB76" s="25">
        <f>L8*$C76</f>
        <v/>
      </c>
      <c r="AC76" s="25">
        <f>M8*$C76</f>
        <v/>
      </c>
      <c r="AD76" s="25">
        <f>N8*$C76</f>
        <v/>
      </c>
      <c r="AE76" s="25">
        <f>O8*$C76</f>
        <v/>
      </c>
      <c r="AF76" s="25">
        <f>P8*$C76</f>
        <v/>
      </c>
      <c r="AG76" s="25">
        <f>Q8*$C76</f>
        <v/>
      </c>
      <c r="AH76" s="25">
        <f>R8*$C76</f>
        <v/>
      </c>
      <c r="AI76" s="25">
        <f>S8*$C76</f>
        <v/>
      </c>
      <c r="AJ76" s="25">
        <f>T8*$C76</f>
        <v/>
      </c>
      <c r="AK76" s="25">
        <f>U8*$C76</f>
        <v/>
      </c>
      <c r="AL76" s="25">
        <f>V8*$C76</f>
        <v/>
      </c>
      <c r="AM76" s="25">
        <f>W8*$C76</f>
        <v/>
      </c>
    </row>
    <row r="77">
      <c r="B77" t="n">
        <v>17</v>
      </c>
      <c r="C77" s="12">
        <f>Don_vi_IP_AI!D22</f>
        <v/>
      </c>
      <c r="U77" s="25">
        <f>D8*$C77</f>
        <v/>
      </c>
      <c r="V77" s="25">
        <f>E8*$C77</f>
        <v/>
      </c>
      <c r="W77" s="25">
        <f>F8*$C77</f>
        <v/>
      </c>
      <c r="X77" s="25">
        <f>G8*$C77</f>
        <v/>
      </c>
      <c r="Y77" s="25">
        <f>H8*$C77</f>
        <v/>
      </c>
      <c r="Z77" s="25">
        <f>I8*$C77</f>
        <v/>
      </c>
      <c r="AA77" s="25">
        <f>J8*$C77</f>
        <v/>
      </c>
      <c r="AB77" s="25">
        <f>K8*$C77</f>
        <v/>
      </c>
      <c r="AC77" s="25">
        <f>L8*$C77</f>
        <v/>
      </c>
      <c r="AD77" s="25">
        <f>M8*$C77</f>
        <v/>
      </c>
      <c r="AE77" s="25">
        <f>N8*$C77</f>
        <v/>
      </c>
      <c r="AF77" s="25">
        <f>O8*$C77</f>
        <v/>
      </c>
      <c r="AG77" s="25">
        <f>P8*$C77</f>
        <v/>
      </c>
      <c r="AH77" s="25">
        <f>Q8*$C77</f>
        <v/>
      </c>
      <c r="AI77" s="25">
        <f>R8*$C77</f>
        <v/>
      </c>
      <c r="AJ77" s="25">
        <f>S8*$C77</f>
        <v/>
      </c>
      <c r="AK77" s="25">
        <f>T8*$C77</f>
        <v/>
      </c>
      <c r="AL77" s="25">
        <f>U8*$C77</f>
        <v/>
      </c>
      <c r="AM77" s="25">
        <f>V8*$C77</f>
        <v/>
      </c>
    </row>
    <row r="78">
      <c r="B78" t="n">
        <v>18</v>
      </c>
      <c r="C78" s="12">
        <f>Don_vi_IP_AI!D23</f>
        <v/>
      </c>
      <c r="V78" s="25">
        <f>D8*$C78</f>
        <v/>
      </c>
      <c r="W78" s="25">
        <f>E8*$C78</f>
        <v/>
      </c>
      <c r="X78" s="25">
        <f>F8*$C78</f>
        <v/>
      </c>
      <c r="Y78" s="25">
        <f>G8*$C78</f>
        <v/>
      </c>
      <c r="Z78" s="25">
        <f>H8*$C78</f>
        <v/>
      </c>
      <c r="AA78" s="25">
        <f>I8*$C78</f>
        <v/>
      </c>
      <c r="AB78" s="25">
        <f>J8*$C78</f>
        <v/>
      </c>
      <c r="AC78" s="25">
        <f>K8*$C78</f>
        <v/>
      </c>
      <c r="AD78" s="25">
        <f>L8*$C78</f>
        <v/>
      </c>
      <c r="AE78" s="25">
        <f>M8*$C78</f>
        <v/>
      </c>
      <c r="AF78" s="25">
        <f>N8*$C78</f>
        <v/>
      </c>
      <c r="AG78" s="25">
        <f>O8*$C78</f>
        <v/>
      </c>
      <c r="AH78" s="25">
        <f>P8*$C78</f>
        <v/>
      </c>
      <c r="AI78" s="25">
        <f>Q8*$C78</f>
        <v/>
      </c>
      <c r="AJ78" s="25">
        <f>R8*$C78</f>
        <v/>
      </c>
      <c r="AK78" s="25">
        <f>S8*$C78</f>
        <v/>
      </c>
      <c r="AL78" s="25">
        <f>T8*$C78</f>
        <v/>
      </c>
      <c r="AM78" s="25">
        <f>U8*$C78</f>
        <v/>
      </c>
    </row>
    <row r="79">
      <c r="B79" t="n">
        <v>19</v>
      </c>
      <c r="C79" s="12">
        <f>Don_vi_IP_AI!D24</f>
        <v/>
      </c>
      <c r="W79" s="25">
        <f>D8*$C79</f>
        <v/>
      </c>
      <c r="X79" s="25">
        <f>E8*$C79</f>
        <v/>
      </c>
      <c r="Y79" s="25">
        <f>F8*$C79</f>
        <v/>
      </c>
      <c r="Z79" s="25">
        <f>G8*$C79</f>
        <v/>
      </c>
      <c r="AA79" s="25">
        <f>H8*$C79</f>
        <v/>
      </c>
      <c r="AB79" s="25">
        <f>I8*$C79</f>
        <v/>
      </c>
      <c r="AC79" s="25">
        <f>J8*$C79</f>
        <v/>
      </c>
      <c r="AD79" s="25">
        <f>K8*$C79</f>
        <v/>
      </c>
      <c r="AE79" s="25">
        <f>L8*$C79</f>
        <v/>
      </c>
      <c r="AF79" s="25">
        <f>M8*$C79</f>
        <v/>
      </c>
      <c r="AG79" s="25">
        <f>N8*$C79</f>
        <v/>
      </c>
      <c r="AH79" s="25">
        <f>O8*$C79</f>
        <v/>
      </c>
      <c r="AI79" s="25">
        <f>P8*$C79</f>
        <v/>
      </c>
      <c r="AJ79" s="25">
        <f>Q8*$C79</f>
        <v/>
      </c>
      <c r="AK79" s="25">
        <f>R8*$C79</f>
        <v/>
      </c>
      <c r="AL79" s="25">
        <f>S8*$C79</f>
        <v/>
      </c>
      <c r="AM79" s="25">
        <f>T8*$C79</f>
        <v/>
      </c>
    </row>
    <row r="80">
      <c r="B80" t="n">
        <v>20</v>
      </c>
      <c r="C80" s="12">
        <f>Don_vi_IP_AI!D25</f>
        <v/>
      </c>
      <c r="X80" s="25">
        <f>D8*$C80</f>
        <v/>
      </c>
      <c r="Y80" s="25">
        <f>E8*$C80</f>
        <v/>
      </c>
      <c r="Z80" s="25">
        <f>F8*$C80</f>
        <v/>
      </c>
      <c r="AA80" s="25">
        <f>G8*$C80</f>
        <v/>
      </c>
      <c r="AB80" s="25">
        <f>H8*$C80</f>
        <v/>
      </c>
      <c r="AC80" s="25">
        <f>I8*$C80</f>
        <v/>
      </c>
      <c r="AD80" s="25">
        <f>J8*$C80</f>
        <v/>
      </c>
      <c r="AE80" s="25">
        <f>K8*$C80</f>
        <v/>
      </c>
      <c r="AF80" s="25">
        <f>L8*$C80</f>
        <v/>
      </c>
      <c r="AG80" s="25">
        <f>M8*$C80</f>
        <v/>
      </c>
      <c r="AH80" s="25">
        <f>N8*$C80</f>
        <v/>
      </c>
      <c r="AI80" s="25">
        <f>O8*$C80</f>
        <v/>
      </c>
      <c r="AJ80" s="25">
        <f>P8*$C80</f>
        <v/>
      </c>
      <c r="AK80" s="25">
        <f>Q8*$C80</f>
        <v/>
      </c>
      <c r="AL80" s="25">
        <f>R8*$C80</f>
        <v/>
      </c>
      <c r="AM80" s="25">
        <f>S8*$C80</f>
        <v/>
      </c>
    </row>
    <row r="81">
      <c r="B81" t="n">
        <v>21</v>
      </c>
      <c r="C81" s="12">
        <f>Don_vi_IP_AI!D26</f>
        <v/>
      </c>
      <c r="Y81" s="25">
        <f>D8*$C81</f>
        <v/>
      </c>
      <c r="Z81" s="25">
        <f>E8*$C81</f>
        <v/>
      </c>
      <c r="AA81" s="25">
        <f>F8*$C81</f>
        <v/>
      </c>
      <c r="AB81" s="25">
        <f>G8*$C81</f>
        <v/>
      </c>
      <c r="AC81" s="25">
        <f>H8*$C81</f>
        <v/>
      </c>
      <c r="AD81" s="25">
        <f>I8*$C81</f>
        <v/>
      </c>
      <c r="AE81" s="25">
        <f>J8*$C81</f>
        <v/>
      </c>
      <c r="AF81" s="25">
        <f>K8*$C81</f>
        <v/>
      </c>
      <c r="AG81" s="25">
        <f>L8*$C81</f>
        <v/>
      </c>
      <c r="AH81" s="25">
        <f>M8*$C81</f>
        <v/>
      </c>
      <c r="AI81" s="25">
        <f>N8*$C81</f>
        <v/>
      </c>
      <c r="AJ81" s="25">
        <f>O8*$C81</f>
        <v/>
      </c>
      <c r="AK81" s="25">
        <f>P8*$C81</f>
        <v/>
      </c>
      <c r="AL81" s="25">
        <f>Q8*$C81</f>
        <v/>
      </c>
      <c r="AM81" s="25">
        <f>R8*$C81</f>
        <v/>
      </c>
    </row>
    <row r="82">
      <c r="B82" t="n">
        <v>22</v>
      </c>
      <c r="C82" s="12">
        <f>Don_vi_IP_AI!D27</f>
        <v/>
      </c>
      <c r="Z82" s="25">
        <f>D8*$C82</f>
        <v/>
      </c>
      <c r="AA82" s="25">
        <f>E8*$C82</f>
        <v/>
      </c>
      <c r="AB82" s="25">
        <f>F8*$C82</f>
        <v/>
      </c>
      <c r="AC82" s="25">
        <f>G8*$C82</f>
        <v/>
      </c>
      <c r="AD82" s="25">
        <f>H8*$C82</f>
        <v/>
      </c>
      <c r="AE82" s="25">
        <f>I8*$C82</f>
        <v/>
      </c>
      <c r="AF82" s="25">
        <f>J8*$C82</f>
        <v/>
      </c>
      <c r="AG82" s="25">
        <f>K8*$C82</f>
        <v/>
      </c>
      <c r="AH82" s="25">
        <f>L8*$C82</f>
        <v/>
      </c>
      <c r="AI82" s="25">
        <f>M8*$C82</f>
        <v/>
      </c>
      <c r="AJ82" s="25">
        <f>N8*$C82</f>
        <v/>
      </c>
      <c r="AK82" s="25">
        <f>O8*$C82</f>
        <v/>
      </c>
      <c r="AL82" s="25">
        <f>P8*$C82</f>
        <v/>
      </c>
      <c r="AM82" s="25">
        <f>Q8*$C82</f>
        <v/>
      </c>
    </row>
    <row r="83">
      <c r="B83" t="n">
        <v>23</v>
      </c>
      <c r="C83" s="12">
        <f>Don_vi_IP_AI!D28</f>
        <v/>
      </c>
      <c r="AA83" s="25">
        <f>D8*$C83</f>
        <v/>
      </c>
      <c r="AB83" s="25">
        <f>E8*$C83</f>
        <v/>
      </c>
      <c r="AC83" s="25">
        <f>F8*$C83</f>
        <v/>
      </c>
      <c r="AD83" s="25">
        <f>G8*$C83</f>
        <v/>
      </c>
      <c r="AE83" s="25">
        <f>H8*$C83</f>
        <v/>
      </c>
      <c r="AF83" s="25">
        <f>I8*$C83</f>
        <v/>
      </c>
      <c r="AG83" s="25">
        <f>J8*$C83</f>
        <v/>
      </c>
      <c r="AH83" s="25">
        <f>K8*$C83</f>
        <v/>
      </c>
      <c r="AI83" s="25">
        <f>L8*$C83</f>
        <v/>
      </c>
      <c r="AJ83" s="25">
        <f>M8*$C83</f>
        <v/>
      </c>
      <c r="AK83" s="25">
        <f>N8*$C83</f>
        <v/>
      </c>
      <c r="AL83" s="25">
        <f>O8*$C83</f>
        <v/>
      </c>
      <c r="AM83" s="25">
        <f>P8*$C83</f>
        <v/>
      </c>
    </row>
    <row r="84">
      <c r="B84" t="n">
        <v>24</v>
      </c>
      <c r="C84" s="12">
        <f>Don_vi_IP_AI!D29</f>
        <v/>
      </c>
      <c r="AB84" s="25">
        <f>D8*$C84</f>
        <v/>
      </c>
      <c r="AC84" s="25">
        <f>E8*$C84</f>
        <v/>
      </c>
      <c r="AD84" s="25">
        <f>F8*$C84</f>
        <v/>
      </c>
      <c r="AE84" s="25">
        <f>G8*$C84</f>
        <v/>
      </c>
      <c r="AF84" s="25">
        <f>H8*$C84</f>
        <v/>
      </c>
      <c r="AG84" s="25">
        <f>I8*$C84</f>
        <v/>
      </c>
      <c r="AH84" s="25">
        <f>J8*$C84</f>
        <v/>
      </c>
      <c r="AI84" s="25">
        <f>K8*$C84</f>
        <v/>
      </c>
      <c r="AJ84" s="25">
        <f>L8*$C84</f>
        <v/>
      </c>
      <c r="AK84" s="25">
        <f>M8*$C84</f>
        <v/>
      </c>
      <c r="AL84" s="25">
        <f>N8*$C84</f>
        <v/>
      </c>
      <c r="AM84" s="25">
        <f>O8*$C84</f>
        <v/>
      </c>
    </row>
    <row r="85">
      <c r="B85" t="n">
        <v>25</v>
      </c>
      <c r="C85" s="12">
        <f>Don_vi_IP_AI!D30</f>
        <v/>
      </c>
      <c r="AC85" s="25">
        <f>D8*$C85</f>
        <v/>
      </c>
      <c r="AD85" s="25">
        <f>E8*$C85</f>
        <v/>
      </c>
      <c r="AE85" s="25">
        <f>F8*$C85</f>
        <v/>
      </c>
      <c r="AF85" s="25">
        <f>G8*$C85</f>
        <v/>
      </c>
      <c r="AG85" s="25">
        <f>H8*$C85</f>
        <v/>
      </c>
      <c r="AH85" s="25">
        <f>I8*$C85</f>
        <v/>
      </c>
      <c r="AI85" s="25">
        <f>J8*$C85</f>
        <v/>
      </c>
      <c r="AJ85" s="25">
        <f>K8*$C85</f>
        <v/>
      </c>
      <c r="AK85" s="25">
        <f>L8*$C85</f>
        <v/>
      </c>
      <c r="AL85" s="25">
        <f>M8*$C85</f>
        <v/>
      </c>
      <c r="AM85" s="25">
        <f>N8*$C85</f>
        <v/>
      </c>
    </row>
    <row r="86">
      <c r="B86" t="n">
        <v>26</v>
      </c>
      <c r="C86" s="12">
        <f>Don_vi_IP_AI!D31</f>
        <v/>
      </c>
      <c r="AD86" s="25">
        <f>D8*$C86</f>
        <v/>
      </c>
      <c r="AE86" s="25">
        <f>E8*$C86</f>
        <v/>
      </c>
      <c r="AF86" s="25">
        <f>F8*$C86</f>
        <v/>
      </c>
      <c r="AG86" s="25">
        <f>G8*$C86</f>
        <v/>
      </c>
      <c r="AH86" s="25">
        <f>H8*$C86</f>
        <v/>
      </c>
      <c r="AI86" s="25">
        <f>I8*$C86</f>
        <v/>
      </c>
      <c r="AJ86" s="25">
        <f>J8*$C86</f>
        <v/>
      </c>
      <c r="AK86" s="25">
        <f>K8*$C86</f>
        <v/>
      </c>
      <c r="AL86" s="25">
        <f>L8*$C86</f>
        <v/>
      </c>
      <c r="AM86" s="25">
        <f>M8*$C86</f>
        <v/>
      </c>
    </row>
    <row r="87">
      <c r="B87" t="n">
        <v>27</v>
      </c>
      <c r="C87" s="12">
        <f>Don_vi_IP_AI!D32</f>
        <v/>
      </c>
      <c r="AE87" s="25">
        <f>D8*$C87</f>
        <v/>
      </c>
      <c r="AF87" s="25">
        <f>E8*$C87</f>
        <v/>
      </c>
      <c r="AG87" s="25">
        <f>F8*$C87</f>
        <v/>
      </c>
      <c r="AH87" s="25">
        <f>G8*$C87</f>
        <v/>
      </c>
      <c r="AI87" s="25">
        <f>H8*$C87</f>
        <v/>
      </c>
      <c r="AJ87" s="25">
        <f>I8*$C87</f>
        <v/>
      </c>
      <c r="AK87" s="25">
        <f>J8*$C87</f>
        <v/>
      </c>
      <c r="AL87" s="25">
        <f>K8*$C87</f>
        <v/>
      </c>
      <c r="AM87" s="25">
        <f>L8*$C87</f>
        <v/>
      </c>
    </row>
    <row r="88">
      <c r="B88" t="n">
        <v>28</v>
      </c>
      <c r="C88" s="12">
        <f>Don_vi_IP_AI!D33</f>
        <v/>
      </c>
      <c r="AF88" s="25">
        <f>D8*$C88</f>
        <v/>
      </c>
      <c r="AG88" s="25">
        <f>E8*$C88</f>
        <v/>
      </c>
      <c r="AH88" s="25">
        <f>F8*$C88</f>
        <v/>
      </c>
      <c r="AI88" s="25">
        <f>G8*$C88</f>
        <v/>
      </c>
      <c r="AJ88" s="25">
        <f>H8*$C88</f>
        <v/>
      </c>
      <c r="AK88" s="25">
        <f>I8*$C88</f>
        <v/>
      </c>
      <c r="AL88" s="25">
        <f>J8*$C88</f>
        <v/>
      </c>
      <c r="AM88" s="25">
        <f>K8*$C88</f>
        <v/>
      </c>
    </row>
    <row r="89">
      <c r="B89" t="n">
        <v>29</v>
      </c>
      <c r="C89" s="12">
        <f>Don_vi_IP_AI!D34</f>
        <v/>
      </c>
      <c r="AG89" s="25">
        <f>D8*$C89</f>
        <v/>
      </c>
      <c r="AH89" s="25">
        <f>E8*$C89</f>
        <v/>
      </c>
      <c r="AI89" s="25">
        <f>F8*$C89</f>
        <v/>
      </c>
      <c r="AJ89" s="25">
        <f>G8*$C89</f>
        <v/>
      </c>
      <c r="AK89" s="25">
        <f>H8*$C89</f>
        <v/>
      </c>
      <c r="AL89" s="25">
        <f>I8*$C89</f>
        <v/>
      </c>
      <c r="AM89" s="25">
        <f>J8*$C89</f>
        <v/>
      </c>
    </row>
    <row r="90">
      <c r="B90" t="n">
        <v>30</v>
      </c>
      <c r="C90" s="12">
        <f>Don_vi_IP_AI!D35</f>
        <v/>
      </c>
      <c r="AH90" s="25">
        <f>D8*$C90</f>
        <v/>
      </c>
      <c r="AI90" s="25">
        <f>E8*$C90</f>
        <v/>
      </c>
      <c r="AJ90" s="25">
        <f>F8*$C90</f>
        <v/>
      </c>
      <c r="AK90" s="25">
        <f>G8*$C90</f>
        <v/>
      </c>
      <c r="AL90" s="25">
        <f>H8*$C90</f>
        <v/>
      </c>
      <c r="AM90" s="25">
        <f>I8*$C90</f>
        <v/>
      </c>
    </row>
    <row r="91">
      <c r="B91" t="n">
        <v>31</v>
      </c>
      <c r="C91" s="12">
        <f>Don_vi_IP_AI!D36</f>
        <v/>
      </c>
      <c r="AI91" s="25">
        <f>D8*$C91</f>
        <v/>
      </c>
      <c r="AJ91" s="25">
        <f>E8*$C91</f>
        <v/>
      </c>
      <c r="AK91" s="25">
        <f>F8*$C91</f>
        <v/>
      </c>
      <c r="AL91" s="25">
        <f>G8*$C91</f>
        <v/>
      </c>
      <c r="AM91" s="25">
        <f>H8*$C91</f>
        <v/>
      </c>
    </row>
    <row r="92">
      <c r="B92" t="n">
        <v>32</v>
      </c>
      <c r="C92" s="12">
        <f>Don_vi_IP_AI!D37</f>
        <v/>
      </c>
      <c r="AJ92" s="25">
        <f>D8*$C92</f>
        <v/>
      </c>
      <c r="AK92" s="25">
        <f>E8*$C92</f>
        <v/>
      </c>
      <c r="AL92" s="25">
        <f>F8*$C92</f>
        <v/>
      </c>
      <c r="AM92" s="25">
        <f>G8*$C92</f>
        <v/>
      </c>
    </row>
    <row r="93">
      <c r="B93" t="n">
        <v>33</v>
      </c>
      <c r="C93" s="12">
        <f>Don_vi_IP_AI!D38</f>
        <v/>
      </c>
      <c r="AK93" s="25">
        <f>D8*$C93</f>
        <v/>
      </c>
      <c r="AL93" s="25">
        <f>E8*$C93</f>
        <v/>
      </c>
      <c r="AM93" s="25">
        <f>F8*$C93</f>
        <v/>
      </c>
    </row>
    <row r="94">
      <c r="B94" t="n">
        <v>34</v>
      </c>
      <c r="C94" s="12">
        <f>Don_vi_IP_AI!D39</f>
        <v/>
      </c>
      <c r="AL94" s="25">
        <f>D8*$C94</f>
        <v/>
      </c>
      <c r="AM94" s="25">
        <f>E8*$C94</f>
        <v/>
      </c>
    </row>
    <row r="95">
      <c r="B95" t="n">
        <v>35</v>
      </c>
      <c r="C95" s="12">
        <f>Don_vi_IP_AI!D40</f>
        <v/>
      </c>
      <c r="AM95" s="25">
        <f>D8*$C95</f>
        <v/>
      </c>
    </row>
    <row r="96">
      <c r="B96" t="n">
        <v>36</v>
      </c>
      <c r="C96" s="12">
        <f>Don_vi_IP_AI!D41</f>
        <v/>
      </c>
    </row>
    <row r="97">
      <c r="B97" s="2" t="inlineStr">
        <is>
          <t>TỔNG IP AI ĐANG HOẠT ĐỘNG</t>
        </is>
      </c>
      <c r="C97" t="inlineStr">
        <is>
          <t>IP</t>
        </is>
      </c>
      <c r="D97" s="32">
        <f>SUM(D61:D96)</f>
        <v/>
      </c>
      <c r="E97" s="32">
        <f>SUM(E61:E96)</f>
        <v/>
      </c>
      <c r="F97" s="32">
        <f>SUM(F61:F96)</f>
        <v/>
      </c>
      <c r="G97" s="32">
        <f>SUM(G61:G96)</f>
        <v/>
      </c>
      <c r="H97" s="32">
        <f>SUM(H61:H96)</f>
        <v/>
      </c>
      <c r="I97" s="32">
        <f>SUM(I61:I96)</f>
        <v/>
      </c>
      <c r="J97" s="32">
        <f>SUM(J61:J96)</f>
        <v/>
      </c>
      <c r="K97" s="32">
        <f>SUM(K61:K96)</f>
        <v/>
      </c>
      <c r="L97" s="32">
        <f>SUM(L61:L96)</f>
        <v/>
      </c>
      <c r="M97" s="32">
        <f>SUM(M61:M96)</f>
        <v/>
      </c>
      <c r="N97" s="32">
        <f>SUM(N61:N96)</f>
        <v/>
      </c>
      <c r="O97" s="32">
        <f>SUM(O61:O96)</f>
        <v/>
      </c>
      <c r="P97" s="32">
        <f>SUM(P61:P96)</f>
        <v/>
      </c>
      <c r="Q97" s="32">
        <f>SUM(Q61:Q96)</f>
        <v/>
      </c>
      <c r="R97" s="32">
        <f>SUM(R61:R96)</f>
        <v/>
      </c>
      <c r="S97" s="32">
        <f>SUM(S61:S96)</f>
        <v/>
      </c>
      <c r="T97" s="32">
        <f>SUM(T61:T96)</f>
        <v/>
      </c>
      <c r="U97" s="32">
        <f>SUM(U61:U96)</f>
        <v/>
      </c>
      <c r="V97" s="32">
        <f>SUM(V61:V96)</f>
        <v/>
      </c>
      <c r="W97" s="32">
        <f>SUM(W61:W96)</f>
        <v/>
      </c>
      <c r="X97" s="32">
        <f>SUM(X61:X96)</f>
        <v/>
      </c>
      <c r="Y97" s="32">
        <f>SUM(Y61:Y96)</f>
        <v/>
      </c>
      <c r="Z97" s="32">
        <f>SUM(Z61:Z96)</f>
        <v/>
      </c>
      <c r="AA97" s="32">
        <f>SUM(AA61:AA96)</f>
        <v/>
      </c>
      <c r="AB97" s="32">
        <f>SUM(AB61:AB96)</f>
        <v/>
      </c>
      <c r="AC97" s="32">
        <f>SUM(AC61:AC96)</f>
        <v/>
      </c>
      <c r="AD97" s="32">
        <f>SUM(AD61:AD96)</f>
        <v/>
      </c>
      <c r="AE97" s="32">
        <f>SUM(AE61:AE96)</f>
        <v/>
      </c>
      <c r="AF97" s="32">
        <f>SUM(AF61:AF96)</f>
        <v/>
      </c>
      <c r="AG97" s="32">
        <f>SUM(AG61:AG96)</f>
        <v/>
      </c>
      <c r="AH97" s="32">
        <f>SUM(AH61:AH96)</f>
        <v/>
      </c>
      <c r="AI97" s="32">
        <f>SUM(AI61:AI96)</f>
        <v/>
      </c>
      <c r="AJ97" s="32">
        <f>SUM(AJ61:AJ96)</f>
        <v/>
      </c>
      <c r="AK97" s="32">
        <f>SUM(AK61:AK96)</f>
        <v/>
      </c>
      <c r="AL97" s="32">
        <f>SUM(AL61:AL96)</f>
        <v/>
      </c>
      <c r="AM97" s="32">
        <f>SUM(AM61:AM96)</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3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48"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c r="A1" s="7" t="inlineStr">
        <is>
          <t>DOANH THU THEO TỪNG DÒNG (triệu VND)</t>
        </is>
      </c>
    </row>
    <row r="2">
      <c r="A2" t="inlineStr">
        <is>
          <t>Doanh thu MCN = hoa hồng nhãn hàng trả, GHI NHẬN TRƯỚC khi chia cho talent. Phí nền tảng TikTok Shop do người bán chịu, không nằm trong bảng này.</t>
        </is>
      </c>
    </row>
    <row r="3">
      <c r="A3" s="28" t="n"/>
      <c r="B3" s="8" t="inlineStr">
        <is>
          <t>Thang</t>
        </is>
      </c>
      <c r="C3" s="8" t="inlineStr">
        <is>
          <t>Đơn vị</t>
        </is>
      </c>
      <c r="D3" s="29" t="n">
        <v>1</v>
      </c>
      <c r="E3" s="29" t="n">
        <v>2</v>
      </c>
      <c r="F3" s="29" t="n">
        <v>3</v>
      </c>
      <c r="G3" s="29" t="n">
        <v>4</v>
      </c>
      <c r="H3" s="29" t="n">
        <v>5</v>
      </c>
      <c r="I3" s="29" t="n">
        <v>6</v>
      </c>
      <c r="J3" s="29" t="n">
        <v>7</v>
      </c>
      <c r="K3" s="29" t="n">
        <v>8</v>
      </c>
      <c r="L3" s="29" t="n">
        <v>9</v>
      </c>
      <c r="M3" s="29" t="n">
        <v>10</v>
      </c>
      <c r="N3" s="29" t="n">
        <v>11</v>
      </c>
      <c r="O3" s="29" t="n">
        <v>12</v>
      </c>
      <c r="P3" s="29" t="n">
        <v>13</v>
      </c>
      <c r="Q3" s="29" t="n">
        <v>14</v>
      </c>
      <c r="R3" s="29" t="n">
        <v>15</v>
      </c>
      <c r="S3" s="29" t="n">
        <v>16</v>
      </c>
      <c r="T3" s="29" t="n">
        <v>17</v>
      </c>
      <c r="U3" s="29" t="n">
        <v>18</v>
      </c>
      <c r="V3" s="29" t="n">
        <v>19</v>
      </c>
      <c r="W3" s="29" t="n">
        <v>20</v>
      </c>
      <c r="X3" s="29" t="n">
        <v>21</v>
      </c>
      <c r="Y3" s="29" t="n">
        <v>22</v>
      </c>
      <c r="Z3" s="29" t="n">
        <v>23</v>
      </c>
      <c r="AA3" s="29" t="n">
        <v>24</v>
      </c>
      <c r="AB3" s="29" t="n">
        <v>25</v>
      </c>
      <c r="AC3" s="29" t="n">
        <v>26</v>
      </c>
      <c r="AD3" s="29" t="n">
        <v>27</v>
      </c>
      <c r="AE3" s="29" t="n">
        <v>28</v>
      </c>
      <c r="AF3" s="29" t="n">
        <v>29</v>
      </c>
      <c r="AG3" s="29" t="n">
        <v>30</v>
      </c>
      <c r="AH3" s="29" t="n">
        <v>31</v>
      </c>
      <c r="AI3" s="29" t="n">
        <v>32</v>
      </c>
      <c r="AJ3" s="29" t="n">
        <v>33</v>
      </c>
      <c r="AK3" s="29" t="n">
        <v>34</v>
      </c>
      <c r="AL3" s="29" t="n">
        <v>35</v>
      </c>
      <c r="AM3" s="29" t="n">
        <v>36</v>
      </c>
    </row>
    <row r="4">
      <c r="A4" s="28" t="n"/>
      <c r="B4" s="8" t="inlineStr">
        <is>
          <t>Ky</t>
        </is>
      </c>
      <c r="C4" s="28" t="n"/>
      <c r="D4" s="30">
        <f>EDATE(Gia_dinh!$B$5,1-1)</f>
        <v/>
      </c>
      <c r="E4" s="30">
        <f>EDATE(Gia_dinh!$B$5,2-1)</f>
        <v/>
      </c>
      <c r="F4" s="30">
        <f>EDATE(Gia_dinh!$B$5,3-1)</f>
        <v/>
      </c>
      <c r="G4" s="30">
        <f>EDATE(Gia_dinh!$B$5,4-1)</f>
        <v/>
      </c>
      <c r="H4" s="30">
        <f>EDATE(Gia_dinh!$B$5,5-1)</f>
        <v/>
      </c>
      <c r="I4" s="30">
        <f>EDATE(Gia_dinh!$B$5,6-1)</f>
        <v/>
      </c>
      <c r="J4" s="30">
        <f>EDATE(Gia_dinh!$B$5,7-1)</f>
        <v/>
      </c>
      <c r="K4" s="30">
        <f>EDATE(Gia_dinh!$B$5,8-1)</f>
        <v/>
      </c>
      <c r="L4" s="30">
        <f>EDATE(Gia_dinh!$B$5,9-1)</f>
        <v/>
      </c>
      <c r="M4" s="30">
        <f>EDATE(Gia_dinh!$B$5,10-1)</f>
        <v/>
      </c>
      <c r="N4" s="30">
        <f>EDATE(Gia_dinh!$B$5,11-1)</f>
        <v/>
      </c>
      <c r="O4" s="30">
        <f>EDATE(Gia_dinh!$B$5,12-1)</f>
        <v/>
      </c>
      <c r="P4" s="30">
        <f>EDATE(Gia_dinh!$B$5,13-1)</f>
        <v/>
      </c>
      <c r="Q4" s="30">
        <f>EDATE(Gia_dinh!$B$5,14-1)</f>
        <v/>
      </c>
      <c r="R4" s="30">
        <f>EDATE(Gia_dinh!$B$5,15-1)</f>
        <v/>
      </c>
      <c r="S4" s="30">
        <f>EDATE(Gia_dinh!$B$5,16-1)</f>
        <v/>
      </c>
      <c r="T4" s="30">
        <f>EDATE(Gia_dinh!$B$5,17-1)</f>
        <v/>
      </c>
      <c r="U4" s="30">
        <f>EDATE(Gia_dinh!$B$5,18-1)</f>
        <v/>
      </c>
      <c r="V4" s="30">
        <f>EDATE(Gia_dinh!$B$5,19-1)</f>
        <v/>
      </c>
      <c r="W4" s="30">
        <f>EDATE(Gia_dinh!$B$5,20-1)</f>
        <v/>
      </c>
      <c r="X4" s="30">
        <f>EDATE(Gia_dinh!$B$5,21-1)</f>
        <v/>
      </c>
      <c r="Y4" s="30">
        <f>EDATE(Gia_dinh!$B$5,22-1)</f>
        <v/>
      </c>
      <c r="Z4" s="30">
        <f>EDATE(Gia_dinh!$B$5,23-1)</f>
        <v/>
      </c>
      <c r="AA4" s="30">
        <f>EDATE(Gia_dinh!$B$5,24-1)</f>
        <v/>
      </c>
      <c r="AB4" s="30">
        <f>EDATE(Gia_dinh!$B$5,25-1)</f>
        <v/>
      </c>
      <c r="AC4" s="30">
        <f>EDATE(Gia_dinh!$B$5,26-1)</f>
        <v/>
      </c>
      <c r="AD4" s="30">
        <f>EDATE(Gia_dinh!$B$5,27-1)</f>
        <v/>
      </c>
      <c r="AE4" s="30">
        <f>EDATE(Gia_dinh!$B$5,28-1)</f>
        <v/>
      </c>
      <c r="AF4" s="30">
        <f>EDATE(Gia_dinh!$B$5,29-1)</f>
        <v/>
      </c>
      <c r="AG4" s="30">
        <f>EDATE(Gia_dinh!$B$5,30-1)</f>
        <v/>
      </c>
      <c r="AH4" s="30">
        <f>EDATE(Gia_dinh!$B$5,31-1)</f>
        <v/>
      </c>
      <c r="AI4" s="30">
        <f>EDATE(Gia_dinh!$B$5,32-1)</f>
        <v/>
      </c>
      <c r="AJ4" s="30">
        <f>EDATE(Gia_dinh!$B$5,33-1)</f>
        <v/>
      </c>
      <c r="AK4" s="30">
        <f>EDATE(Gia_dinh!$B$5,34-1)</f>
        <v/>
      </c>
      <c r="AL4" s="30">
        <f>EDATE(Gia_dinh!$B$5,35-1)</f>
        <v/>
      </c>
      <c r="AM4" s="30">
        <f>EDATE(Gia_dinh!$B$5,36-1)</f>
        <v/>
      </c>
    </row>
    <row r="5">
      <c r="A5" s="28" t="n"/>
      <c r="B5" s="8" t="inlineStr">
        <is>
          <t>Nam</t>
        </is>
      </c>
      <c r="C5" s="28" t="n"/>
      <c r="D5" s="31" t="inlineStr">
        <is>
          <t>Nam 1</t>
        </is>
      </c>
      <c r="E5" s="31" t="inlineStr">
        <is>
          <t>Nam 1</t>
        </is>
      </c>
      <c r="F5" s="31" t="inlineStr">
        <is>
          <t>Nam 1</t>
        </is>
      </c>
      <c r="G5" s="31" t="inlineStr">
        <is>
          <t>Nam 1</t>
        </is>
      </c>
      <c r="H5" s="31" t="inlineStr">
        <is>
          <t>Nam 1</t>
        </is>
      </c>
      <c r="I5" s="31" t="inlineStr">
        <is>
          <t>Nam 1</t>
        </is>
      </c>
      <c r="J5" s="31" t="inlineStr">
        <is>
          <t>Nam 1</t>
        </is>
      </c>
      <c r="K5" s="31" t="inlineStr">
        <is>
          <t>Nam 1</t>
        </is>
      </c>
      <c r="L5" s="31" t="inlineStr">
        <is>
          <t>Nam 1</t>
        </is>
      </c>
      <c r="M5" s="31" t="inlineStr">
        <is>
          <t>Nam 1</t>
        </is>
      </c>
      <c r="N5" s="31" t="inlineStr">
        <is>
          <t>Nam 1</t>
        </is>
      </c>
      <c r="O5" s="31" t="inlineStr">
        <is>
          <t>Nam 1</t>
        </is>
      </c>
      <c r="P5" s="31" t="inlineStr">
        <is>
          <t>Nam 2</t>
        </is>
      </c>
      <c r="Q5" s="31" t="inlineStr">
        <is>
          <t>Nam 2</t>
        </is>
      </c>
      <c r="R5" s="31" t="inlineStr">
        <is>
          <t>Nam 2</t>
        </is>
      </c>
      <c r="S5" s="31" t="inlineStr">
        <is>
          <t>Nam 2</t>
        </is>
      </c>
      <c r="T5" s="31" t="inlineStr">
        <is>
          <t>Nam 2</t>
        </is>
      </c>
      <c r="U5" s="31" t="inlineStr">
        <is>
          <t>Nam 2</t>
        </is>
      </c>
      <c r="V5" s="31" t="inlineStr">
        <is>
          <t>Nam 2</t>
        </is>
      </c>
      <c r="W5" s="31" t="inlineStr">
        <is>
          <t>Nam 2</t>
        </is>
      </c>
      <c r="X5" s="31" t="inlineStr">
        <is>
          <t>Nam 2</t>
        </is>
      </c>
      <c r="Y5" s="31" t="inlineStr">
        <is>
          <t>Nam 2</t>
        </is>
      </c>
      <c r="Z5" s="31" t="inlineStr">
        <is>
          <t>Nam 2</t>
        </is>
      </c>
      <c r="AA5" s="31" t="inlineStr">
        <is>
          <t>Nam 2</t>
        </is>
      </c>
      <c r="AB5" s="31" t="inlineStr">
        <is>
          <t>Nam 3</t>
        </is>
      </c>
      <c r="AC5" s="31" t="inlineStr">
        <is>
          <t>Nam 3</t>
        </is>
      </c>
      <c r="AD5" s="31" t="inlineStr">
        <is>
          <t>Nam 3</t>
        </is>
      </c>
      <c r="AE5" s="31" t="inlineStr">
        <is>
          <t>Nam 3</t>
        </is>
      </c>
      <c r="AF5" s="31" t="inlineStr">
        <is>
          <t>Nam 3</t>
        </is>
      </c>
      <c r="AG5" s="31" t="inlineStr">
        <is>
          <t>Nam 3</t>
        </is>
      </c>
      <c r="AH5" s="31" t="inlineStr">
        <is>
          <t>Nam 3</t>
        </is>
      </c>
      <c r="AI5" s="31" t="inlineStr">
        <is>
          <t>Nam 3</t>
        </is>
      </c>
      <c r="AJ5" s="31" t="inlineStr">
        <is>
          <t>Nam 3</t>
        </is>
      </c>
      <c r="AK5" s="31" t="inlineStr">
        <is>
          <t>Nam 3</t>
        </is>
      </c>
      <c r="AL5" s="31" t="inlineStr">
        <is>
          <t>Nam 3</t>
        </is>
      </c>
      <c r="AM5" s="31" t="inlineStr">
        <is>
          <t>Nam 3</t>
        </is>
      </c>
    </row>
    <row r="6">
      <c r="B6" s="4" t="inlineStr">
        <is>
          <t>KIỂM ĐỊNH RỦI RO</t>
        </is>
      </c>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row>
    <row r="7">
      <c r="B7" t="inlineStr">
        <is>
          <t>Hệ số còn lại của GMV tầng AI (cú sốc nền tảng)</t>
        </is>
      </c>
      <c r="C7" t="inlineStr">
        <is>
          <t>hệ số</t>
        </is>
      </c>
      <c r="D7" s="33">
        <f>IF(AND(1&gt;=Gia_dinh!$F$103,1&lt;Gia_dinh!$F$103+Gia_dinh!$F$104),1-Gia_dinh!$F$102,1)</f>
        <v/>
      </c>
      <c r="E7" s="33">
        <f>IF(AND(2&gt;=Gia_dinh!$F$103,2&lt;Gia_dinh!$F$103+Gia_dinh!$F$104),1-Gia_dinh!$F$102,1)</f>
        <v/>
      </c>
      <c r="F7" s="33">
        <f>IF(AND(3&gt;=Gia_dinh!$F$103,3&lt;Gia_dinh!$F$103+Gia_dinh!$F$104),1-Gia_dinh!$F$102,1)</f>
        <v/>
      </c>
      <c r="G7" s="33">
        <f>IF(AND(4&gt;=Gia_dinh!$F$103,4&lt;Gia_dinh!$F$103+Gia_dinh!$F$104),1-Gia_dinh!$F$102,1)</f>
        <v/>
      </c>
      <c r="H7" s="33">
        <f>IF(AND(5&gt;=Gia_dinh!$F$103,5&lt;Gia_dinh!$F$103+Gia_dinh!$F$104),1-Gia_dinh!$F$102,1)</f>
        <v/>
      </c>
      <c r="I7" s="33">
        <f>IF(AND(6&gt;=Gia_dinh!$F$103,6&lt;Gia_dinh!$F$103+Gia_dinh!$F$104),1-Gia_dinh!$F$102,1)</f>
        <v/>
      </c>
      <c r="J7" s="33">
        <f>IF(AND(7&gt;=Gia_dinh!$F$103,7&lt;Gia_dinh!$F$103+Gia_dinh!$F$104),1-Gia_dinh!$F$102,1)</f>
        <v/>
      </c>
      <c r="K7" s="33">
        <f>IF(AND(8&gt;=Gia_dinh!$F$103,8&lt;Gia_dinh!$F$103+Gia_dinh!$F$104),1-Gia_dinh!$F$102,1)</f>
        <v/>
      </c>
      <c r="L7" s="33">
        <f>IF(AND(9&gt;=Gia_dinh!$F$103,9&lt;Gia_dinh!$F$103+Gia_dinh!$F$104),1-Gia_dinh!$F$102,1)</f>
        <v/>
      </c>
      <c r="M7" s="33">
        <f>IF(AND(10&gt;=Gia_dinh!$F$103,10&lt;Gia_dinh!$F$103+Gia_dinh!$F$104),1-Gia_dinh!$F$102,1)</f>
        <v/>
      </c>
      <c r="N7" s="33">
        <f>IF(AND(11&gt;=Gia_dinh!$F$103,11&lt;Gia_dinh!$F$103+Gia_dinh!$F$104),1-Gia_dinh!$F$102,1)</f>
        <v/>
      </c>
      <c r="O7" s="33">
        <f>IF(AND(12&gt;=Gia_dinh!$F$103,12&lt;Gia_dinh!$F$103+Gia_dinh!$F$104),1-Gia_dinh!$F$102,1)</f>
        <v/>
      </c>
      <c r="P7" s="33">
        <f>IF(AND(13&gt;=Gia_dinh!$F$103,13&lt;Gia_dinh!$F$103+Gia_dinh!$F$104),1-Gia_dinh!$F$102,1)</f>
        <v/>
      </c>
      <c r="Q7" s="33">
        <f>IF(AND(14&gt;=Gia_dinh!$F$103,14&lt;Gia_dinh!$F$103+Gia_dinh!$F$104),1-Gia_dinh!$F$102,1)</f>
        <v/>
      </c>
      <c r="R7" s="33">
        <f>IF(AND(15&gt;=Gia_dinh!$F$103,15&lt;Gia_dinh!$F$103+Gia_dinh!$F$104),1-Gia_dinh!$F$102,1)</f>
        <v/>
      </c>
      <c r="S7" s="33">
        <f>IF(AND(16&gt;=Gia_dinh!$F$103,16&lt;Gia_dinh!$F$103+Gia_dinh!$F$104),1-Gia_dinh!$F$102,1)</f>
        <v/>
      </c>
      <c r="T7" s="33">
        <f>IF(AND(17&gt;=Gia_dinh!$F$103,17&lt;Gia_dinh!$F$103+Gia_dinh!$F$104),1-Gia_dinh!$F$102,1)</f>
        <v/>
      </c>
      <c r="U7" s="33">
        <f>IF(AND(18&gt;=Gia_dinh!$F$103,18&lt;Gia_dinh!$F$103+Gia_dinh!$F$104),1-Gia_dinh!$F$102,1)</f>
        <v/>
      </c>
      <c r="V7" s="33">
        <f>IF(AND(19&gt;=Gia_dinh!$F$103,19&lt;Gia_dinh!$F$103+Gia_dinh!$F$104),1-Gia_dinh!$F$102,1)</f>
        <v/>
      </c>
      <c r="W7" s="33">
        <f>IF(AND(20&gt;=Gia_dinh!$F$103,20&lt;Gia_dinh!$F$103+Gia_dinh!$F$104),1-Gia_dinh!$F$102,1)</f>
        <v/>
      </c>
      <c r="X7" s="33">
        <f>IF(AND(21&gt;=Gia_dinh!$F$103,21&lt;Gia_dinh!$F$103+Gia_dinh!$F$104),1-Gia_dinh!$F$102,1)</f>
        <v/>
      </c>
      <c r="Y7" s="33">
        <f>IF(AND(22&gt;=Gia_dinh!$F$103,22&lt;Gia_dinh!$F$103+Gia_dinh!$F$104),1-Gia_dinh!$F$102,1)</f>
        <v/>
      </c>
      <c r="Z7" s="33">
        <f>IF(AND(23&gt;=Gia_dinh!$F$103,23&lt;Gia_dinh!$F$103+Gia_dinh!$F$104),1-Gia_dinh!$F$102,1)</f>
        <v/>
      </c>
      <c r="AA7" s="33">
        <f>IF(AND(24&gt;=Gia_dinh!$F$103,24&lt;Gia_dinh!$F$103+Gia_dinh!$F$104),1-Gia_dinh!$F$102,1)</f>
        <v/>
      </c>
      <c r="AB7" s="33">
        <f>IF(AND(25&gt;=Gia_dinh!$F$103,25&lt;Gia_dinh!$F$103+Gia_dinh!$F$104),1-Gia_dinh!$F$102,1)</f>
        <v/>
      </c>
      <c r="AC7" s="33">
        <f>IF(AND(26&gt;=Gia_dinh!$F$103,26&lt;Gia_dinh!$F$103+Gia_dinh!$F$104),1-Gia_dinh!$F$102,1)</f>
        <v/>
      </c>
      <c r="AD7" s="33">
        <f>IF(AND(27&gt;=Gia_dinh!$F$103,27&lt;Gia_dinh!$F$103+Gia_dinh!$F$104),1-Gia_dinh!$F$102,1)</f>
        <v/>
      </c>
      <c r="AE7" s="33">
        <f>IF(AND(28&gt;=Gia_dinh!$F$103,28&lt;Gia_dinh!$F$103+Gia_dinh!$F$104),1-Gia_dinh!$F$102,1)</f>
        <v/>
      </c>
      <c r="AF7" s="33">
        <f>IF(AND(29&gt;=Gia_dinh!$F$103,29&lt;Gia_dinh!$F$103+Gia_dinh!$F$104),1-Gia_dinh!$F$102,1)</f>
        <v/>
      </c>
      <c r="AG7" s="33">
        <f>IF(AND(30&gt;=Gia_dinh!$F$103,30&lt;Gia_dinh!$F$103+Gia_dinh!$F$104),1-Gia_dinh!$F$102,1)</f>
        <v/>
      </c>
      <c r="AH7" s="33">
        <f>IF(AND(31&gt;=Gia_dinh!$F$103,31&lt;Gia_dinh!$F$103+Gia_dinh!$F$104),1-Gia_dinh!$F$102,1)</f>
        <v/>
      </c>
      <c r="AI7" s="33">
        <f>IF(AND(32&gt;=Gia_dinh!$F$103,32&lt;Gia_dinh!$F$103+Gia_dinh!$F$104),1-Gia_dinh!$F$102,1)</f>
        <v/>
      </c>
      <c r="AJ7" s="33">
        <f>IF(AND(33&gt;=Gia_dinh!$F$103,33&lt;Gia_dinh!$F$103+Gia_dinh!$F$104),1-Gia_dinh!$F$102,1)</f>
        <v/>
      </c>
      <c r="AK7" s="33">
        <f>IF(AND(34&gt;=Gia_dinh!$F$103,34&lt;Gia_dinh!$F$103+Gia_dinh!$F$104),1-Gia_dinh!$F$102,1)</f>
        <v/>
      </c>
      <c r="AL7" s="33">
        <f>IF(AND(35&gt;=Gia_dinh!$F$103,35&lt;Gia_dinh!$F$103+Gia_dinh!$F$104),1-Gia_dinh!$F$102,1)</f>
        <v/>
      </c>
      <c r="AM7" s="33">
        <f>IF(AND(36&gt;=Gia_dinh!$F$103,36&lt;Gia_dinh!$F$103+Gia_dinh!$F$104),1-Gia_dinh!$F$102,1)</f>
        <v/>
      </c>
    </row>
    <row r="9">
      <c r="B9" s="4" t="inlineStr">
        <is>
          <t>ĐỘI HÌNH</t>
        </is>
      </c>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row>
    <row r="10">
      <c r="B10" t="inlineStr">
        <is>
          <t>Số IP người thật đang hoạt động</t>
        </is>
      </c>
      <c r="C10" t="inlineStr">
        <is>
          <t>IP</t>
        </is>
      </c>
      <c r="D10" s="25">
        <f>Doi_hinh!D50</f>
        <v/>
      </c>
      <c r="E10" s="25">
        <f>Doi_hinh!E50</f>
        <v/>
      </c>
      <c r="F10" s="25">
        <f>Doi_hinh!F50</f>
        <v/>
      </c>
      <c r="G10" s="25">
        <f>Doi_hinh!G50</f>
        <v/>
      </c>
      <c r="H10" s="25">
        <f>Doi_hinh!H50</f>
        <v/>
      </c>
      <c r="I10" s="25">
        <f>Doi_hinh!I50</f>
        <v/>
      </c>
      <c r="J10" s="25">
        <f>Doi_hinh!J50</f>
        <v/>
      </c>
      <c r="K10" s="25">
        <f>Doi_hinh!K50</f>
        <v/>
      </c>
      <c r="L10" s="25">
        <f>Doi_hinh!L50</f>
        <v/>
      </c>
      <c r="M10" s="25">
        <f>Doi_hinh!M50</f>
        <v/>
      </c>
      <c r="N10" s="25">
        <f>Doi_hinh!N50</f>
        <v/>
      </c>
      <c r="O10" s="25">
        <f>Doi_hinh!O50</f>
        <v/>
      </c>
      <c r="P10" s="25">
        <f>Doi_hinh!P50</f>
        <v/>
      </c>
      <c r="Q10" s="25">
        <f>Doi_hinh!Q50</f>
        <v/>
      </c>
      <c r="R10" s="25">
        <f>Doi_hinh!R50</f>
        <v/>
      </c>
      <c r="S10" s="25">
        <f>Doi_hinh!S50</f>
        <v/>
      </c>
      <c r="T10" s="25">
        <f>Doi_hinh!T50</f>
        <v/>
      </c>
      <c r="U10" s="25">
        <f>Doi_hinh!U50</f>
        <v/>
      </c>
      <c r="V10" s="25">
        <f>Doi_hinh!V50</f>
        <v/>
      </c>
      <c r="W10" s="25">
        <f>Doi_hinh!W50</f>
        <v/>
      </c>
      <c r="X10" s="25">
        <f>Doi_hinh!X50</f>
        <v/>
      </c>
      <c r="Y10" s="25">
        <f>Doi_hinh!Y50</f>
        <v/>
      </c>
      <c r="Z10" s="25">
        <f>Doi_hinh!Z50</f>
        <v/>
      </c>
      <c r="AA10" s="25">
        <f>Doi_hinh!AA50</f>
        <v/>
      </c>
      <c r="AB10" s="25">
        <f>Doi_hinh!AB50</f>
        <v/>
      </c>
      <c r="AC10" s="25">
        <f>Doi_hinh!AC50</f>
        <v/>
      </c>
      <c r="AD10" s="25">
        <f>Doi_hinh!AD50</f>
        <v/>
      </c>
      <c r="AE10" s="25">
        <f>Doi_hinh!AE50</f>
        <v/>
      </c>
      <c r="AF10" s="25">
        <f>Doi_hinh!AF50</f>
        <v/>
      </c>
      <c r="AG10" s="25">
        <f>Doi_hinh!AG50</f>
        <v/>
      </c>
      <c r="AH10" s="25">
        <f>Doi_hinh!AH50</f>
        <v/>
      </c>
      <c r="AI10" s="25">
        <f>Doi_hinh!AI50</f>
        <v/>
      </c>
      <c r="AJ10" s="25">
        <f>Doi_hinh!AJ50</f>
        <v/>
      </c>
      <c r="AK10" s="25">
        <f>Doi_hinh!AK50</f>
        <v/>
      </c>
      <c r="AL10" s="25">
        <f>Doi_hinh!AL50</f>
        <v/>
      </c>
      <c r="AM10" s="25">
        <f>Doi_hinh!AM50</f>
        <v/>
      </c>
    </row>
    <row r="11">
      <c r="B11" t="inlineStr">
        <is>
          <t>Số IP AI đang hoạt động</t>
        </is>
      </c>
      <c r="C11" t="inlineStr">
        <is>
          <t>IP</t>
        </is>
      </c>
      <c r="D11" s="25">
        <f>Doi_hinh!D97</f>
        <v/>
      </c>
      <c r="E11" s="25">
        <f>Doi_hinh!E97</f>
        <v/>
      </c>
      <c r="F11" s="25">
        <f>Doi_hinh!F97</f>
        <v/>
      </c>
      <c r="G11" s="25">
        <f>Doi_hinh!G97</f>
        <v/>
      </c>
      <c r="H11" s="25">
        <f>Doi_hinh!H97</f>
        <v/>
      </c>
      <c r="I11" s="25">
        <f>Doi_hinh!I97</f>
        <v/>
      </c>
      <c r="J11" s="25">
        <f>Doi_hinh!J97</f>
        <v/>
      </c>
      <c r="K11" s="25">
        <f>Doi_hinh!K97</f>
        <v/>
      </c>
      <c r="L11" s="25">
        <f>Doi_hinh!L97</f>
        <v/>
      </c>
      <c r="M11" s="25">
        <f>Doi_hinh!M97</f>
        <v/>
      </c>
      <c r="N11" s="25">
        <f>Doi_hinh!N97</f>
        <v/>
      </c>
      <c r="O11" s="25">
        <f>Doi_hinh!O97</f>
        <v/>
      </c>
      <c r="P11" s="25">
        <f>Doi_hinh!P97</f>
        <v/>
      </c>
      <c r="Q11" s="25">
        <f>Doi_hinh!Q97</f>
        <v/>
      </c>
      <c r="R11" s="25">
        <f>Doi_hinh!R97</f>
        <v/>
      </c>
      <c r="S11" s="25">
        <f>Doi_hinh!S97</f>
        <v/>
      </c>
      <c r="T11" s="25">
        <f>Doi_hinh!T97</f>
        <v/>
      </c>
      <c r="U11" s="25">
        <f>Doi_hinh!U97</f>
        <v/>
      </c>
      <c r="V11" s="25">
        <f>Doi_hinh!V97</f>
        <v/>
      </c>
      <c r="W11" s="25">
        <f>Doi_hinh!W97</f>
        <v/>
      </c>
      <c r="X11" s="25">
        <f>Doi_hinh!X97</f>
        <v/>
      </c>
      <c r="Y11" s="25">
        <f>Doi_hinh!Y97</f>
        <v/>
      </c>
      <c r="Z11" s="25">
        <f>Doi_hinh!Z97</f>
        <v/>
      </c>
      <c r="AA11" s="25">
        <f>Doi_hinh!AA97</f>
        <v/>
      </c>
      <c r="AB11" s="25">
        <f>Doi_hinh!AB97</f>
        <v/>
      </c>
      <c r="AC11" s="25">
        <f>Doi_hinh!AC97</f>
        <v/>
      </c>
      <c r="AD11" s="25">
        <f>Doi_hinh!AD97</f>
        <v/>
      </c>
      <c r="AE11" s="25">
        <f>Doi_hinh!AE97</f>
        <v/>
      </c>
      <c r="AF11" s="25">
        <f>Doi_hinh!AF97</f>
        <v/>
      </c>
      <c r="AG11" s="25">
        <f>Doi_hinh!AG97</f>
        <v/>
      </c>
      <c r="AH11" s="25">
        <f>Doi_hinh!AH97</f>
        <v/>
      </c>
      <c r="AI11" s="25">
        <f>Doi_hinh!AI97</f>
        <v/>
      </c>
      <c r="AJ11" s="25">
        <f>Doi_hinh!AJ97</f>
        <v/>
      </c>
      <c r="AK11" s="25">
        <f>Doi_hinh!AK97</f>
        <v/>
      </c>
      <c r="AL11" s="25">
        <f>Doi_hinh!AL97</f>
        <v/>
      </c>
      <c r="AM11" s="25">
        <f>Doi_hinh!AM97</f>
        <v/>
      </c>
    </row>
    <row r="12">
      <c r="B12" t="inlineStr">
        <is>
          <t>Số IP người thật ký mới</t>
        </is>
      </c>
      <c r="C12" t="inlineStr">
        <is>
          <t>IP</t>
        </is>
      </c>
      <c r="D12" s="11">
        <f>Doi_hinh!D7</f>
        <v/>
      </c>
      <c r="E12" s="11">
        <f>Doi_hinh!E7</f>
        <v/>
      </c>
      <c r="F12" s="11">
        <f>Doi_hinh!F7</f>
        <v/>
      </c>
      <c r="G12" s="11">
        <f>Doi_hinh!G7</f>
        <v/>
      </c>
      <c r="H12" s="11">
        <f>Doi_hinh!H7</f>
        <v/>
      </c>
      <c r="I12" s="11">
        <f>Doi_hinh!I7</f>
        <v/>
      </c>
      <c r="J12" s="11">
        <f>Doi_hinh!J7</f>
        <v/>
      </c>
      <c r="K12" s="11">
        <f>Doi_hinh!K7</f>
        <v/>
      </c>
      <c r="L12" s="11">
        <f>Doi_hinh!L7</f>
        <v/>
      </c>
      <c r="M12" s="11">
        <f>Doi_hinh!M7</f>
        <v/>
      </c>
      <c r="N12" s="11">
        <f>Doi_hinh!N7</f>
        <v/>
      </c>
      <c r="O12" s="11">
        <f>Doi_hinh!O7</f>
        <v/>
      </c>
      <c r="P12" s="11">
        <f>Doi_hinh!P7</f>
        <v/>
      </c>
      <c r="Q12" s="11">
        <f>Doi_hinh!Q7</f>
        <v/>
      </c>
      <c r="R12" s="11">
        <f>Doi_hinh!R7</f>
        <v/>
      </c>
      <c r="S12" s="11">
        <f>Doi_hinh!S7</f>
        <v/>
      </c>
      <c r="T12" s="11">
        <f>Doi_hinh!T7</f>
        <v/>
      </c>
      <c r="U12" s="11">
        <f>Doi_hinh!U7</f>
        <v/>
      </c>
      <c r="V12" s="11">
        <f>Doi_hinh!V7</f>
        <v/>
      </c>
      <c r="W12" s="11">
        <f>Doi_hinh!W7</f>
        <v/>
      </c>
      <c r="X12" s="11">
        <f>Doi_hinh!X7</f>
        <v/>
      </c>
      <c r="Y12" s="11">
        <f>Doi_hinh!Y7</f>
        <v/>
      </c>
      <c r="Z12" s="11">
        <f>Doi_hinh!Z7</f>
        <v/>
      </c>
      <c r="AA12" s="11">
        <f>Doi_hinh!AA7</f>
        <v/>
      </c>
      <c r="AB12" s="11">
        <f>Doi_hinh!AB7</f>
        <v/>
      </c>
      <c r="AC12" s="11">
        <f>Doi_hinh!AC7</f>
        <v/>
      </c>
      <c r="AD12" s="11">
        <f>Doi_hinh!AD7</f>
        <v/>
      </c>
      <c r="AE12" s="11">
        <f>Doi_hinh!AE7</f>
        <v/>
      </c>
      <c r="AF12" s="11">
        <f>Doi_hinh!AF7</f>
        <v/>
      </c>
      <c r="AG12" s="11">
        <f>Doi_hinh!AG7</f>
        <v/>
      </c>
      <c r="AH12" s="11">
        <f>Doi_hinh!AH7</f>
        <v/>
      </c>
      <c r="AI12" s="11">
        <f>Doi_hinh!AI7</f>
        <v/>
      </c>
      <c r="AJ12" s="11">
        <f>Doi_hinh!AJ7</f>
        <v/>
      </c>
      <c r="AK12" s="11">
        <f>Doi_hinh!AK7</f>
        <v/>
      </c>
      <c r="AL12" s="11">
        <f>Doi_hinh!AL7</f>
        <v/>
      </c>
      <c r="AM12" s="11">
        <f>Doi_hinh!AM7</f>
        <v/>
      </c>
    </row>
    <row r="13">
      <c r="B13" t="inlineStr">
        <is>
          <t>Số IP AI ra mắt</t>
        </is>
      </c>
      <c r="C13" t="inlineStr">
        <is>
          <t>IP</t>
        </is>
      </c>
      <c r="D13" s="11">
        <f>Doi_hinh!D8</f>
        <v/>
      </c>
      <c r="E13" s="11">
        <f>Doi_hinh!E8</f>
        <v/>
      </c>
      <c r="F13" s="11">
        <f>Doi_hinh!F8</f>
        <v/>
      </c>
      <c r="G13" s="11">
        <f>Doi_hinh!G8</f>
        <v/>
      </c>
      <c r="H13" s="11">
        <f>Doi_hinh!H8</f>
        <v/>
      </c>
      <c r="I13" s="11">
        <f>Doi_hinh!I8</f>
        <v/>
      </c>
      <c r="J13" s="11">
        <f>Doi_hinh!J8</f>
        <v/>
      </c>
      <c r="K13" s="11">
        <f>Doi_hinh!K8</f>
        <v/>
      </c>
      <c r="L13" s="11">
        <f>Doi_hinh!L8</f>
        <v/>
      </c>
      <c r="M13" s="11">
        <f>Doi_hinh!M8</f>
        <v/>
      </c>
      <c r="N13" s="11">
        <f>Doi_hinh!N8</f>
        <v/>
      </c>
      <c r="O13" s="11">
        <f>Doi_hinh!O8</f>
        <v/>
      </c>
      <c r="P13" s="11">
        <f>Doi_hinh!P8</f>
        <v/>
      </c>
      <c r="Q13" s="11">
        <f>Doi_hinh!Q8</f>
        <v/>
      </c>
      <c r="R13" s="11">
        <f>Doi_hinh!R8</f>
        <v/>
      </c>
      <c r="S13" s="11">
        <f>Doi_hinh!S8</f>
        <v/>
      </c>
      <c r="T13" s="11">
        <f>Doi_hinh!T8</f>
        <v/>
      </c>
      <c r="U13" s="11">
        <f>Doi_hinh!U8</f>
        <v/>
      </c>
      <c r="V13" s="11">
        <f>Doi_hinh!V8</f>
        <v/>
      </c>
      <c r="W13" s="11">
        <f>Doi_hinh!W8</f>
        <v/>
      </c>
      <c r="X13" s="11">
        <f>Doi_hinh!X8</f>
        <v/>
      </c>
      <c r="Y13" s="11">
        <f>Doi_hinh!Y8</f>
        <v/>
      </c>
      <c r="Z13" s="11">
        <f>Doi_hinh!Z8</f>
        <v/>
      </c>
      <c r="AA13" s="11">
        <f>Doi_hinh!AA8</f>
        <v/>
      </c>
      <c r="AB13" s="11">
        <f>Doi_hinh!AB8</f>
        <v/>
      </c>
      <c r="AC13" s="11">
        <f>Doi_hinh!AC8</f>
        <v/>
      </c>
      <c r="AD13" s="11">
        <f>Doi_hinh!AD8</f>
        <v/>
      </c>
      <c r="AE13" s="11">
        <f>Doi_hinh!AE8</f>
        <v/>
      </c>
      <c r="AF13" s="11">
        <f>Doi_hinh!AF8</f>
        <v/>
      </c>
      <c r="AG13" s="11">
        <f>Doi_hinh!AG8</f>
        <v/>
      </c>
      <c r="AH13" s="11">
        <f>Doi_hinh!AH8</f>
        <v/>
      </c>
      <c r="AI13" s="11">
        <f>Doi_hinh!AI8</f>
        <v/>
      </c>
      <c r="AJ13" s="11">
        <f>Doi_hinh!AJ8</f>
        <v/>
      </c>
      <c r="AK13" s="11">
        <f>Doi_hinh!AK8</f>
        <v/>
      </c>
      <c r="AL13" s="11">
        <f>Doi_hinh!AL8</f>
        <v/>
      </c>
      <c r="AM13" s="11">
        <f>Doi_hinh!AM8</f>
        <v/>
      </c>
    </row>
    <row r="15">
      <c r="B15" s="4" t="inlineStr">
        <is>
          <t>GMV</t>
        </is>
      </c>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row>
    <row r="16">
      <c r="B16" t="inlineStr">
        <is>
          <t>GMV gộp — IP người thật</t>
        </is>
      </c>
      <c r="C16" t="inlineStr">
        <is>
          <t>triệu VND</t>
        </is>
      </c>
      <c r="D16" s="11">
        <f>SUMPRODUCT(Doi_hinh!D$12:D$48,Don_vi_IP!$G$5:$G$41)</f>
        <v/>
      </c>
      <c r="E16" s="11">
        <f>SUMPRODUCT(Doi_hinh!E$12:E$48,Don_vi_IP!$G$5:$G$41)</f>
        <v/>
      </c>
      <c r="F16" s="11">
        <f>SUMPRODUCT(Doi_hinh!F$12:F$48,Don_vi_IP!$G$5:$G$41)</f>
        <v/>
      </c>
      <c r="G16" s="11">
        <f>SUMPRODUCT(Doi_hinh!G$12:G$48,Don_vi_IP!$G$5:$G$41)</f>
        <v/>
      </c>
      <c r="H16" s="11">
        <f>SUMPRODUCT(Doi_hinh!H$12:H$48,Don_vi_IP!$G$5:$G$41)</f>
        <v/>
      </c>
      <c r="I16" s="11">
        <f>SUMPRODUCT(Doi_hinh!I$12:I$48,Don_vi_IP!$G$5:$G$41)</f>
        <v/>
      </c>
      <c r="J16" s="11">
        <f>SUMPRODUCT(Doi_hinh!J$12:J$48,Don_vi_IP!$G$5:$G$41)</f>
        <v/>
      </c>
      <c r="K16" s="11">
        <f>SUMPRODUCT(Doi_hinh!K$12:K$48,Don_vi_IP!$G$5:$G$41)</f>
        <v/>
      </c>
      <c r="L16" s="11">
        <f>SUMPRODUCT(Doi_hinh!L$12:L$48,Don_vi_IP!$G$5:$G$41)</f>
        <v/>
      </c>
      <c r="M16" s="11">
        <f>SUMPRODUCT(Doi_hinh!M$12:M$48,Don_vi_IP!$G$5:$G$41)</f>
        <v/>
      </c>
      <c r="N16" s="11">
        <f>SUMPRODUCT(Doi_hinh!N$12:N$48,Don_vi_IP!$G$5:$G$41)</f>
        <v/>
      </c>
      <c r="O16" s="11">
        <f>SUMPRODUCT(Doi_hinh!O$12:O$48,Don_vi_IP!$G$5:$G$41)</f>
        <v/>
      </c>
      <c r="P16" s="11">
        <f>SUMPRODUCT(Doi_hinh!P$12:P$48,Don_vi_IP!$G$5:$G$41)</f>
        <v/>
      </c>
      <c r="Q16" s="11">
        <f>SUMPRODUCT(Doi_hinh!Q$12:Q$48,Don_vi_IP!$G$5:$G$41)</f>
        <v/>
      </c>
      <c r="R16" s="11">
        <f>SUMPRODUCT(Doi_hinh!R$12:R$48,Don_vi_IP!$G$5:$G$41)</f>
        <v/>
      </c>
      <c r="S16" s="11">
        <f>SUMPRODUCT(Doi_hinh!S$12:S$48,Don_vi_IP!$G$5:$G$41)</f>
        <v/>
      </c>
      <c r="T16" s="11">
        <f>SUMPRODUCT(Doi_hinh!T$12:T$48,Don_vi_IP!$G$5:$G$41)</f>
        <v/>
      </c>
      <c r="U16" s="11">
        <f>SUMPRODUCT(Doi_hinh!U$12:U$48,Don_vi_IP!$G$5:$G$41)</f>
        <v/>
      </c>
      <c r="V16" s="11">
        <f>SUMPRODUCT(Doi_hinh!V$12:V$48,Don_vi_IP!$G$5:$G$41)</f>
        <v/>
      </c>
      <c r="W16" s="11">
        <f>SUMPRODUCT(Doi_hinh!W$12:W$48,Don_vi_IP!$G$5:$G$41)</f>
        <v/>
      </c>
      <c r="X16" s="11">
        <f>SUMPRODUCT(Doi_hinh!X$12:X$48,Don_vi_IP!$G$5:$G$41)</f>
        <v/>
      </c>
      <c r="Y16" s="11">
        <f>SUMPRODUCT(Doi_hinh!Y$12:Y$48,Don_vi_IP!$G$5:$G$41)</f>
        <v/>
      </c>
      <c r="Z16" s="11">
        <f>SUMPRODUCT(Doi_hinh!Z$12:Z$48,Don_vi_IP!$G$5:$G$41)</f>
        <v/>
      </c>
      <c r="AA16" s="11">
        <f>SUMPRODUCT(Doi_hinh!AA$12:AA$48,Don_vi_IP!$G$5:$G$41)</f>
        <v/>
      </c>
      <c r="AB16" s="11">
        <f>SUMPRODUCT(Doi_hinh!AB$12:AB$48,Don_vi_IP!$G$5:$G$41)</f>
        <v/>
      </c>
      <c r="AC16" s="11">
        <f>SUMPRODUCT(Doi_hinh!AC$12:AC$48,Don_vi_IP!$G$5:$G$41)</f>
        <v/>
      </c>
      <c r="AD16" s="11">
        <f>SUMPRODUCT(Doi_hinh!AD$12:AD$48,Don_vi_IP!$G$5:$G$41)</f>
        <v/>
      </c>
      <c r="AE16" s="11">
        <f>SUMPRODUCT(Doi_hinh!AE$12:AE$48,Don_vi_IP!$G$5:$G$41)</f>
        <v/>
      </c>
      <c r="AF16" s="11">
        <f>SUMPRODUCT(Doi_hinh!AF$12:AF$48,Don_vi_IP!$G$5:$G$41)</f>
        <v/>
      </c>
      <c r="AG16" s="11">
        <f>SUMPRODUCT(Doi_hinh!AG$12:AG$48,Don_vi_IP!$G$5:$G$41)</f>
        <v/>
      </c>
      <c r="AH16" s="11">
        <f>SUMPRODUCT(Doi_hinh!AH$12:AH$48,Don_vi_IP!$G$5:$G$41)</f>
        <v/>
      </c>
      <c r="AI16" s="11">
        <f>SUMPRODUCT(Doi_hinh!AI$12:AI$48,Don_vi_IP!$G$5:$G$41)</f>
        <v/>
      </c>
      <c r="AJ16" s="11">
        <f>SUMPRODUCT(Doi_hinh!AJ$12:AJ$48,Don_vi_IP!$G$5:$G$41)</f>
        <v/>
      </c>
      <c r="AK16" s="11">
        <f>SUMPRODUCT(Doi_hinh!AK$12:AK$48,Don_vi_IP!$G$5:$G$41)</f>
        <v/>
      </c>
      <c r="AL16" s="11">
        <f>SUMPRODUCT(Doi_hinh!AL$12:AL$48,Don_vi_IP!$G$5:$G$41)</f>
        <v/>
      </c>
      <c r="AM16" s="11">
        <f>SUMPRODUCT(Doi_hinh!AM$12:AM$48,Don_vi_IP!$G$5:$G$41)</f>
        <v/>
      </c>
    </row>
    <row r="17">
      <c r="B17" t="inlineStr">
        <is>
          <t>GMV gộp — IP AI</t>
        </is>
      </c>
      <c r="C17" t="inlineStr">
        <is>
          <t>triệu VND</t>
        </is>
      </c>
      <c r="D17" s="11">
        <f>SUMPRODUCT(Doi_hinh!D$60:D$96,Don_vi_IP_AI!$G$5:$G$41)*D7</f>
        <v/>
      </c>
      <c r="E17" s="11">
        <f>SUMPRODUCT(Doi_hinh!E$60:E$96,Don_vi_IP_AI!$G$5:$G$41)*E7</f>
        <v/>
      </c>
      <c r="F17" s="11">
        <f>SUMPRODUCT(Doi_hinh!F$60:F$96,Don_vi_IP_AI!$G$5:$G$41)*F7</f>
        <v/>
      </c>
      <c r="G17" s="11">
        <f>SUMPRODUCT(Doi_hinh!G$60:G$96,Don_vi_IP_AI!$G$5:$G$41)*G7</f>
        <v/>
      </c>
      <c r="H17" s="11">
        <f>SUMPRODUCT(Doi_hinh!H$60:H$96,Don_vi_IP_AI!$G$5:$G$41)*H7</f>
        <v/>
      </c>
      <c r="I17" s="11">
        <f>SUMPRODUCT(Doi_hinh!I$60:I$96,Don_vi_IP_AI!$G$5:$G$41)*I7</f>
        <v/>
      </c>
      <c r="J17" s="11">
        <f>SUMPRODUCT(Doi_hinh!J$60:J$96,Don_vi_IP_AI!$G$5:$G$41)*J7</f>
        <v/>
      </c>
      <c r="K17" s="11">
        <f>SUMPRODUCT(Doi_hinh!K$60:K$96,Don_vi_IP_AI!$G$5:$G$41)*K7</f>
        <v/>
      </c>
      <c r="L17" s="11">
        <f>SUMPRODUCT(Doi_hinh!L$60:L$96,Don_vi_IP_AI!$G$5:$G$41)*L7</f>
        <v/>
      </c>
      <c r="M17" s="11">
        <f>SUMPRODUCT(Doi_hinh!M$60:M$96,Don_vi_IP_AI!$G$5:$G$41)*M7</f>
        <v/>
      </c>
      <c r="N17" s="11">
        <f>SUMPRODUCT(Doi_hinh!N$60:N$96,Don_vi_IP_AI!$G$5:$G$41)*N7</f>
        <v/>
      </c>
      <c r="O17" s="11">
        <f>SUMPRODUCT(Doi_hinh!O$60:O$96,Don_vi_IP_AI!$G$5:$G$41)*O7</f>
        <v/>
      </c>
      <c r="P17" s="11">
        <f>SUMPRODUCT(Doi_hinh!P$60:P$96,Don_vi_IP_AI!$G$5:$G$41)*P7</f>
        <v/>
      </c>
      <c r="Q17" s="11">
        <f>SUMPRODUCT(Doi_hinh!Q$60:Q$96,Don_vi_IP_AI!$G$5:$G$41)*Q7</f>
        <v/>
      </c>
      <c r="R17" s="11">
        <f>SUMPRODUCT(Doi_hinh!R$60:R$96,Don_vi_IP_AI!$G$5:$G$41)*R7</f>
        <v/>
      </c>
      <c r="S17" s="11">
        <f>SUMPRODUCT(Doi_hinh!S$60:S$96,Don_vi_IP_AI!$G$5:$G$41)*S7</f>
        <v/>
      </c>
      <c r="T17" s="11">
        <f>SUMPRODUCT(Doi_hinh!T$60:T$96,Don_vi_IP_AI!$G$5:$G$41)*T7</f>
        <v/>
      </c>
      <c r="U17" s="11">
        <f>SUMPRODUCT(Doi_hinh!U$60:U$96,Don_vi_IP_AI!$G$5:$G$41)*U7</f>
        <v/>
      </c>
      <c r="V17" s="11">
        <f>SUMPRODUCT(Doi_hinh!V$60:V$96,Don_vi_IP_AI!$G$5:$G$41)*V7</f>
        <v/>
      </c>
      <c r="W17" s="11">
        <f>SUMPRODUCT(Doi_hinh!W$60:W$96,Don_vi_IP_AI!$G$5:$G$41)*W7</f>
        <v/>
      </c>
      <c r="X17" s="11">
        <f>SUMPRODUCT(Doi_hinh!X$60:X$96,Don_vi_IP_AI!$G$5:$G$41)*X7</f>
        <v/>
      </c>
      <c r="Y17" s="11">
        <f>SUMPRODUCT(Doi_hinh!Y$60:Y$96,Don_vi_IP_AI!$G$5:$G$41)*Y7</f>
        <v/>
      </c>
      <c r="Z17" s="11">
        <f>SUMPRODUCT(Doi_hinh!Z$60:Z$96,Don_vi_IP_AI!$G$5:$G$41)*Z7</f>
        <v/>
      </c>
      <c r="AA17" s="11">
        <f>SUMPRODUCT(Doi_hinh!AA$60:AA$96,Don_vi_IP_AI!$G$5:$G$41)*AA7</f>
        <v/>
      </c>
      <c r="AB17" s="11">
        <f>SUMPRODUCT(Doi_hinh!AB$60:AB$96,Don_vi_IP_AI!$G$5:$G$41)*AB7</f>
        <v/>
      </c>
      <c r="AC17" s="11">
        <f>SUMPRODUCT(Doi_hinh!AC$60:AC$96,Don_vi_IP_AI!$G$5:$G$41)*AC7</f>
        <v/>
      </c>
      <c r="AD17" s="11">
        <f>SUMPRODUCT(Doi_hinh!AD$60:AD$96,Don_vi_IP_AI!$G$5:$G$41)*AD7</f>
        <v/>
      </c>
      <c r="AE17" s="11">
        <f>SUMPRODUCT(Doi_hinh!AE$60:AE$96,Don_vi_IP_AI!$G$5:$G$41)*AE7</f>
        <v/>
      </c>
      <c r="AF17" s="11">
        <f>SUMPRODUCT(Doi_hinh!AF$60:AF$96,Don_vi_IP_AI!$G$5:$G$41)*AF7</f>
        <v/>
      </c>
      <c r="AG17" s="11">
        <f>SUMPRODUCT(Doi_hinh!AG$60:AG$96,Don_vi_IP_AI!$G$5:$G$41)*AG7</f>
        <v/>
      </c>
      <c r="AH17" s="11">
        <f>SUMPRODUCT(Doi_hinh!AH$60:AH$96,Don_vi_IP_AI!$G$5:$G$41)*AH7</f>
        <v/>
      </c>
      <c r="AI17" s="11">
        <f>SUMPRODUCT(Doi_hinh!AI$60:AI$96,Don_vi_IP_AI!$G$5:$G$41)*AI7</f>
        <v/>
      </c>
      <c r="AJ17" s="11">
        <f>SUMPRODUCT(Doi_hinh!AJ$60:AJ$96,Don_vi_IP_AI!$G$5:$G$41)*AJ7</f>
        <v/>
      </c>
      <c r="AK17" s="11">
        <f>SUMPRODUCT(Doi_hinh!AK$60:AK$96,Don_vi_IP_AI!$G$5:$G$41)*AK7</f>
        <v/>
      </c>
      <c r="AL17" s="11">
        <f>SUMPRODUCT(Doi_hinh!AL$60:AL$96,Don_vi_IP_AI!$G$5:$G$41)*AL7</f>
        <v/>
      </c>
      <c r="AM17" s="11">
        <f>SUMPRODUCT(Doi_hinh!AM$60:AM$96,Don_vi_IP_AI!$G$5:$G$41)*AM7</f>
        <v/>
      </c>
    </row>
    <row r="18">
      <c r="B18" s="2" t="inlineStr">
        <is>
          <t>TỔNG GMV GỘP</t>
        </is>
      </c>
      <c r="C18" t="inlineStr">
        <is>
          <t>triệu VND</t>
        </is>
      </c>
      <c r="D18" s="34">
        <f>D16+D17</f>
        <v/>
      </c>
      <c r="E18" s="34">
        <f>E16+E17</f>
        <v/>
      </c>
      <c r="F18" s="34">
        <f>F16+F17</f>
        <v/>
      </c>
      <c r="G18" s="34">
        <f>G16+G17</f>
        <v/>
      </c>
      <c r="H18" s="34">
        <f>H16+H17</f>
        <v/>
      </c>
      <c r="I18" s="34">
        <f>I16+I17</f>
        <v/>
      </c>
      <c r="J18" s="34">
        <f>J16+J17</f>
        <v/>
      </c>
      <c r="K18" s="34">
        <f>K16+K17</f>
        <v/>
      </c>
      <c r="L18" s="34">
        <f>L16+L17</f>
        <v/>
      </c>
      <c r="M18" s="34">
        <f>M16+M17</f>
        <v/>
      </c>
      <c r="N18" s="34">
        <f>N16+N17</f>
        <v/>
      </c>
      <c r="O18" s="34">
        <f>O16+O17</f>
        <v/>
      </c>
      <c r="P18" s="34">
        <f>P16+P17</f>
        <v/>
      </c>
      <c r="Q18" s="34">
        <f>Q16+Q17</f>
        <v/>
      </c>
      <c r="R18" s="34">
        <f>R16+R17</f>
        <v/>
      </c>
      <c r="S18" s="34">
        <f>S16+S17</f>
        <v/>
      </c>
      <c r="T18" s="34">
        <f>T16+T17</f>
        <v/>
      </c>
      <c r="U18" s="34">
        <f>U16+U17</f>
        <v/>
      </c>
      <c r="V18" s="34">
        <f>V16+V17</f>
        <v/>
      </c>
      <c r="W18" s="34">
        <f>W16+W17</f>
        <v/>
      </c>
      <c r="X18" s="34">
        <f>X16+X17</f>
        <v/>
      </c>
      <c r="Y18" s="34">
        <f>Y16+Y17</f>
        <v/>
      </c>
      <c r="Z18" s="34">
        <f>Z16+Z17</f>
        <v/>
      </c>
      <c r="AA18" s="34">
        <f>AA16+AA17</f>
        <v/>
      </c>
      <c r="AB18" s="34">
        <f>AB16+AB17</f>
        <v/>
      </c>
      <c r="AC18" s="34">
        <f>AC16+AC17</f>
        <v/>
      </c>
      <c r="AD18" s="34">
        <f>AD16+AD17</f>
        <v/>
      </c>
      <c r="AE18" s="34">
        <f>AE16+AE17</f>
        <v/>
      </c>
      <c r="AF18" s="34">
        <f>AF16+AF17</f>
        <v/>
      </c>
      <c r="AG18" s="34">
        <f>AG16+AG17</f>
        <v/>
      </c>
      <c r="AH18" s="34">
        <f>AH16+AH17</f>
        <v/>
      </c>
      <c r="AI18" s="34">
        <f>AI16+AI17</f>
        <v/>
      </c>
      <c r="AJ18" s="34">
        <f>AJ16+AJ17</f>
        <v/>
      </c>
      <c r="AK18" s="34">
        <f>AK16+AK17</f>
        <v/>
      </c>
      <c r="AL18" s="34">
        <f>AL16+AL17</f>
        <v/>
      </c>
      <c r="AM18" s="34">
        <f>AM16+AM17</f>
        <v/>
      </c>
    </row>
    <row r="19">
      <c r="B19" t="inlineStr">
        <is>
          <t>GMV ròng — IP người thật</t>
        </is>
      </c>
      <c r="C19" t="inlineStr">
        <is>
          <t>triệu VND</t>
        </is>
      </c>
      <c r="D19" s="11">
        <f>SUMPRODUCT(Doi_hinh!D$12:D$48,Don_vi_IP!$H$5:$H$41)</f>
        <v/>
      </c>
      <c r="E19" s="11">
        <f>SUMPRODUCT(Doi_hinh!E$12:E$48,Don_vi_IP!$H$5:$H$41)</f>
        <v/>
      </c>
      <c r="F19" s="11">
        <f>SUMPRODUCT(Doi_hinh!F$12:F$48,Don_vi_IP!$H$5:$H$41)</f>
        <v/>
      </c>
      <c r="G19" s="11">
        <f>SUMPRODUCT(Doi_hinh!G$12:G$48,Don_vi_IP!$H$5:$H$41)</f>
        <v/>
      </c>
      <c r="H19" s="11">
        <f>SUMPRODUCT(Doi_hinh!H$12:H$48,Don_vi_IP!$H$5:$H$41)</f>
        <v/>
      </c>
      <c r="I19" s="11">
        <f>SUMPRODUCT(Doi_hinh!I$12:I$48,Don_vi_IP!$H$5:$H$41)</f>
        <v/>
      </c>
      <c r="J19" s="11">
        <f>SUMPRODUCT(Doi_hinh!J$12:J$48,Don_vi_IP!$H$5:$H$41)</f>
        <v/>
      </c>
      <c r="K19" s="11">
        <f>SUMPRODUCT(Doi_hinh!K$12:K$48,Don_vi_IP!$H$5:$H$41)</f>
        <v/>
      </c>
      <c r="L19" s="11">
        <f>SUMPRODUCT(Doi_hinh!L$12:L$48,Don_vi_IP!$H$5:$H$41)</f>
        <v/>
      </c>
      <c r="M19" s="11">
        <f>SUMPRODUCT(Doi_hinh!M$12:M$48,Don_vi_IP!$H$5:$H$41)</f>
        <v/>
      </c>
      <c r="N19" s="11">
        <f>SUMPRODUCT(Doi_hinh!N$12:N$48,Don_vi_IP!$H$5:$H$41)</f>
        <v/>
      </c>
      <c r="O19" s="11">
        <f>SUMPRODUCT(Doi_hinh!O$12:O$48,Don_vi_IP!$H$5:$H$41)</f>
        <v/>
      </c>
      <c r="P19" s="11">
        <f>SUMPRODUCT(Doi_hinh!P$12:P$48,Don_vi_IP!$H$5:$H$41)</f>
        <v/>
      </c>
      <c r="Q19" s="11">
        <f>SUMPRODUCT(Doi_hinh!Q$12:Q$48,Don_vi_IP!$H$5:$H$41)</f>
        <v/>
      </c>
      <c r="R19" s="11">
        <f>SUMPRODUCT(Doi_hinh!R$12:R$48,Don_vi_IP!$H$5:$H$41)</f>
        <v/>
      </c>
      <c r="S19" s="11">
        <f>SUMPRODUCT(Doi_hinh!S$12:S$48,Don_vi_IP!$H$5:$H$41)</f>
        <v/>
      </c>
      <c r="T19" s="11">
        <f>SUMPRODUCT(Doi_hinh!T$12:T$48,Don_vi_IP!$H$5:$H$41)</f>
        <v/>
      </c>
      <c r="U19" s="11">
        <f>SUMPRODUCT(Doi_hinh!U$12:U$48,Don_vi_IP!$H$5:$H$41)</f>
        <v/>
      </c>
      <c r="V19" s="11">
        <f>SUMPRODUCT(Doi_hinh!V$12:V$48,Don_vi_IP!$H$5:$H$41)</f>
        <v/>
      </c>
      <c r="W19" s="11">
        <f>SUMPRODUCT(Doi_hinh!W$12:W$48,Don_vi_IP!$H$5:$H$41)</f>
        <v/>
      </c>
      <c r="X19" s="11">
        <f>SUMPRODUCT(Doi_hinh!X$12:X$48,Don_vi_IP!$H$5:$H$41)</f>
        <v/>
      </c>
      <c r="Y19" s="11">
        <f>SUMPRODUCT(Doi_hinh!Y$12:Y$48,Don_vi_IP!$H$5:$H$41)</f>
        <v/>
      </c>
      <c r="Z19" s="11">
        <f>SUMPRODUCT(Doi_hinh!Z$12:Z$48,Don_vi_IP!$H$5:$H$41)</f>
        <v/>
      </c>
      <c r="AA19" s="11">
        <f>SUMPRODUCT(Doi_hinh!AA$12:AA$48,Don_vi_IP!$H$5:$H$41)</f>
        <v/>
      </c>
      <c r="AB19" s="11">
        <f>SUMPRODUCT(Doi_hinh!AB$12:AB$48,Don_vi_IP!$H$5:$H$41)</f>
        <v/>
      </c>
      <c r="AC19" s="11">
        <f>SUMPRODUCT(Doi_hinh!AC$12:AC$48,Don_vi_IP!$H$5:$H$41)</f>
        <v/>
      </c>
      <c r="AD19" s="11">
        <f>SUMPRODUCT(Doi_hinh!AD$12:AD$48,Don_vi_IP!$H$5:$H$41)</f>
        <v/>
      </c>
      <c r="AE19" s="11">
        <f>SUMPRODUCT(Doi_hinh!AE$12:AE$48,Don_vi_IP!$H$5:$H$41)</f>
        <v/>
      </c>
      <c r="AF19" s="11">
        <f>SUMPRODUCT(Doi_hinh!AF$12:AF$48,Don_vi_IP!$H$5:$H$41)</f>
        <v/>
      </c>
      <c r="AG19" s="11">
        <f>SUMPRODUCT(Doi_hinh!AG$12:AG$48,Don_vi_IP!$H$5:$H$41)</f>
        <v/>
      </c>
      <c r="AH19" s="11">
        <f>SUMPRODUCT(Doi_hinh!AH$12:AH$48,Don_vi_IP!$H$5:$H$41)</f>
        <v/>
      </c>
      <c r="AI19" s="11">
        <f>SUMPRODUCT(Doi_hinh!AI$12:AI$48,Don_vi_IP!$H$5:$H$41)</f>
        <v/>
      </c>
      <c r="AJ19" s="11">
        <f>SUMPRODUCT(Doi_hinh!AJ$12:AJ$48,Don_vi_IP!$H$5:$H$41)</f>
        <v/>
      </c>
      <c r="AK19" s="11">
        <f>SUMPRODUCT(Doi_hinh!AK$12:AK$48,Don_vi_IP!$H$5:$H$41)</f>
        <v/>
      </c>
      <c r="AL19" s="11">
        <f>SUMPRODUCT(Doi_hinh!AL$12:AL$48,Don_vi_IP!$H$5:$H$41)</f>
        <v/>
      </c>
      <c r="AM19" s="11">
        <f>SUMPRODUCT(Doi_hinh!AM$12:AM$48,Don_vi_IP!$H$5:$H$41)</f>
        <v/>
      </c>
    </row>
    <row r="20">
      <c r="B20" t="inlineStr">
        <is>
          <t>GMV ròng — IP AI</t>
        </is>
      </c>
      <c r="C20" t="inlineStr">
        <is>
          <t>triệu VND</t>
        </is>
      </c>
      <c r="D20" s="11">
        <f>SUMPRODUCT(Doi_hinh!D$60:D$96,Don_vi_IP_AI!$H$5:$H$41)*D7</f>
        <v/>
      </c>
      <c r="E20" s="11">
        <f>SUMPRODUCT(Doi_hinh!E$60:E$96,Don_vi_IP_AI!$H$5:$H$41)*E7</f>
        <v/>
      </c>
      <c r="F20" s="11">
        <f>SUMPRODUCT(Doi_hinh!F$60:F$96,Don_vi_IP_AI!$H$5:$H$41)*F7</f>
        <v/>
      </c>
      <c r="G20" s="11">
        <f>SUMPRODUCT(Doi_hinh!G$60:G$96,Don_vi_IP_AI!$H$5:$H$41)*G7</f>
        <v/>
      </c>
      <c r="H20" s="11">
        <f>SUMPRODUCT(Doi_hinh!H$60:H$96,Don_vi_IP_AI!$H$5:$H$41)*H7</f>
        <v/>
      </c>
      <c r="I20" s="11">
        <f>SUMPRODUCT(Doi_hinh!I$60:I$96,Don_vi_IP_AI!$H$5:$H$41)*I7</f>
        <v/>
      </c>
      <c r="J20" s="11">
        <f>SUMPRODUCT(Doi_hinh!J$60:J$96,Don_vi_IP_AI!$H$5:$H$41)*J7</f>
        <v/>
      </c>
      <c r="K20" s="11">
        <f>SUMPRODUCT(Doi_hinh!K$60:K$96,Don_vi_IP_AI!$H$5:$H$41)*K7</f>
        <v/>
      </c>
      <c r="L20" s="11">
        <f>SUMPRODUCT(Doi_hinh!L$60:L$96,Don_vi_IP_AI!$H$5:$H$41)*L7</f>
        <v/>
      </c>
      <c r="M20" s="11">
        <f>SUMPRODUCT(Doi_hinh!M$60:M$96,Don_vi_IP_AI!$H$5:$H$41)*M7</f>
        <v/>
      </c>
      <c r="N20" s="11">
        <f>SUMPRODUCT(Doi_hinh!N$60:N$96,Don_vi_IP_AI!$H$5:$H$41)*N7</f>
        <v/>
      </c>
      <c r="O20" s="11">
        <f>SUMPRODUCT(Doi_hinh!O$60:O$96,Don_vi_IP_AI!$H$5:$H$41)*O7</f>
        <v/>
      </c>
      <c r="P20" s="11">
        <f>SUMPRODUCT(Doi_hinh!P$60:P$96,Don_vi_IP_AI!$H$5:$H$41)*P7</f>
        <v/>
      </c>
      <c r="Q20" s="11">
        <f>SUMPRODUCT(Doi_hinh!Q$60:Q$96,Don_vi_IP_AI!$H$5:$H$41)*Q7</f>
        <v/>
      </c>
      <c r="R20" s="11">
        <f>SUMPRODUCT(Doi_hinh!R$60:R$96,Don_vi_IP_AI!$H$5:$H$41)*R7</f>
        <v/>
      </c>
      <c r="S20" s="11">
        <f>SUMPRODUCT(Doi_hinh!S$60:S$96,Don_vi_IP_AI!$H$5:$H$41)*S7</f>
        <v/>
      </c>
      <c r="T20" s="11">
        <f>SUMPRODUCT(Doi_hinh!T$60:T$96,Don_vi_IP_AI!$H$5:$H$41)*T7</f>
        <v/>
      </c>
      <c r="U20" s="11">
        <f>SUMPRODUCT(Doi_hinh!U$60:U$96,Don_vi_IP_AI!$H$5:$H$41)*U7</f>
        <v/>
      </c>
      <c r="V20" s="11">
        <f>SUMPRODUCT(Doi_hinh!V$60:V$96,Don_vi_IP_AI!$H$5:$H$41)*V7</f>
        <v/>
      </c>
      <c r="W20" s="11">
        <f>SUMPRODUCT(Doi_hinh!W$60:W$96,Don_vi_IP_AI!$H$5:$H$41)*W7</f>
        <v/>
      </c>
      <c r="X20" s="11">
        <f>SUMPRODUCT(Doi_hinh!X$60:X$96,Don_vi_IP_AI!$H$5:$H$41)*X7</f>
        <v/>
      </c>
      <c r="Y20" s="11">
        <f>SUMPRODUCT(Doi_hinh!Y$60:Y$96,Don_vi_IP_AI!$H$5:$H$41)*Y7</f>
        <v/>
      </c>
      <c r="Z20" s="11">
        <f>SUMPRODUCT(Doi_hinh!Z$60:Z$96,Don_vi_IP_AI!$H$5:$H$41)*Z7</f>
        <v/>
      </c>
      <c r="AA20" s="11">
        <f>SUMPRODUCT(Doi_hinh!AA$60:AA$96,Don_vi_IP_AI!$H$5:$H$41)*AA7</f>
        <v/>
      </c>
      <c r="AB20" s="11">
        <f>SUMPRODUCT(Doi_hinh!AB$60:AB$96,Don_vi_IP_AI!$H$5:$H$41)*AB7</f>
        <v/>
      </c>
      <c r="AC20" s="11">
        <f>SUMPRODUCT(Doi_hinh!AC$60:AC$96,Don_vi_IP_AI!$H$5:$H$41)*AC7</f>
        <v/>
      </c>
      <c r="AD20" s="11">
        <f>SUMPRODUCT(Doi_hinh!AD$60:AD$96,Don_vi_IP_AI!$H$5:$H$41)*AD7</f>
        <v/>
      </c>
      <c r="AE20" s="11">
        <f>SUMPRODUCT(Doi_hinh!AE$60:AE$96,Don_vi_IP_AI!$H$5:$H$41)*AE7</f>
        <v/>
      </c>
      <c r="AF20" s="11">
        <f>SUMPRODUCT(Doi_hinh!AF$60:AF$96,Don_vi_IP_AI!$H$5:$H$41)*AF7</f>
        <v/>
      </c>
      <c r="AG20" s="11">
        <f>SUMPRODUCT(Doi_hinh!AG$60:AG$96,Don_vi_IP_AI!$H$5:$H$41)*AG7</f>
        <v/>
      </c>
      <c r="AH20" s="11">
        <f>SUMPRODUCT(Doi_hinh!AH$60:AH$96,Don_vi_IP_AI!$H$5:$H$41)*AH7</f>
        <v/>
      </c>
      <c r="AI20" s="11">
        <f>SUMPRODUCT(Doi_hinh!AI$60:AI$96,Don_vi_IP_AI!$H$5:$H$41)*AI7</f>
        <v/>
      </c>
      <c r="AJ20" s="11">
        <f>SUMPRODUCT(Doi_hinh!AJ$60:AJ$96,Don_vi_IP_AI!$H$5:$H$41)*AJ7</f>
        <v/>
      </c>
      <c r="AK20" s="11">
        <f>SUMPRODUCT(Doi_hinh!AK$60:AK$96,Don_vi_IP_AI!$H$5:$H$41)*AK7</f>
        <v/>
      </c>
      <c r="AL20" s="11">
        <f>SUMPRODUCT(Doi_hinh!AL$60:AL$96,Don_vi_IP_AI!$H$5:$H$41)*AL7</f>
        <v/>
      </c>
      <c r="AM20" s="11">
        <f>SUMPRODUCT(Doi_hinh!AM$60:AM$96,Don_vi_IP_AI!$H$5:$H$41)*AM7</f>
        <v/>
      </c>
    </row>
    <row r="21">
      <c r="B21" s="2" t="inlineStr">
        <is>
          <t>TỔNG GMV RÒNG (sau huỷ &amp; hoàn hàng)</t>
        </is>
      </c>
      <c r="C21" t="inlineStr">
        <is>
          <t>triệu VND</t>
        </is>
      </c>
      <c r="D21" s="34">
        <f>D19+D20</f>
        <v/>
      </c>
      <c r="E21" s="34">
        <f>E19+E20</f>
        <v/>
      </c>
      <c r="F21" s="34">
        <f>F19+F20</f>
        <v/>
      </c>
      <c r="G21" s="34">
        <f>G19+G20</f>
        <v/>
      </c>
      <c r="H21" s="34">
        <f>H19+H20</f>
        <v/>
      </c>
      <c r="I21" s="34">
        <f>I19+I20</f>
        <v/>
      </c>
      <c r="J21" s="34">
        <f>J19+J20</f>
        <v/>
      </c>
      <c r="K21" s="34">
        <f>K19+K20</f>
        <v/>
      </c>
      <c r="L21" s="34">
        <f>L19+L20</f>
        <v/>
      </c>
      <c r="M21" s="34">
        <f>M19+M20</f>
        <v/>
      </c>
      <c r="N21" s="34">
        <f>N19+N20</f>
        <v/>
      </c>
      <c r="O21" s="34">
        <f>O19+O20</f>
        <v/>
      </c>
      <c r="P21" s="34">
        <f>P19+P20</f>
        <v/>
      </c>
      <c r="Q21" s="34">
        <f>Q19+Q20</f>
        <v/>
      </c>
      <c r="R21" s="34">
        <f>R19+R20</f>
        <v/>
      </c>
      <c r="S21" s="34">
        <f>S19+S20</f>
        <v/>
      </c>
      <c r="T21" s="34">
        <f>T19+T20</f>
        <v/>
      </c>
      <c r="U21" s="34">
        <f>U19+U20</f>
        <v/>
      </c>
      <c r="V21" s="34">
        <f>V19+V20</f>
        <v/>
      </c>
      <c r="W21" s="34">
        <f>W19+W20</f>
        <v/>
      </c>
      <c r="X21" s="34">
        <f>X19+X20</f>
        <v/>
      </c>
      <c r="Y21" s="34">
        <f>Y19+Y20</f>
        <v/>
      </c>
      <c r="Z21" s="34">
        <f>Z19+Z20</f>
        <v/>
      </c>
      <c r="AA21" s="34">
        <f>AA19+AA20</f>
        <v/>
      </c>
      <c r="AB21" s="34">
        <f>AB19+AB20</f>
        <v/>
      </c>
      <c r="AC21" s="34">
        <f>AC19+AC20</f>
        <v/>
      </c>
      <c r="AD21" s="34">
        <f>AD19+AD20</f>
        <v/>
      </c>
      <c r="AE21" s="34">
        <f>AE19+AE20</f>
        <v/>
      </c>
      <c r="AF21" s="34">
        <f>AF19+AF20</f>
        <v/>
      </c>
      <c r="AG21" s="34">
        <f>AG19+AG20</f>
        <v/>
      </c>
      <c r="AH21" s="34">
        <f>AH19+AH20</f>
        <v/>
      </c>
      <c r="AI21" s="34">
        <f>AI19+AI20</f>
        <v/>
      </c>
      <c r="AJ21" s="34">
        <f>AJ19+AJ20</f>
        <v/>
      </c>
      <c r="AK21" s="34">
        <f>AK19+AK20</f>
        <v/>
      </c>
      <c r="AL21" s="34">
        <f>AL19+AL20</f>
        <v/>
      </c>
      <c r="AM21" s="34">
        <f>AM19+AM20</f>
        <v/>
      </c>
    </row>
    <row r="23">
      <c r="B23" s="4" t="inlineStr">
        <is>
          <t>DOANH THU MCN</t>
        </is>
      </c>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row>
    <row r="24">
      <c r="B24" t="inlineStr">
        <is>
          <t>Hoa hồng affiliate — IP người thật</t>
        </is>
      </c>
      <c r="C24" t="inlineStr">
        <is>
          <t>triệu VND</t>
        </is>
      </c>
      <c r="D24" s="11">
        <f>SUMPRODUCT(Doi_hinh!D$12:D$48,Don_vi_IP!$I$5:$I$41)</f>
        <v/>
      </c>
      <c r="E24" s="11">
        <f>SUMPRODUCT(Doi_hinh!E$12:E$48,Don_vi_IP!$I$5:$I$41)</f>
        <v/>
      </c>
      <c r="F24" s="11">
        <f>SUMPRODUCT(Doi_hinh!F$12:F$48,Don_vi_IP!$I$5:$I$41)</f>
        <v/>
      </c>
      <c r="G24" s="11">
        <f>SUMPRODUCT(Doi_hinh!G$12:G$48,Don_vi_IP!$I$5:$I$41)</f>
        <v/>
      </c>
      <c r="H24" s="11">
        <f>SUMPRODUCT(Doi_hinh!H$12:H$48,Don_vi_IP!$I$5:$I$41)</f>
        <v/>
      </c>
      <c r="I24" s="11">
        <f>SUMPRODUCT(Doi_hinh!I$12:I$48,Don_vi_IP!$I$5:$I$41)</f>
        <v/>
      </c>
      <c r="J24" s="11">
        <f>SUMPRODUCT(Doi_hinh!J$12:J$48,Don_vi_IP!$I$5:$I$41)</f>
        <v/>
      </c>
      <c r="K24" s="11">
        <f>SUMPRODUCT(Doi_hinh!K$12:K$48,Don_vi_IP!$I$5:$I$41)</f>
        <v/>
      </c>
      <c r="L24" s="11">
        <f>SUMPRODUCT(Doi_hinh!L$12:L$48,Don_vi_IP!$I$5:$I$41)</f>
        <v/>
      </c>
      <c r="M24" s="11">
        <f>SUMPRODUCT(Doi_hinh!M$12:M$48,Don_vi_IP!$I$5:$I$41)</f>
        <v/>
      </c>
      <c r="N24" s="11">
        <f>SUMPRODUCT(Doi_hinh!N$12:N$48,Don_vi_IP!$I$5:$I$41)</f>
        <v/>
      </c>
      <c r="O24" s="11">
        <f>SUMPRODUCT(Doi_hinh!O$12:O$48,Don_vi_IP!$I$5:$I$41)</f>
        <v/>
      </c>
      <c r="P24" s="11">
        <f>SUMPRODUCT(Doi_hinh!P$12:P$48,Don_vi_IP!$I$5:$I$41)</f>
        <v/>
      </c>
      <c r="Q24" s="11">
        <f>SUMPRODUCT(Doi_hinh!Q$12:Q$48,Don_vi_IP!$I$5:$I$41)</f>
        <v/>
      </c>
      <c r="R24" s="11">
        <f>SUMPRODUCT(Doi_hinh!R$12:R$48,Don_vi_IP!$I$5:$I$41)</f>
        <v/>
      </c>
      <c r="S24" s="11">
        <f>SUMPRODUCT(Doi_hinh!S$12:S$48,Don_vi_IP!$I$5:$I$41)</f>
        <v/>
      </c>
      <c r="T24" s="11">
        <f>SUMPRODUCT(Doi_hinh!T$12:T$48,Don_vi_IP!$I$5:$I$41)</f>
        <v/>
      </c>
      <c r="U24" s="11">
        <f>SUMPRODUCT(Doi_hinh!U$12:U$48,Don_vi_IP!$I$5:$I$41)</f>
        <v/>
      </c>
      <c r="V24" s="11">
        <f>SUMPRODUCT(Doi_hinh!V$12:V$48,Don_vi_IP!$I$5:$I$41)</f>
        <v/>
      </c>
      <c r="W24" s="11">
        <f>SUMPRODUCT(Doi_hinh!W$12:W$48,Don_vi_IP!$I$5:$I$41)</f>
        <v/>
      </c>
      <c r="X24" s="11">
        <f>SUMPRODUCT(Doi_hinh!X$12:X$48,Don_vi_IP!$I$5:$I$41)</f>
        <v/>
      </c>
      <c r="Y24" s="11">
        <f>SUMPRODUCT(Doi_hinh!Y$12:Y$48,Don_vi_IP!$I$5:$I$41)</f>
        <v/>
      </c>
      <c r="Z24" s="11">
        <f>SUMPRODUCT(Doi_hinh!Z$12:Z$48,Don_vi_IP!$I$5:$I$41)</f>
        <v/>
      </c>
      <c r="AA24" s="11">
        <f>SUMPRODUCT(Doi_hinh!AA$12:AA$48,Don_vi_IP!$I$5:$I$41)</f>
        <v/>
      </c>
      <c r="AB24" s="11">
        <f>SUMPRODUCT(Doi_hinh!AB$12:AB$48,Don_vi_IP!$I$5:$I$41)</f>
        <v/>
      </c>
      <c r="AC24" s="11">
        <f>SUMPRODUCT(Doi_hinh!AC$12:AC$48,Don_vi_IP!$I$5:$I$41)</f>
        <v/>
      </c>
      <c r="AD24" s="11">
        <f>SUMPRODUCT(Doi_hinh!AD$12:AD$48,Don_vi_IP!$I$5:$I$41)</f>
        <v/>
      </c>
      <c r="AE24" s="11">
        <f>SUMPRODUCT(Doi_hinh!AE$12:AE$48,Don_vi_IP!$I$5:$I$41)</f>
        <v/>
      </c>
      <c r="AF24" s="11">
        <f>SUMPRODUCT(Doi_hinh!AF$12:AF$48,Don_vi_IP!$I$5:$I$41)</f>
        <v/>
      </c>
      <c r="AG24" s="11">
        <f>SUMPRODUCT(Doi_hinh!AG$12:AG$48,Don_vi_IP!$I$5:$I$41)</f>
        <v/>
      </c>
      <c r="AH24" s="11">
        <f>SUMPRODUCT(Doi_hinh!AH$12:AH$48,Don_vi_IP!$I$5:$I$41)</f>
        <v/>
      </c>
      <c r="AI24" s="11">
        <f>SUMPRODUCT(Doi_hinh!AI$12:AI$48,Don_vi_IP!$I$5:$I$41)</f>
        <v/>
      </c>
      <c r="AJ24" s="11">
        <f>SUMPRODUCT(Doi_hinh!AJ$12:AJ$48,Don_vi_IP!$I$5:$I$41)</f>
        <v/>
      </c>
      <c r="AK24" s="11">
        <f>SUMPRODUCT(Doi_hinh!AK$12:AK$48,Don_vi_IP!$I$5:$I$41)</f>
        <v/>
      </c>
      <c r="AL24" s="11">
        <f>SUMPRODUCT(Doi_hinh!AL$12:AL$48,Don_vi_IP!$I$5:$I$41)</f>
        <v/>
      </c>
      <c r="AM24" s="11">
        <f>SUMPRODUCT(Doi_hinh!AM$12:AM$48,Don_vi_IP!$I$5:$I$41)</f>
        <v/>
      </c>
    </row>
    <row r="25">
      <c r="B25" t="inlineStr">
        <is>
          <t>Phí booking cố định</t>
        </is>
      </c>
      <c r="C25" t="inlineStr">
        <is>
          <t>triệu VND</t>
        </is>
      </c>
      <c r="D25" s="11">
        <f>SUMPRODUCT(Doi_hinh!D$12:D$48,Don_vi_IP!$J$5:$J$41)</f>
        <v/>
      </c>
      <c r="E25" s="11">
        <f>SUMPRODUCT(Doi_hinh!E$12:E$48,Don_vi_IP!$J$5:$J$41)</f>
        <v/>
      </c>
      <c r="F25" s="11">
        <f>SUMPRODUCT(Doi_hinh!F$12:F$48,Don_vi_IP!$J$5:$J$41)</f>
        <v/>
      </c>
      <c r="G25" s="11">
        <f>SUMPRODUCT(Doi_hinh!G$12:G$48,Don_vi_IP!$J$5:$J$41)</f>
        <v/>
      </c>
      <c r="H25" s="11">
        <f>SUMPRODUCT(Doi_hinh!H$12:H$48,Don_vi_IP!$J$5:$J$41)</f>
        <v/>
      </c>
      <c r="I25" s="11">
        <f>SUMPRODUCT(Doi_hinh!I$12:I$48,Don_vi_IP!$J$5:$J$41)</f>
        <v/>
      </c>
      <c r="J25" s="11">
        <f>SUMPRODUCT(Doi_hinh!J$12:J$48,Don_vi_IP!$J$5:$J$41)</f>
        <v/>
      </c>
      <c r="K25" s="11">
        <f>SUMPRODUCT(Doi_hinh!K$12:K$48,Don_vi_IP!$J$5:$J$41)</f>
        <v/>
      </c>
      <c r="L25" s="11">
        <f>SUMPRODUCT(Doi_hinh!L$12:L$48,Don_vi_IP!$J$5:$J$41)</f>
        <v/>
      </c>
      <c r="M25" s="11">
        <f>SUMPRODUCT(Doi_hinh!M$12:M$48,Don_vi_IP!$J$5:$J$41)</f>
        <v/>
      </c>
      <c r="N25" s="11">
        <f>SUMPRODUCT(Doi_hinh!N$12:N$48,Don_vi_IP!$J$5:$J$41)</f>
        <v/>
      </c>
      <c r="O25" s="11">
        <f>SUMPRODUCT(Doi_hinh!O$12:O$48,Don_vi_IP!$J$5:$J$41)</f>
        <v/>
      </c>
      <c r="P25" s="11">
        <f>SUMPRODUCT(Doi_hinh!P$12:P$48,Don_vi_IP!$J$5:$J$41)</f>
        <v/>
      </c>
      <c r="Q25" s="11">
        <f>SUMPRODUCT(Doi_hinh!Q$12:Q$48,Don_vi_IP!$J$5:$J$41)</f>
        <v/>
      </c>
      <c r="R25" s="11">
        <f>SUMPRODUCT(Doi_hinh!R$12:R$48,Don_vi_IP!$J$5:$J$41)</f>
        <v/>
      </c>
      <c r="S25" s="11">
        <f>SUMPRODUCT(Doi_hinh!S$12:S$48,Don_vi_IP!$J$5:$J$41)</f>
        <v/>
      </c>
      <c r="T25" s="11">
        <f>SUMPRODUCT(Doi_hinh!T$12:T$48,Don_vi_IP!$J$5:$J$41)</f>
        <v/>
      </c>
      <c r="U25" s="11">
        <f>SUMPRODUCT(Doi_hinh!U$12:U$48,Don_vi_IP!$J$5:$J$41)</f>
        <v/>
      </c>
      <c r="V25" s="11">
        <f>SUMPRODUCT(Doi_hinh!V$12:V$48,Don_vi_IP!$J$5:$J$41)</f>
        <v/>
      </c>
      <c r="W25" s="11">
        <f>SUMPRODUCT(Doi_hinh!W$12:W$48,Don_vi_IP!$J$5:$J$41)</f>
        <v/>
      </c>
      <c r="X25" s="11">
        <f>SUMPRODUCT(Doi_hinh!X$12:X$48,Don_vi_IP!$J$5:$J$41)</f>
        <v/>
      </c>
      <c r="Y25" s="11">
        <f>SUMPRODUCT(Doi_hinh!Y$12:Y$48,Don_vi_IP!$J$5:$J$41)</f>
        <v/>
      </c>
      <c r="Z25" s="11">
        <f>SUMPRODUCT(Doi_hinh!Z$12:Z$48,Don_vi_IP!$J$5:$J$41)</f>
        <v/>
      </c>
      <c r="AA25" s="11">
        <f>SUMPRODUCT(Doi_hinh!AA$12:AA$48,Don_vi_IP!$J$5:$J$41)</f>
        <v/>
      </c>
      <c r="AB25" s="11">
        <f>SUMPRODUCT(Doi_hinh!AB$12:AB$48,Don_vi_IP!$J$5:$J$41)</f>
        <v/>
      </c>
      <c r="AC25" s="11">
        <f>SUMPRODUCT(Doi_hinh!AC$12:AC$48,Don_vi_IP!$J$5:$J$41)</f>
        <v/>
      </c>
      <c r="AD25" s="11">
        <f>SUMPRODUCT(Doi_hinh!AD$12:AD$48,Don_vi_IP!$J$5:$J$41)</f>
        <v/>
      </c>
      <c r="AE25" s="11">
        <f>SUMPRODUCT(Doi_hinh!AE$12:AE$48,Don_vi_IP!$J$5:$J$41)</f>
        <v/>
      </c>
      <c r="AF25" s="11">
        <f>SUMPRODUCT(Doi_hinh!AF$12:AF$48,Don_vi_IP!$J$5:$J$41)</f>
        <v/>
      </c>
      <c r="AG25" s="11">
        <f>SUMPRODUCT(Doi_hinh!AG$12:AG$48,Don_vi_IP!$J$5:$J$41)</f>
        <v/>
      </c>
      <c r="AH25" s="11">
        <f>SUMPRODUCT(Doi_hinh!AH$12:AH$48,Don_vi_IP!$J$5:$J$41)</f>
        <v/>
      </c>
      <c r="AI25" s="11">
        <f>SUMPRODUCT(Doi_hinh!AI$12:AI$48,Don_vi_IP!$J$5:$J$41)</f>
        <v/>
      </c>
      <c r="AJ25" s="11">
        <f>SUMPRODUCT(Doi_hinh!AJ$12:AJ$48,Don_vi_IP!$J$5:$J$41)</f>
        <v/>
      </c>
      <c r="AK25" s="11">
        <f>SUMPRODUCT(Doi_hinh!AK$12:AK$48,Don_vi_IP!$J$5:$J$41)</f>
        <v/>
      </c>
      <c r="AL25" s="11">
        <f>SUMPRODUCT(Doi_hinh!AL$12:AL$48,Don_vi_IP!$J$5:$J$41)</f>
        <v/>
      </c>
      <c r="AM25" s="11">
        <f>SUMPRODUCT(Doi_hinh!AM$12:AM$48,Don_vi_IP!$J$5:$J$41)</f>
        <v/>
      </c>
    </row>
    <row r="26">
      <c r="B26" t="inlineStr">
        <is>
          <t>Thưởng đạt target</t>
        </is>
      </c>
      <c r="C26" t="inlineStr">
        <is>
          <t>triệu VND</t>
        </is>
      </c>
      <c r="D26" s="11">
        <f>SUMPRODUCT(Doi_hinh!D$12:D$48,Don_vi_IP!$K$5:$K$41)</f>
        <v/>
      </c>
      <c r="E26" s="11">
        <f>SUMPRODUCT(Doi_hinh!E$12:E$48,Don_vi_IP!$K$5:$K$41)</f>
        <v/>
      </c>
      <c r="F26" s="11">
        <f>SUMPRODUCT(Doi_hinh!F$12:F$48,Don_vi_IP!$K$5:$K$41)</f>
        <v/>
      </c>
      <c r="G26" s="11">
        <f>SUMPRODUCT(Doi_hinh!G$12:G$48,Don_vi_IP!$K$5:$K$41)</f>
        <v/>
      </c>
      <c r="H26" s="11">
        <f>SUMPRODUCT(Doi_hinh!H$12:H$48,Don_vi_IP!$K$5:$K$41)</f>
        <v/>
      </c>
      <c r="I26" s="11">
        <f>SUMPRODUCT(Doi_hinh!I$12:I$48,Don_vi_IP!$K$5:$K$41)</f>
        <v/>
      </c>
      <c r="J26" s="11">
        <f>SUMPRODUCT(Doi_hinh!J$12:J$48,Don_vi_IP!$K$5:$K$41)</f>
        <v/>
      </c>
      <c r="K26" s="11">
        <f>SUMPRODUCT(Doi_hinh!K$12:K$48,Don_vi_IP!$K$5:$K$41)</f>
        <v/>
      </c>
      <c r="L26" s="11">
        <f>SUMPRODUCT(Doi_hinh!L$12:L$48,Don_vi_IP!$K$5:$K$41)</f>
        <v/>
      </c>
      <c r="M26" s="11">
        <f>SUMPRODUCT(Doi_hinh!M$12:M$48,Don_vi_IP!$K$5:$K$41)</f>
        <v/>
      </c>
      <c r="N26" s="11">
        <f>SUMPRODUCT(Doi_hinh!N$12:N$48,Don_vi_IP!$K$5:$K$41)</f>
        <v/>
      </c>
      <c r="O26" s="11">
        <f>SUMPRODUCT(Doi_hinh!O$12:O$48,Don_vi_IP!$K$5:$K$41)</f>
        <v/>
      </c>
      <c r="P26" s="11">
        <f>SUMPRODUCT(Doi_hinh!P$12:P$48,Don_vi_IP!$K$5:$K$41)</f>
        <v/>
      </c>
      <c r="Q26" s="11">
        <f>SUMPRODUCT(Doi_hinh!Q$12:Q$48,Don_vi_IP!$K$5:$K$41)</f>
        <v/>
      </c>
      <c r="R26" s="11">
        <f>SUMPRODUCT(Doi_hinh!R$12:R$48,Don_vi_IP!$K$5:$K$41)</f>
        <v/>
      </c>
      <c r="S26" s="11">
        <f>SUMPRODUCT(Doi_hinh!S$12:S$48,Don_vi_IP!$K$5:$K$41)</f>
        <v/>
      </c>
      <c r="T26" s="11">
        <f>SUMPRODUCT(Doi_hinh!T$12:T$48,Don_vi_IP!$K$5:$K$41)</f>
        <v/>
      </c>
      <c r="U26" s="11">
        <f>SUMPRODUCT(Doi_hinh!U$12:U$48,Don_vi_IP!$K$5:$K$41)</f>
        <v/>
      </c>
      <c r="V26" s="11">
        <f>SUMPRODUCT(Doi_hinh!V$12:V$48,Don_vi_IP!$K$5:$K$41)</f>
        <v/>
      </c>
      <c r="W26" s="11">
        <f>SUMPRODUCT(Doi_hinh!W$12:W$48,Don_vi_IP!$K$5:$K$41)</f>
        <v/>
      </c>
      <c r="X26" s="11">
        <f>SUMPRODUCT(Doi_hinh!X$12:X$48,Don_vi_IP!$K$5:$K$41)</f>
        <v/>
      </c>
      <c r="Y26" s="11">
        <f>SUMPRODUCT(Doi_hinh!Y$12:Y$48,Don_vi_IP!$K$5:$K$41)</f>
        <v/>
      </c>
      <c r="Z26" s="11">
        <f>SUMPRODUCT(Doi_hinh!Z$12:Z$48,Don_vi_IP!$K$5:$K$41)</f>
        <v/>
      </c>
      <c r="AA26" s="11">
        <f>SUMPRODUCT(Doi_hinh!AA$12:AA$48,Don_vi_IP!$K$5:$K$41)</f>
        <v/>
      </c>
      <c r="AB26" s="11">
        <f>SUMPRODUCT(Doi_hinh!AB$12:AB$48,Don_vi_IP!$K$5:$K$41)</f>
        <v/>
      </c>
      <c r="AC26" s="11">
        <f>SUMPRODUCT(Doi_hinh!AC$12:AC$48,Don_vi_IP!$K$5:$K$41)</f>
        <v/>
      </c>
      <c r="AD26" s="11">
        <f>SUMPRODUCT(Doi_hinh!AD$12:AD$48,Don_vi_IP!$K$5:$K$41)</f>
        <v/>
      </c>
      <c r="AE26" s="11">
        <f>SUMPRODUCT(Doi_hinh!AE$12:AE$48,Don_vi_IP!$K$5:$K$41)</f>
        <v/>
      </c>
      <c r="AF26" s="11">
        <f>SUMPRODUCT(Doi_hinh!AF$12:AF$48,Don_vi_IP!$K$5:$K$41)</f>
        <v/>
      </c>
      <c r="AG26" s="11">
        <f>SUMPRODUCT(Doi_hinh!AG$12:AG$48,Don_vi_IP!$K$5:$K$41)</f>
        <v/>
      </c>
      <c r="AH26" s="11">
        <f>SUMPRODUCT(Doi_hinh!AH$12:AH$48,Don_vi_IP!$K$5:$K$41)</f>
        <v/>
      </c>
      <c r="AI26" s="11">
        <f>SUMPRODUCT(Doi_hinh!AI$12:AI$48,Don_vi_IP!$K$5:$K$41)</f>
        <v/>
      </c>
      <c r="AJ26" s="11">
        <f>SUMPRODUCT(Doi_hinh!AJ$12:AJ$48,Don_vi_IP!$K$5:$K$41)</f>
        <v/>
      </c>
      <c r="AK26" s="11">
        <f>SUMPRODUCT(Doi_hinh!AK$12:AK$48,Don_vi_IP!$K$5:$K$41)</f>
        <v/>
      </c>
      <c r="AL26" s="11">
        <f>SUMPRODUCT(Doi_hinh!AL$12:AL$48,Don_vi_IP!$K$5:$K$41)</f>
        <v/>
      </c>
      <c r="AM26" s="11">
        <f>SUMPRODUCT(Doi_hinh!AM$12:AM$48,Don_vi_IP!$K$5:$K$41)</f>
        <v/>
      </c>
    </row>
    <row r="27">
      <c r="B27" s="2" t="inlineStr">
        <is>
          <t>Doanh thu từ IP người thật</t>
        </is>
      </c>
      <c r="C27" t="inlineStr">
        <is>
          <t>triệu VND</t>
        </is>
      </c>
      <c r="D27" s="34">
        <f>SUM(D24:D26)</f>
        <v/>
      </c>
      <c r="E27" s="34">
        <f>SUM(E24:E26)</f>
        <v/>
      </c>
      <c r="F27" s="34">
        <f>SUM(F24:F26)</f>
        <v/>
      </c>
      <c r="G27" s="34">
        <f>SUM(G24:G26)</f>
        <v/>
      </c>
      <c r="H27" s="34">
        <f>SUM(H24:H26)</f>
        <v/>
      </c>
      <c r="I27" s="34">
        <f>SUM(I24:I26)</f>
        <v/>
      </c>
      <c r="J27" s="34">
        <f>SUM(J24:J26)</f>
        <v/>
      </c>
      <c r="K27" s="34">
        <f>SUM(K24:K26)</f>
        <v/>
      </c>
      <c r="L27" s="34">
        <f>SUM(L24:L26)</f>
        <v/>
      </c>
      <c r="M27" s="34">
        <f>SUM(M24:M26)</f>
        <v/>
      </c>
      <c r="N27" s="34">
        <f>SUM(N24:N26)</f>
        <v/>
      </c>
      <c r="O27" s="34">
        <f>SUM(O24:O26)</f>
        <v/>
      </c>
      <c r="P27" s="34">
        <f>SUM(P24:P26)</f>
        <v/>
      </c>
      <c r="Q27" s="34">
        <f>SUM(Q24:Q26)</f>
        <v/>
      </c>
      <c r="R27" s="34">
        <f>SUM(R24:R26)</f>
        <v/>
      </c>
      <c r="S27" s="34">
        <f>SUM(S24:S26)</f>
        <v/>
      </c>
      <c r="T27" s="34">
        <f>SUM(T24:T26)</f>
        <v/>
      </c>
      <c r="U27" s="34">
        <f>SUM(U24:U26)</f>
        <v/>
      </c>
      <c r="V27" s="34">
        <f>SUM(V24:V26)</f>
        <v/>
      </c>
      <c r="W27" s="34">
        <f>SUM(W24:W26)</f>
        <v/>
      </c>
      <c r="X27" s="34">
        <f>SUM(X24:X26)</f>
        <v/>
      </c>
      <c r="Y27" s="34">
        <f>SUM(Y24:Y26)</f>
        <v/>
      </c>
      <c r="Z27" s="34">
        <f>SUM(Z24:Z26)</f>
        <v/>
      </c>
      <c r="AA27" s="34">
        <f>SUM(AA24:AA26)</f>
        <v/>
      </c>
      <c r="AB27" s="34">
        <f>SUM(AB24:AB26)</f>
        <v/>
      </c>
      <c r="AC27" s="34">
        <f>SUM(AC24:AC26)</f>
        <v/>
      </c>
      <c r="AD27" s="34">
        <f>SUM(AD24:AD26)</f>
        <v/>
      </c>
      <c r="AE27" s="34">
        <f>SUM(AE24:AE26)</f>
        <v/>
      </c>
      <c r="AF27" s="34">
        <f>SUM(AF24:AF26)</f>
        <v/>
      </c>
      <c r="AG27" s="34">
        <f>SUM(AG24:AG26)</f>
        <v/>
      </c>
      <c r="AH27" s="34">
        <f>SUM(AH24:AH26)</f>
        <v/>
      </c>
      <c r="AI27" s="34">
        <f>SUM(AI24:AI26)</f>
        <v/>
      </c>
      <c r="AJ27" s="34">
        <f>SUM(AJ24:AJ26)</f>
        <v/>
      </c>
      <c r="AK27" s="34">
        <f>SUM(AK24:AK26)</f>
        <v/>
      </c>
      <c r="AL27" s="34">
        <f>SUM(AL24:AL26)</f>
        <v/>
      </c>
      <c r="AM27" s="34">
        <f>SUM(AM24:AM26)</f>
        <v/>
      </c>
    </row>
    <row r="28">
      <c r="B28" t="inlineStr">
        <is>
          <t>Hoa hồng affiliate — IP AI</t>
        </is>
      </c>
      <c r="C28" t="inlineStr">
        <is>
          <t>triệu VND</t>
        </is>
      </c>
      <c r="D28" s="11">
        <f>SUMPRODUCT(Doi_hinh!D$60:D$96,Don_vi_IP_AI!$I$5:$I$41)*D7</f>
        <v/>
      </c>
      <c r="E28" s="11">
        <f>SUMPRODUCT(Doi_hinh!E$60:E$96,Don_vi_IP_AI!$I$5:$I$41)*E7</f>
        <v/>
      </c>
      <c r="F28" s="11">
        <f>SUMPRODUCT(Doi_hinh!F$60:F$96,Don_vi_IP_AI!$I$5:$I$41)*F7</f>
        <v/>
      </c>
      <c r="G28" s="11">
        <f>SUMPRODUCT(Doi_hinh!G$60:G$96,Don_vi_IP_AI!$I$5:$I$41)*G7</f>
        <v/>
      </c>
      <c r="H28" s="11">
        <f>SUMPRODUCT(Doi_hinh!H$60:H$96,Don_vi_IP_AI!$I$5:$I$41)*H7</f>
        <v/>
      </c>
      <c r="I28" s="11">
        <f>SUMPRODUCT(Doi_hinh!I$60:I$96,Don_vi_IP_AI!$I$5:$I$41)*I7</f>
        <v/>
      </c>
      <c r="J28" s="11">
        <f>SUMPRODUCT(Doi_hinh!J$60:J$96,Don_vi_IP_AI!$I$5:$I$41)*J7</f>
        <v/>
      </c>
      <c r="K28" s="11">
        <f>SUMPRODUCT(Doi_hinh!K$60:K$96,Don_vi_IP_AI!$I$5:$I$41)*K7</f>
        <v/>
      </c>
      <c r="L28" s="11">
        <f>SUMPRODUCT(Doi_hinh!L$60:L$96,Don_vi_IP_AI!$I$5:$I$41)*L7</f>
        <v/>
      </c>
      <c r="M28" s="11">
        <f>SUMPRODUCT(Doi_hinh!M$60:M$96,Don_vi_IP_AI!$I$5:$I$41)*M7</f>
        <v/>
      </c>
      <c r="N28" s="11">
        <f>SUMPRODUCT(Doi_hinh!N$60:N$96,Don_vi_IP_AI!$I$5:$I$41)*N7</f>
        <v/>
      </c>
      <c r="O28" s="11">
        <f>SUMPRODUCT(Doi_hinh!O$60:O$96,Don_vi_IP_AI!$I$5:$I$41)*O7</f>
        <v/>
      </c>
      <c r="P28" s="11">
        <f>SUMPRODUCT(Doi_hinh!P$60:P$96,Don_vi_IP_AI!$I$5:$I$41)*P7</f>
        <v/>
      </c>
      <c r="Q28" s="11">
        <f>SUMPRODUCT(Doi_hinh!Q$60:Q$96,Don_vi_IP_AI!$I$5:$I$41)*Q7</f>
        <v/>
      </c>
      <c r="R28" s="11">
        <f>SUMPRODUCT(Doi_hinh!R$60:R$96,Don_vi_IP_AI!$I$5:$I$41)*R7</f>
        <v/>
      </c>
      <c r="S28" s="11">
        <f>SUMPRODUCT(Doi_hinh!S$60:S$96,Don_vi_IP_AI!$I$5:$I$41)*S7</f>
        <v/>
      </c>
      <c r="T28" s="11">
        <f>SUMPRODUCT(Doi_hinh!T$60:T$96,Don_vi_IP_AI!$I$5:$I$41)*T7</f>
        <v/>
      </c>
      <c r="U28" s="11">
        <f>SUMPRODUCT(Doi_hinh!U$60:U$96,Don_vi_IP_AI!$I$5:$I$41)*U7</f>
        <v/>
      </c>
      <c r="V28" s="11">
        <f>SUMPRODUCT(Doi_hinh!V$60:V$96,Don_vi_IP_AI!$I$5:$I$41)*V7</f>
        <v/>
      </c>
      <c r="W28" s="11">
        <f>SUMPRODUCT(Doi_hinh!W$60:W$96,Don_vi_IP_AI!$I$5:$I$41)*W7</f>
        <v/>
      </c>
      <c r="X28" s="11">
        <f>SUMPRODUCT(Doi_hinh!X$60:X$96,Don_vi_IP_AI!$I$5:$I$41)*X7</f>
        <v/>
      </c>
      <c r="Y28" s="11">
        <f>SUMPRODUCT(Doi_hinh!Y$60:Y$96,Don_vi_IP_AI!$I$5:$I$41)*Y7</f>
        <v/>
      </c>
      <c r="Z28" s="11">
        <f>SUMPRODUCT(Doi_hinh!Z$60:Z$96,Don_vi_IP_AI!$I$5:$I$41)*Z7</f>
        <v/>
      </c>
      <c r="AA28" s="11">
        <f>SUMPRODUCT(Doi_hinh!AA$60:AA$96,Don_vi_IP_AI!$I$5:$I$41)*AA7</f>
        <v/>
      </c>
      <c r="AB28" s="11">
        <f>SUMPRODUCT(Doi_hinh!AB$60:AB$96,Don_vi_IP_AI!$I$5:$I$41)*AB7</f>
        <v/>
      </c>
      <c r="AC28" s="11">
        <f>SUMPRODUCT(Doi_hinh!AC$60:AC$96,Don_vi_IP_AI!$I$5:$I$41)*AC7</f>
        <v/>
      </c>
      <c r="AD28" s="11">
        <f>SUMPRODUCT(Doi_hinh!AD$60:AD$96,Don_vi_IP_AI!$I$5:$I$41)*AD7</f>
        <v/>
      </c>
      <c r="AE28" s="11">
        <f>SUMPRODUCT(Doi_hinh!AE$60:AE$96,Don_vi_IP_AI!$I$5:$I$41)*AE7</f>
        <v/>
      </c>
      <c r="AF28" s="11">
        <f>SUMPRODUCT(Doi_hinh!AF$60:AF$96,Don_vi_IP_AI!$I$5:$I$41)*AF7</f>
        <v/>
      </c>
      <c r="AG28" s="11">
        <f>SUMPRODUCT(Doi_hinh!AG$60:AG$96,Don_vi_IP_AI!$I$5:$I$41)*AG7</f>
        <v/>
      </c>
      <c r="AH28" s="11">
        <f>SUMPRODUCT(Doi_hinh!AH$60:AH$96,Don_vi_IP_AI!$I$5:$I$41)*AH7</f>
        <v/>
      </c>
      <c r="AI28" s="11">
        <f>SUMPRODUCT(Doi_hinh!AI$60:AI$96,Don_vi_IP_AI!$I$5:$I$41)*AI7</f>
        <v/>
      </c>
      <c r="AJ28" s="11">
        <f>SUMPRODUCT(Doi_hinh!AJ$60:AJ$96,Don_vi_IP_AI!$I$5:$I$41)*AJ7</f>
        <v/>
      </c>
      <c r="AK28" s="11">
        <f>SUMPRODUCT(Doi_hinh!AK$60:AK$96,Don_vi_IP_AI!$I$5:$I$41)*AK7</f>
        <v/>
      </c>
      <c r="AL28" s="11">
        <f>SUMPRODUCT(Doi_hinh!AL$60:AL$96,Don_vi_IP_AI!$I$5:$I$41)*AL7</f>
        <v/>
      </c>
      <c r="AM28" s="11">
        <f>SUMPRODUCT(Doi_hinh!AM$60:AM$96,Don_vi_IP_AI!$I$5:$I$41)*AM7</f>
        <v/>
      </c>
    </row>
    <row r="29">
      <c r="B29" s="2" t="inlineStr">
        <is>
          <t>TỔNG DOANH THU</t>
        </is>
      </c>
      <c r="C29" t="inlineStr">
        <is>
          <t>triệu VND</t>
        </is>
      </c>
      <c r="D29" s="34">
        <f>D27+D28</f>
        <v/>
      </c>
      <c r="E29" s="34">
        <f>E27+E28</f>
        <v/>
      </c>
      <c r="F29" s="34">
        <f>F27+F28</f>
        <v/>
      </c>
      <c r="G29" s="34">
        <f>G27+G28</f>
        <v/>
      </c>
      <c r="H29" s="34">
        <f>H27+H28</f>
        <v/>
      </c>
      <c r="I29" s="34">
        <f>I27+I28</f>
        <v/>
      </c>
      <c r="J29" s="34">
        <f>J27+J28</f>
        <v/>
      </c>
      <c r="K29" s="34">
        <f>K27+K28</f>
        <v/>
      </c>
      <c r="L29" s="34">
        <f>L27+L28</f>
        <v/>
      </c>
      <c r="M29" s="34">
        <f>M27+M28</f>
        <v/>
      </c>
      <c r="N29" s="34">
        <f>N27+N28</f>
        <v/>
      </c>
      <c r="O29" s="34">
        <f>O27+O28</f>
        <v/>
      </c>
      <c r="P29" s="34">
        <f>P27+P28</f>
        <v/>
      </c>
      <c r="Q29" s="34">
        <f>Q27+Q28</f>
        <v/>
      </c>
      <c r="R29" s="34">
        <f>R27+R28</f>
        <v/>
      </c>
      <c r="S29" s="34">
        <f>S27+S28</f>
        <v/>
      </c>
      <c r="T29" s="34">
        <f>T27+T28</f>
        <v/>
      </c>
      <c r="U29" s="34">
        <f>U27+U28</f>
        <v/>
      </c>
      <c r="V29" s="34">
        <f>V27+V28</f>
        <v/>
      </c>
      <c r="W29" s="34">
        <f>W27+W28</f>
        <v/>
      </c>
      <c r="X29" s="34">
        <f>X27+X28</f>
        <v/>
      </c>
      <c r="Y29" s="34">
        <f>Y27+Y28</f>
        <v/>
      </c>
      <c r="Z29" s="34">
        <f>Z27+Z28</f>
        <v/>
      </c>
      <c r="AA29" s="34">
        <f>AA27+AA28</f>
        <v/>
      </c>
      <c r="AB29" s="34">
        <f>AB27+AB28</f>
        <v/>
      </c>
      <c r="AC29" s="34">
        <f>AC27+AC28</f>
        <v/>
      </c>
      <c r="AD29" s="34">
        <f>AD27+AD28</f>
        <v/>
      </c>
      <c r="AE29" s="34">
        <f>AE27+AE28</f>
        <v/>
      </c>
      <c r="AF29" s="34">
        <f>AF27+AF28</f>
        <v/>
      </c>
      <c r="AG29" s="34">
        <f>AG27+AG28</f>
        <v/>
      </c>
      <c r="AH29" s="34">
        <f>AH27+AH28</f>
        <v/>
      </c>
      <c r="AI29" s="34">
        <f>AI27+AI28</f>
        <v/>
      </c>
      <c r="AJ29" s="34">
        <f>AJ27+AJ28</f>
        <v/>
      </c>
      <c r="AK29" s="34">
        <f>AK27+AK28</f>
        <v/>
      </c>
      <c r="AL29" s="34">
        <f>AL27+AL28</f>
        <v/>
      </c>
      <c r="AM29" s="34">
        <f>AM27+AM28</f>
        <v/>
      </c>
    </row>
    <row r="31">
      <c r="B31" t="inlineStr">
        <is>
          <t>Tỷ trọng doanh thu từ tầng IP AI</t>
        </is>
      </c>
      <c r="C31" t="inlineStr">
        <is>
          <t>%</t>
        </is>
      </c>
      <c r="D31" s="35">
        <f>IFERROR(D28/D29,0)</f>
        <v/>
      </c>
      <c r="E31" s="35">
        <f>IFERROR(E28/E29,0)</f>
        <v/>
      </c>
      <c r="F31" s="35">
        <f>IFERROR(F28/F29,0)</f>
        <v/>
      </c>
      <c r="G31" s="35">
        <f>IFERROR(G28/G29,0)</f>
        <v/>
      </c>
      <c r="H31" s="35">
        <f>IFERROR(H28/H29,0)</f>
        <v/>
      </c>
      <c r="I31" s="35">
        <f>IFERROR(I28/I29,0)</f>
        <v/>
      </c>
      <c r="J31" s="35">
        <f>IFERROR(J28/J29,0)</f>
        <v/>
      </c>
      <c r="K31" s="35">
        <f>IFERROR(K28/K29,0)</f>
        <v/>
      </c>
      <c r="L31" s="35">
        <f>IFERROR(L28/L29,0)</f>
        <v/>
      </c>
      <c r="M31" s="35">
        <f>IFERROR(M28/M29,0)</f>
        <v/>
      </c>
      <c r="N31" s="35">
        <f>IFERROR(N28/N29,0)</f>
        <v/>
      </c>
      <c r="O31" s="35">
        <f>IFERROR(O28/O29,0)</f>
        <v/>
      </c>
      <c r="P31" s="35">
        <f>IFERROR(P28/P29,0)</f>
        <v/>
      </c>
      <c r="Q31" s="35">
        <f>IFERROR(Q28/Q29,0)</f>
        <v/>
      </c>
      <c r="R31" s="35">
        <f>IFERROR(R28/R29,0)</f>
        <v/>
      </c>
      <c r="S31" s="35">
        <f>IFERROR(S28/S29,0)</f>
        <v/>
      </c>
      <c r="T31" s="35">
        <f>IFERROR(T28/T29,0)</f>
        <v/>
      </c>
      <c r="U31" s="35">
        <f>IFERROR(U28/U29,0)</f>
        <v/>
      </c>
      <c r="V31" s="35">
        <f>IFERROR(V28/V29,0)</f>
        <v/>
      </c>
      <c r="W31" s="35">
        <f>IFERROR(W28/W29,0)</f>
        <v/>
      </c>
      <c r="X31" s="35">
        <f>IFERROR(X28/X29,0)</f>
        <v/>
      </c>
      <c r="Y31" s="35">
        <f>IFERROR(Y28/Y29,0)</f>
        <v/>
      </c>
      <c r="Z31" s="35">
        <f>IFERROR(Z28/Z29,0)</f>
        <v/>
      </c>
      <c r="AA31" s="35">
        <f>IFERROR(AA28/AA29,0)</f>
        <v/>
      </c>
      <c r="AB31" s="35">
        <f>IFERROR(AB28/AB29,0)</f>
        <v/>
      </c>
      <c r="AC31" s="35">
        <f>IFERROR(AC28/AC29,0)</f>
        <v/>
      </c>
      <c r="AD31" s="35">
        <f>IFERROR(AD28/AD29,0)</f>
        <v/>
      </c>
      <c r="AE31" s="35">
        <f>IFERROR(AE28/AE29,0)</f>
        <v/>
      </c>
      <c r="AF31" s="35">
        <f>IFERROR(AF28/AF29,0)</f>
        <v/>
      </c>
      <c r="AG31" s="35">
        <f>IFERROR(AG28/AG29,0)</f>
        <v/>
      </c>
      <c r="AH31" s="35">
        <f>IFERROR(AH28/AH29,0)</f>
        <v/>
      </c>
      <c r="AI31" s="35">
        <f>IFERROR(AI28/AI29,0)</f>
        <v/>
      </c>
      <c r="AJ31" s="35">
        <f>IFERROR(AJ28/AJ29,0)</f>
        <v/>
      </c>
      <c r="AK31" s="35">
        <f>IFERROR(AK28/AK29,0)</f>
        <v/>
      </c>
      <c r="AL31" s="35">
        <f>IFERROR(AL28/AL29,0)</f>
        <v/>
      </c>
      <c r="AM31" s="35">
        <f>IFERROR(AM28/AM29,0)</f>
        <v/>
      </c>
    </row>
    <row r="32">
      <c r="B32" t="inlineStr">
        <is>
          <t>Take rate hiệu dụng (doanh thu / GMV gộp)</t>
        </is>
      </c>
      <c r="C32" t="inlineStr">
        <is>
          <t>%</t>
        </is>
      </c>
      <c r="D32" s="35">
        <f>IFERROR(D29/D18,0)</f>
        <v/>
      </c>
      <c r="E32" s="35">
        <f>IFERROR(E29/E18,0)</f>
        <v/>
      </c>
      <c r="F32" s="35">
        <f>IFERROR(F29/F18,0)</f>
        <v/>
      </c>
      <c r="G32" s="35">
        <f>IFERROR(G29/G18,0)</f>
        <v/>
      </c>
      <c r="H32" s="35">
        <f>IFERROR(H29/H18,0)</f>
        <v/>
      </c>
      <c r="I32" s="35">
        <f>IFERROR(I29/I18,0)</f>
        <v/>
      </c>
      <c r="J32" s="35">
        <f>IFERROR(J29/J18,0)</f>
        <v/>
      </c>
      <c r="K32" s="35">
        <f>IFERROR(K29/K18,0)</f>
        <v/>
      </c>
      <c r="L32" s="35">
        <f>IFERROR(L29/L18,0)</f>
        <v/>
      </c>
      <c r="M32" s="35">
        <f>IFERROR(M29/M18,0)</f>
        <v/>
      </c>
      <c r="N32" s="35">
        <f>IFERROR(N29/N18,0)</f>
        <v/>
      </c>
      <c r="O32" s="35">
        <f>IFERROR(O29/O18,0)</f>
        <v/>
      </c>
      <c r="P32" s="35">
        <f>IFERROR(P29/P18,0)</f>
        <v/>
      </c>
      <c r="Q32" s="35">
        <f>IFERROR(Q29/Q18,0)</f>
        <v/>
      </c>
      <c r="R32" s="35">
        <f>IFERROR(R29/R18,0)</f>
        <v/>
      </c>
      <c r="S32" s="35">
        <f>IFERROR(S29/S18,0)</f>
        <v/>
      </c>
      <c r="T32" s="35">
        <f>IFERROR(T29/T18,0)</f>
        <v/>
      </c>
      <c r="U32" s="35">
        <f>IFERROR(U29/U18,0)</f>
        <v/>
      </c>
      <c r="V32" s="35">
        <f>IFERROR(V29/V18,0)</f>
        <v/>
      </c>
      <c r="W32" s="35">
        <f>IFERROR(W29/W18,0)</f>
        <v/>
      </c>
      <c r="X32" s="35">
        <f>IFERROR(X29/X18,0)</f>
        <v/>
      </c>
      <c r="Y32" s="35">
        <f>IFERROR(Y29/Y18,0)</f>
        <v/>
      </c>
      <c r="Z32" s="35">
        <f>IFERROR(Z29/Z18,0)</f>
        <v/>
      </c>
      <c r="AA32" s="35">
        <f>IFERROR(AA29/AA18,0)</f>
        <v/>
      </c>
      <c r="AB32" s="35">
        <f>IFERROR(AB29/AB18,0)</f>
        <v/>
      </c>
      <c r="AC32" s="35">
        <f>IFERROR(AC29/AC18,0)</f>
        <v/>
      </c>
      <c r="AD32" s="35">
        <f>IFERROR(AD29/AD18,0)</f>
        <v/>
      </c>
      <c r="AE32" s="35">
        <f>IFERROR(AE29/AE18,0)</f>
        <v/>
      </c>
      <c r="AF32" s="35">
        <f>IFERROR(AF29/AF18,0)</f>
        <v/>
      </c>
      <c r="AG32" s="35">
        <f>IFERROR(AG29/AG18,0)</f>
        <v/>
      </c>
      <c r="AH32" s="35">
        <f>IFERROR(AH29/AH18,0)</f>
        <v/>
      </c>
      <c r="AI32" s="35">
        <f>IFERROR(AI29/AI18,0)</f>
        <v/>
      </c>
      <c r="AJ32" s="35">
        <f>IFERROR(AJ29/AJ18,0)</f>
        <v/>
      </c>
      <c r="AK32" s="35">
        <f>IFERROR(AK29/AK18,0)</f>
        <v/>
      </c>
      <c r="AL32" s="35">
        <f>IFERROR(AL29/AL18,0)</f>
        <v/>
      </c>
      <c r="AM32" s="35">
        <f>IFERROR(AM29/AM18,0)</f>
        <v/>
      </c>
    </row>
    <row r="33">
      <c r="B33" t="inlineStr">
        <is>
          <t>Doanh thu bình quân / IP người thật đang hoạt động</t>
        </is>
      </c>
      <c r="C33" t="inlineStr">
        <is>
          <t>triệu VND</t>
        </is>
      </c>
      <c r="D33" s="36">
        <f>IFERROR(D27/D10,0)</f>
        <v/>
      </c>
      <c r="E33" s="36">
        <f>IFERROR(E27/E10,0)</f>
        <v/>
      </c>
      <c r="F33" s="36">
        <f>IFERROR(F27/F10,0)</f>
        <v/>
      </c>
      <c r="G33" s="36">
        <f>IFERROR(G27/G10,0)</f>
        <v/>
      </c>
      <c r="H33" s="36">
        <f>IFERROR(H27/H10,0)</f>
        <v/>
      </c>
      <c r="I33" s="36">
        <f>IFERROR(I27/I10,0)</f>
        <v/>
      </c>
      <c r="J33" s="36">
        <f>IFERROR(J27/J10,0)</f>
        <v/>
      </c>
      <c r="K33" s="36">
        <f>IFERROR(K27/K10,0)</f>
        <v/>
      </c>
      <c r="L33" s="36">
        <f>IFERROR(L27/L10,0)</f>
        <v/>
      </c>
      <c r="M33" s="36">
        <f>IFERROR(M27/M10,0)</f>
        <v/>
      </c>
      <c r="N33" s="36">
        <f>IFERROR(N27/N10,0)</f>
        <v/>
      </c>
      <c r="O33" s="36">
        <f>IFERROR(O27/O10,0)</f>
        <v/>
      </c>
      <c r="P33" s="36">
        <f>IFERROR(P27/P10,0)</f>
        <v/>
      </c>
      <c r="Q33" s="36">
        <f>IFERROR(Q27/Q10,0)</f>
        <v/>
      </c>
      <c r="R33" s="36">
        <f>IFERROR(R27/R10,0)</f>
        <v/>
      </c>
      <c r="S33" s="36">
        <f>IFERROR(S27/S10,0)</f>
        <v/>
      </c>
      <c r="T33" s="36">
        <f>IFERROR(T27/T10,0)</f>
        <v/>
      </c>
      <c r="U33" s="36">
        <f>IFERROR(U27/U10,0)</f>
        <v/>
      </c>
      <c r="V33" s="36">
        <f>IFERROR(V27/V10,0)</f>
        <v/>
      </c>
      <c r="W33" s="36">
        <f>IFERROR(W27/W10,0)</f>
        <v/>
      </c>
      <c r="X33" s="36">
        <f>IFERROR(X27/X10,0)</f>
        <v/>
      </c>
      <c r="Y33" s="36">
        <f>IFERROR(Y27/Y10,0)</f>
        <v/>
      </c>
      <c r="Z33" s="36">
        <f>IFERROR(Z27/Z10,0)</f>
        <v/>
      </c>
      <c r="AA33" s="36">
        <f>IFERROR(AA27/AA10,0)</f>
        <v/>
      </c>
      <c r="AB33" s="36">
        <f>IFERROR(AB27/AB10,0)</f>
        <v/>
      </c>
      <c r="AC33" s="36">
        <f>IFERROR(AC27/AC10,0)</f>
        <v/>
      </c>
      <c r="AD33" s="36">
        <f>IFERROR(AD27/AD10,0)</f>
        <v/>
      </c>
      <c r="AE33" s="36">
        <f>IFERROR(AE27/AE10,0)</f>
        <v/>
      </c>
      <c r="AF33" s="36">
        <f>IFERROR(AF27/AF10,0)</f>
        <v/>
      </c>
      <c r="AG33" s="36">
        <f>IFERROR(AG27/AG10,0)</f>
        <v/>
      </c>
      <c r="AH33" s="36">
        <f>IFERROR(AH27/AH10,0)</f>
        <v/>
      </c>
      <c r="AI33" s="36">
        <f>IFERROR(AI27/AI10,0)</f>
        <v/>
      </c>
      <c r="AJ33" s="36">
        <f>IFERROR(AJ27/AJ10,0)</f>
        <v/>
      </c>
      <c r="AK33" s="36">
        <f>IFERROR(AK27/AK10,0)</f>
        <v/>
      </c>
      <c r="AL33" s="36">
        <f>IFERROR(AL27/AL10,0)</f>
        <v/>
      </c>
      <c r="AM33" s="36">
        <f>IFERROR(AM27/AM10,0)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4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48"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c r="A1" s="7" t="inlineStr">
        <is>
          <t>CHI PHÍ THEO THÁNG (triệu VND)</t>
        </is>
      </c>
    </row>
    <row r="2">
      <c r="A2" t="inlineStr">
        <is>
          <t>Chi phí trực tiếp lấy từ unit economics nhân với đội hình IP. Chi phí tầng công ty là giả định riêng của bản dự toán này.</t>
        </is>
      </c>
    </row>
    <row r="3">
      <c r="A3" s="28" t="n"/>
      <c r="B3" s="8" t="inlineStr">
        <is>
          <t>Thang</t>
        </is>
      </c>
      <c r="C3" s="8" t="inlineStr">
        <is>
          <t>Đơn vị</t>
        </is>
      </c>
      <c r="D3" s="29" t="n">
        <v>1</v>
      </c>
      <c r="E3" s="29" t="n">
        <v>2</v>
      </c>
      <c r="F3" s="29" t="n">
        <v>3</v>
      </c>
      <c r="G3" s="29" t="n">
        <v>4</v>
      </c>
      <c r="H3" s="29" t="n">
        <v>5</v>
      </c>
      <c r="I3" s="29" t="n">
        <v>6</v>
      </c>
      <c r="J3" s="29" t="n">
        <v>7</v>
      </c>
      <c r="K3" s="29" t="n">
        <v>8</v>
      </c>
      <c r="L3" s="29" t="n">
        <v>9</v>
      </c>
      <c r="M3" s="29" t="n">
        <v>10</v>
      </c>
      <c r="N3" s="29" t="n">
        <v>11</v>
      </c>
      <c r="O3" s="29" t="n">
        <v>12</v>
      </c>
      <c r="P3" s="29" t="n">
        <v>13</v>
      </c>
      <c r="Q3" s="29" t="n">
        <v>14</v>
      </c>
      <c r="R3" s="29" t="n">
        <v>15</v>
      </c>
      <c r="S3" s="29" t="n">
        <v>16</v>
      </c>
      <c r="T3" s="29" t="n">
        <v>17</v>
      </c>
      <c r="U3" s="29" t="n">
        <v>18</v>
      </c>
      <c r="V3" s="29" t="n">
        <v>19</v>
      </c>
      <c r="W3" s="29" t="n">
        <v>20</v>
      </c>
      <c r="X3" s="29" t="n">
        <v>21</v>
      </c>
      <c r="Y3" s="29" t="n">
        <v>22</v>
      </c>
      <c r="Z3" s="29" t="n">
        <v>23</v>
      </c>
      <c r="AA3" s="29" t="n">
        <v>24</v>
      </c>
      <c r="AB3" s="29" t="n">
        <v>25</v>
      </c>
      <c r="AC3" s="29" t="n">
        <v>26</v>
      </c>
      <c r="AD3" s="29" t="n">
        <v>27</v>
      </c>
      <c r="AE3" s="29" t="n">
        <v>28</v>
      </c>
      <c r="AF3" s="29" t="n">
        <v>29</v>
      </c>
      <c r="AG3" s="29" t="n">
        <v>30</v>
      </c>
      <c r="AH3" s="29" t="n">
        <v>31</v>
      </c>
      <c r="AI3" s="29" t="n">
        <v>32</v>
      </c>
      <c r="AJ3" s="29" t="n">
        <v>33</v>
      </c>
      <c r="AK3" s="29" t="n">
        <v>34</v>
      </c>
      <c r="AL3" s="29" t="n">
        <v>35</v>
      </c>
      <c r="AM3" s="29" t="n">
        <v>36</v>
      </c>
    </row>
    <row r="4">
      <c r="A4" s="28" t="n"/>
      <c r="B4" s="8" t="inlineStr">
        <is>
          <t>Ky</t>
        </is>
      </c>
      <c r="C4" s="28" t="n"/>
      <c r="D4" s="30">
        <f>EDATE(Gia_dinh!$B$5,1-1)</f>
        <v/>
      </c>
      <c r="E4" s="30">
        <f>EDATE(Gia_dinh!$B$5,2-1)</f>
        <v/>
      </c>
      <c r="F4" s="30">
        <f>EDATE(Gia_dinh!$B$5,3-1)</f>
        <v/>
      </c>
      <c r="G4" s="30">
        <f>EDATE(Gia_dinh!$B$5,4-1)</f>
        <v/>
      </c>
      <c r="H4" s="30">
        <f>EDATE(Gia_dinh!$B$5,5-1)</f>
        <v/>
      </c>
      <c r="I4" s="30">
        <f>EDATE(Gia_dinh!$B$5,6-1)</f>
        <v/>
      </c>
      <c r="J4" s="30">
        <f>EDATE(Gia_dinh!$B$5,7-1)</f>
        <v/>
      </c>
      <c r="K4" s="30">
        <f>EDATE(Gia_dinh!$B$5,8-1)</f>
        <v/>
      </c>
      <c r="L4" s="30">
        <f>EDATE(Gia_dinh!$B$5,9-1)</f>
        <v/>
      </c>
      <c r="M4" s="30">
        <f>EDATE(Gia_dinh!$B$5,10-1)</f>
        <v/>
      </c>
      <c r="N4" s="30">
        <f>EDATE(Gia_dinh!$B$5,11-1)</f>
        <v/>
      </c>
      <c r="O4" s="30">
        <f>EDATE(Gia_dinh!$B$5,12-1)</f>
        <v/>
      </c>
      <c r="P4" s="30">
        <f>EDATE(Gia_dinh!$B$5,13-1)</f>
        <v/>
      </c>
      <c r="Q4" s="30">
        <f>EDATE(Gia_dinh!$B$5,14-1)</f>
        <v/>
      </c>
      <c r="R4" s="30">
        <f>EDATE(Gia_dinh!$B$5,15-1)</f>
        <v/>
      </c>
      <c r="S4" s="30">
        <f>EDATE(Gia_dinh!$B$5,16-1)</f>
        <v/>
      </c>
      <c r="T4" s="30">
        <f>EDATE(Gia_dinh!$B$5,17-1)</f>
        <v/>
      </c>
      <c r="U4" s="30">
        <f>EDATE(Gia_dinh!$B$5,18-1)</f>
        <v/>
      </c>
      <c r="V4" s="30">
        <f>EDATE(Gia_dinh!$B$5,19-1)</f>
        <v/>
      </c>
      <c r="W4" s="30">
        <f>EDATE(Gia_dinh!$B$5,20-1)</f>
        <v/>
      </c>
      <c r="X4" s="30">
        <f>EDATE(Gia_dinh!$B$5,21-1)</f>
        <v/>
      </c>
      <c r="Y4" s="30">
        <f>EDATE(Gia_dinh!$B$5,22-1)</f>
        <v/>
      </c>
      <c r="Z4" s="30">
        <f>EDATE(Gia_dinh!$B$5,23-1)</f>
        <v/>
      </c>
      <c r="AA4" s="30">
        <f>EDATE(Gia_dinh!$B$5,24-1)</f>
        <v/>
      </c>
      <c r="AB4" s="30">
        <f>EDATE(Gia_dinh!$B$5,25-1)</f>
        <v/>
      </c>
      <c r="AC4" s="30">
        <f>EDATE(Gia_dinh!$B$5,26-1)</f>
        <v/>
      </c>
      <c r="AD4" s="30">
        <f>EDATE(Gia_dinh!$B$5,27-1)</f>
        <v/>
      </c>
      <c r="AE4" s="30">
        <f>EDATE(Gia_dinh!$B$5,28-1)</f>
        <v/>
      </c>
      <c r="AF4" s="30">
        <f>EDATE(Gia_dinh!$B$5,29-1)</f>
        <v/>
      </c>
      <c r="AG4" s="30">
        <f>EDATE(Gia_dinh!$B$5,30-1)</f>
        <v/>
      </c>
      <c r="AH4" s="30">
        <f>EDATE(Gia_dinh!$B$5,31-1)</f>
        <v/>
      </c>
      <c r="AI4" s="30">
        <f>EDATE(Gia_dinh!$B$5,32-1)</f>
        <v/>
      </c>
      <c r="AJ4" s="30">
        <f>EDATE(Gia_dinh!$B$5,33-1)</f>
        <v/>
      </c>
      <c r="AK4" s="30">
        <f>EDATE(Gia_dinh!$B$5,34-1)</f>
        <v/>
      </c>
      <c r="AL4" s="30">
        <f>EDATE(Gia_dinh!$B$5,35-1)</f>
        <v/>
      </c>
      <c r="AM4" s="30">
        <f>EDATE(Gia_dinh!$B$5,36-1)</f>
        <v/>
      </c>
    </row>
    <row r="5">
      <c r="A5" s="28" t="n"/>
      <c r="B5" s="8" t="inlineStr">
        <is>
          <t>Nam</t>
        </is>
      </c>
      <c r="C5" s="28" t="n"/>
      <c r="D5" s="31" t="inlineStr">
        <is>
          <t>Nam 1</t>
        </is>
      </c>
      <c r="E5" s="31" t="inlineStr">
        <is>
          <t>Nam 1</t>
        </is>
      </c>
      <c r="F5" s="31" t="inlineStr">
        <is>
          <t>Nam 1</t>
        </is>
      </c>
      <c r="G5" s="31" t="inlineStr">
        <is>
          <t>Nam 1</t>
        </is>
      </c>
      <c r="H5" s="31" t="inlineStr">
        <is>
          <t>Nam 1</t>
        </is>
      </c>
      <c r="I5" s="31" t="inlineStr">
        <is>
          <t>Nam 1</t>
        </is>
      </c>
      <c r="J5" s="31" t="inlineStr">
        <is>
          <t>Nam 1</t>
        </is>
      </c>
      <c r="K5" s="31" t="inlineStr">
        <is>
          <t>Nam 1</t>
        </is>
      </c>
      <c r="L5" s="31" t="inlineStr">
        <is>
          <t>Nam 1</t>
        </is>
      </c>
      <c r="M5" s="31" t="inlineStr">
        <is>
          <t>Nam 1</t>
        </is>
      </c>
      <c r="N5" s="31" t="inlineStr">
        <is>
          <t>Nam 1</t>
        </is>
      </c>
      <c r="O5" s="31" t="inlineStr">
        <is>
          <t>Nam 1</t>
        </is>
      </c>
      <c r="P5" s="31" t="inlineStr">
        <is>
          <t>Nam 2</t>
        </is>
      </c>
      <c r="Q5" s="31" t="inlineStr">
        <is>
          <t>Nam 2</t>
        </is>
      </c>
      <c r="R5" s="31" t="inlineStr">
        <is>
          <t>Nam 2</t>
        </is>
      </c>
      <c r="S5" s="31" t="inlineStr">
        <is>
          <t>Nam 2</t>
        </is>
      </c>
      <c r="T5" s="31" t="inlineStr">
        <is>
          <t>Nam 2</t>
        </is>
      </c>
      <c r="U5" s="31" t="inlineStr">
        <is>
          <t>Nam 2</t>
        </is>
      </c>
      <c r="V5" s="31" t="inlineStr">
        <is>
          <t>Nam 2</t>
        </is>
      </c>
      <c r="W5" s="31" t="inlineStr">
        <is>
          <t>Nam 2</t>
        </is>
      </c>
      <c r="X5" s="31" t="inlineStr">
        <is>
          <t>Nam 2</t>
        </is>
      </c>
      <c r="Y5" s="31" t="inlineStr">
        <is>
          <t>Nam 2</t>
        </is>
      </c>
      <c r="Z5" s="31" t="inlineStr">
        <is>
          <t>Nam 2</t>
        </is>
      </c>
      <c r="AA5" s="31" t="inlineStr">
        <is>
          <t>Nam 2</t>
        </is>
      </c>
      <c r="AB5" s="31" t="inlineStr">
        <is>
          <t>Nam 3</t>
        </is>
      </c>
      <c r="AC5" s="31" t="inlineStr">
        <is>
          <t>Nam 3</t>
        </is>
      </c>
      <c r="AD5" s="31" t="inlineStr">
        <is>
          <t>Nam 3</t>
        </is>
      </c>
      <c r="AE5" s="31" t="inlineStr">
        <is>
          <t>Nam 3</t>
        </is>
      </c>
      <c r="AF5" s="31" t="inlineStr">
        <is>
          <t>Nam 3</t>
        </is>
      </c>
      <c r="AG5" s="31" t="inlineStr">
        <is>
          <t>Nam 3</t>
        </is>
      </c>
      <c r="AH5" s="31" t="inlineStr">
        <is>
          <t>Nam 3</t>
        </is>
      </c>
      <c r="AI5" s="31" t="inlineStr">
        <is>
          <t>Nam 3</t>
        </is>
      </c>
      <c r="AJ5" s="31" t="inlineStr">
        <is>
          <t>Nam 3</t>
        </is>
      </c>
      <c r="AK5" s="31" t="inlineStr">
        <is>
          <t>Nam 3</t>
        </is>
      </c>
      <c r="AL5" s="31" t="inlineStr">
        <is>
          <t>Nam 3</t>
        </is>
      </c>
      <c r="AM5" s="31" t="inlineStr">
        <is>
          <t>Nam 3</t>
        </is>
      </c>
    </row>
    <row r="6">
      <c r="B6" s="4" t="inlineStr">
        <is>
          <t>1. CHI PHÍ TRỰC TIẾP — IP NGƯỜI THẬT</t>
        </is>
      </c>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row>
    <row r="7">
      <c r="B7" t="inlineStr">
        <is>
          <t>Chia hoa hồng cho talent</t>
        </is>
      </c>
      <c r="C7" t="inlineStr">
        <is>
          <t>triệu VND</t>
        </is>
      </c>
      <c r="D7" s="11">
        <f>SUMPRODUCT(Doi_hinh!D$12:D$48,Don_vi_IP!$M$5:$M$41)</f>
        <v/>
      </c>
      <c r="E7" s="11">
        <f>SUMPRODUCT(Doi_hinh!E$12:E$48,Don_vi_IP!$M$5:$M$41)</f>
        <v/>
      </c>
      <c r="F7" s="11">
        <f>SUMPRODUCT(Doi_hinh!F$12:F$48,Don_vi_IP!$M$5:$M$41)</f>
        <v/>
      </c>
      <c r="G7" s="11">
        <f>SUMPRODUCT(Doi_hinh!G$12:G$48,Don_vi_IP!$M$5:$M$41)</f>
        <v/>
      </c>
      <c r="H7" s="11">
        <f>SUMPRODUCT(Doi_hinh!H$12:H$48,Don_vi_IP!$M$5:$M$41)</f>
        <v/>
      </c>
      <c r="I7" s="11">
        <f>SUMPRODUCT(Doi_hinh!I$12:I$48,Don_vi_IP!$M$5:$M$41)</f>
        <v/>
      </c>
      <c r="J7" s="11">
        <f>SUMPRODUCT(Doi_hinh!J$12:J$48,Don_vi_IP!$M$5:$M$41)</f>
        <v/>
      </c>
      <c r="K7" s="11">
        <f>SUMPRODUCT(Doi_hinh!K$12:K$48,Don_vi_IP!$M$5:$M$41)</f>
        <v/>
      </c>
      <c r="L7" s="11">
        <f>SUMPRODUCT(Doi_hinh!L$12:L$48,Don_vi_IP!$M$5:$M$41)</f>
        <v/>
      </c>
      <c r="M7" s="11">
        <f>SUMPRODUCT(Doi_hinh!M$12:M$48,Don_vi_IP!$M$5:$M$41)</f>
        <v/>
      </c>
      <c r="N7" s="11">
        <f>SUMPRODUCT(Doi_hinh!N$12:N$48,Don_vi_IP!$M$5:$M$41)</f>
        <v/>
      </c>
      <c r="O7" s="11">
        <f>SUMPRODUCT(Doi_hinh!O$12:O$48,Don_vi_IP!$M$5:$M$41)</f>
        <v/>
      </c>
      <c r="P7" s="11">
        <f>SUMPRODUCT(Doi_hinh!P$12:P$48,Don_vi_IP!$M$5:$M$41)</f>
        <v/>
      </c>
      <c r="Q7" s="11">
        <f>SUMPRODUCT(Doi_hinh!Q$12:Q$48,Don_vi_IP!$M$5:$M$41)</f>
        <v/>
      </c>
      <c r="R7" s="11">
        <f>SUMPRODUCT(Doi_hinh!R$12:R$48,Don_vi_IP!$M$5:$M$41)</f>
        <v/>
      </c>
      <c r="S7" s="11">
        <f>SUMPRODUCT(Doi_hinh!S$12:S$48,Don_vi_IP!$M$5:$M$41)</f>
        <v/>
      </c>
      <c r="T7" s="11">
        <f>SUMPRODUCT(Doi_hinh!T$12:T$48,Don_vi_IP!$M$5:$M$41)</f>
        <v/>
      </c>
      <c r="U7" s="11">
        <f>SUMPRODUCT(Doi_hinh!U$12:U$48,Don_vi_IP!$M$5:$M$41)</f>
        <v/>
      </c>
      <c r="V7" s="11">
        <f>SUMPRODUCT(Doi_hinh!V$12:V$48,Don_vi_IP!$M$5:$M$41)</f>
        <v/>
      </c>
      <c r="W7" s="11">
        <f>SUMPRODUCT(Doi_hinh!W$12:W$48,Don_vi_IP!$M$5:$M$41)</f>
        <v/>
      </c>
      <c r="X7" s="11">
        <f>SUMPRODUCT(Doi_hinh!X$12:X$48,Don_vi_IP!$M$5:$M$41)</f>
        <v/>
      </c>
      <c r="Y7" s="11">
        <f>SUMPRODUCT(Doi_hinh!Y$12:Y$48,Don_vi_IP!$M$5:$M$41)</f>
        <v/>
      </c>
      <c r="Z7" s="11">
        <f>SUMPRODUCT(Doi_hinh!Z$12:Z$48,Don_vi_IP!$M$5:$M$41)</f>
        <v/>
      </c>
      <c r="AA7" s="11">
        <f>SUMPRODUCT(Doi_hinh!AA$12:AA$48,Don_vi_IP!$M$5:$M$41)</f>
        <v/>
      </c>
      <c r="AB7" s="11">
        <f>SUMPRODUCT(Doi_hinh!AB$12:AB$48,Don_vi_IP!$M$5:$M$41)</f>
        <v/>
      </c>
      <c r="AC7" s="11">
        <f>SUMPRODUCT(Doi_hinh!AC$12:AC$48,Don_vi_IP!$M$5:$M$41)</f>
        <v/>
      </c>
      <c r="AD7" s="11">
        <f>SUMPRODUCT(Doi_hinh!AD$12:AD$48,Don_vi_IP!$M$5:$M$41)</f>
        <v/>
      </c>
      <c r="AE7" s="11">
        <f>SUMPRODUCT(Doi_hinh!AE$12:AE$48,Don_vi_IP!$M$5:$M$41)</f>
        <v/>
      </c>
      <c r="AF7" s="11">
        <f>SUMPRODUCT(Doi_hinh!AF$12:AF$48,Don_vi_IP!$M$5:$M$41)</f>
        <v/>
      </c>
      <c r="AG7" s="11">
        <f>SUMPRODUCT(Doi_hinh!AG$12:AG$48,Don_vi_IP!$M$5:$M$41)</f>
        <v/>
      </c>
      <c r="AH7" s="11">
        <f>SUMPRODUCT(Doi_hinh!AH$12:AH$48,Don_vi_IP!$M$5:$M$41)</f>
        <v/>
      </c>
      <c r="AI7" s="11">
        <f>SUMPRODUCT(Doi_hinh!AI$12:AI$48,Don_vi_IP!$M$5:$M$41)</f>
        <v/>
      </c>
      <c r="AJ7" s="11">
        <f>SUMPRODUCT(Doi_hinh!AJ$12:AJ$48,Don_vi_IP!$M$5:$M$41)</f>
        <v/>
      </c>
      <c r="AK7" s="11">
        <f>SUMPRODUCT(Doi_hinh!AK$12:AK$48,Don_vi_IP!$M$5:$M$41)</f>
        <v/>
      </c>
      <c r="AL7" s="11">
        <f>SUMPRODUCT(Doi_hinh!AL$12:AL$48,Don_vi_IP!$M$5:$M$41)</f>
        <v/>
      </c>
      <c r="AM7" s="11">
        <f>SUMPRODUCT(Doi_hinh!AM$12:AM$48,Don_vi_IP!$M$5:$M$41)</f>
        <v/>
      </c>
    </row>
    <row r="8">
      <c r="B8" t="inlineStr">
        <is>
          <t>Lương cứng talent</t>
        </is>
      </c>
      <c r="C8" t="inlineStr">
        <is>
          <t>triệu VND</t>
        </is>
      </c>
      <c r="D8" s="11">
        <f>SUMPRODUCT(Doi_hinh!D$12:D$48,Don_vi_IP!$N$5:$N$41)</f>
        <v/>
      </c>
      <c r="E8" s="11">
        <f>SUMPRODUCT(Doi_hinh!E$12:E$48,Don_vi_IP!$N$5:$N$41)</f>
        <v/>
      </c>
      <c r="F8" s="11">
        <f>SUMPRODUCT(Doi_hinh!F$12:F$48,Don_vi_IP!$N$5:$N$41)</f>
        <v/>
      </c>
      <c r="G8" s="11">
        <f>SUMPRODUCT(Doi_hinh!G$12:G$48,Don_vi_IP!$N$5:$N$41)</f>
        <v/>
      </c>
      <c r="H8" s="11">
        <f>SUMPRODUCT(Doi_hinh!H$12:H$48,Don_vi_IP!$N$5:$N$41)</f>
        <v/>
      </c>
      <c r="I8" s="11">
        <f>SUMPRODUCT(Doi_hinh!I$12:I$48,Don_vi_IP!$N$5:$N$41)</f>
        <v/>
      </c>
      <c r="J8" s="11">
        <f>SUMPRODUCT(Doi_hinh!J$12:J$48,Don_vi_IP!$N$5:$N$41)</f>
        <v/>
      </c>
      <c r="K8" s="11">
        <f>SUMPRODUCT(Doi_hinh!K$12:K$48,Don_vi_IP!$N$5:$N$41)</f>
        <v/>
      </c>
      <c r="L8" s="11">
        <f>SUMPRODUCT(Doi_hinh!L$12:L$48,Don_vi_IP!$N$5:$N$41)</f>
        <v/>
      </c>
      <c r="M8" s="11">
        <f>SUMPRODUCT(Doi_hinh!M$12:M$48,Don_vi_IP!$N$5:$N$41)</f>
        <v/>
      </c>
      <c r="N8" s="11">
        <f>SUMPRODUCT(Doi_hinh!N$12:N$48,Don_vi_IP!$N$5:$N$41)</f>
        <v/>
      </c>
      <c r="O8" s="11">
        <f>SUMPRODUCT(Doi_hinh!O$12:O$48,Don_vi_IP!$N$5:$N$41)</f>
        <v/>
      </c>
      <c r="P8" s="11">
        <f>SUMPRODUCT(Doi_hinh!P$12:P$48,Don_vi_IP!$N$5:$N$41)</f>
        <v/>
      </c>
      <c r="Q8" s="11">
        <f>SUMPRODUCT(Doi_hinh!Q$12:Q$48,Don_vi_IP!$N$5:$N$41)</f>
        <v/>
      </c>
      <c r="R8" s="11">
        <f>SUMPRODUCT(Doi_hinh!R$12:R$48,Don_vi_IP!$N$5:$N$41)</f>
        <v/>
      </c>
      <c r="S8" s="11">
        <f>SUMPRODUCT(Doi_hinh!S$12:S$48,Don_vi_IP!$N$5:$N$41)</f>
        <v/>
      </c>
      <c r="T8" s="11">
        <f>SUMPRODUCT(Doi_hinh!T$12:T$48,Don_vi_IP!$N$5:$N$41)</f>
        <v/>
      </c>
      <c r="U8" s="11">
        <f>SUMPRODUCT(Doi_hinh!U$12:U$48,Don_vi_IP!$N$5:$N$41)</f>
        <v/>
      </c>
      <c r="V8" s="11">
        <f>SUMPRODUCT(Doi_hinh!V$12:V$48,Don_vi_IP!$N$5:$N$41)</f>
        <v/>
      </c>
      <c r="W8" s="11">
        <f>SUMPRODUCT(Doi_hinh!W$12:W$48,Don_vi_IP!$N$5:$N$41)</f>
        <v/>
      </c>
      <c r="X8" s="11">
        <f>SUMPRODUCT(Doi_hinh!X$12:X$48,Don_vi_IP!$N$5:$N$41)</f>
        <v/>
      </c>
      <c r="Y8" s="11">
        <f>SUMPRODUCT(Doi_hinh!Y$12:Y$48,Don_vi_IP!$N$5:$N$41)</f>
        <v/>
      </c>
      <c r="Z8" s="11">
        <f>SUMPRODUCT(Doi_hinh!Z$12:Z$48,Don_vi_IP!$N$5:$N$41)</f>
        <v/>
      </c>
      <c r="AA8" s="11">
        <f>SUMPRODUCT(Doi_hinh!AA$12:AA$48,Don_vi_IP!$N$5:$N$41)</f>
        <v/>
      </c>
      <c r="AB8" s="11">
        <f>SUMPRODUCT(Doi_hinh!AB$12:AB$48,Don_vi_IP!$N$5:$N$41)</f>
        <v/>
      </c>
      <c r="AC8" s="11">
        <f>SUMPRODUCT(Doi_hinh!AC$12:AC$48,Don_vi_IP!$N$5:$N$41)</f>
        <v/>
      </c>
      <c r="AD8" s="11">
        <f>SUMPRODUCT(Doi_hinh!AD$12:AD$48,Don_vi_IP!$N$5:$N$41)</f>
        <v/>
      </c>
      <c r="AE8" s="11">
        <f>SUMPRODUCT(Doi_hinh!AE$12:AE$48,Don_vi_IP!$N$5:$N$41)</f>
        <v/>
      </c>
      <c r="AF8" s="11">
        <f>SUMPRODUCT(Doi_hinh!AF$12:AF$48,Don_vi_IP!$N$5:$N$41)</f>
        <v/>
      </c>
      <c r="AG8" s="11">
        <f>SUMPRODUCT(Doi_hinh!AG$12:AG$48,Don_vi_IP!$N$5:$N$41)</f>
        <v/>
      </c>
      <c r="AH8" s="11">
        <f>SUMPRODUCT(Doi_hinh!AH$12:AH$48,Don_vi_IP!$N$5:$N$41)</f>
        <v/>
      </c>
      <c r="AI8" s="11">
        <f>SUMPRODUCT(Doi_hinh!AI$12:AI$48,Don_vi_IP!$N$5:$N$41)</f>
        <v/>
      </c>
      <c r="AJ8" s="11">
        <f>SUMPRODUCT(Doi_hinh!AJ$12:AJ$48,Don_vi_IP!$N$5:$N$41)</f>
        <v/>
      </c>
      <c r="AK8" s="11">
        <f>SUMPRODUCT(Doi_hinh!AK$12:AK$48,Don_vi_IP!$N$5:$N$41)</f>
        <v/>
      </c>
      <c r="AL8" s="11">
        <f>SUMPRODUCT(Doi_hinh!AL$12:AL$48,Don_vi_IP!$N$5:$N$41)</f>
        <v/>
      </c>
      <c r="AM8" s="11">
        <f>SUMPRODUCT(Doi_hinh!AM$12:AM$48,Don_vi_IP!$N$5:$N$41)</f>
        <v/>
      </c>
    </row>
    <row r="9">
      <c r="B9" t="inlineStr">
        <is>
          <t>Ê-kíp nội dung &amp; ê-kíp live</t>
        </is>
      </c>
      <c r="C9" t="inlineStr">
        <is>
          <t>triệu VND</t>
        </is>
      </c>
      <c r="D9" s="11">
        <f>SUMPRODUCT(Doi_hinh!D$12:D$48,Don_vi_IP!$O$5:$O$41)</f>
        <v/>
      </c>
      <c r="E9" s="11">
        <f>SUMPRODUCT(Doi_hinh!E$12:E$48,Don_vi_IP!$O$5:$O$41)</f>
        <v/>
      </c>
      <c r="F9" s="11">
        <f>SUMPRODUCT(Doi_hinh!F$12:F$48,Don_vi_IP!$O$5:$O$41)</f>
        <v/>
      </c>
      <c r="G9" s="11">
        <f>SUMPRODUCT(Doi_hinh!G$12:G$48,Don_vi_IP!$O$5:$O$41)</f>
        <v/>
      </c>
      <c r="H9" s="11">
        <f>SUMPRODUCT(Doi_hinh!H$12:H$48,Don_vi_IP!$O$5:$O$41)</f>
        <v/>
      </c>
      <c r="I9" s="11">
        <f>SUMPRODUCT(Doi_hinh!I$12:I$48,Don_vi_IP!$O$5:$O$41)</f>
        <v/>
      </c>
      <c r="J9" s="11">
        <f>SUMPRODUCT(Doi_hinh!J$12:J$48,Don_vi_IP!$O$5:$O$41)</f>
        <v/>
      </c>
      <c r="K9" s="11">
        <f>SUMPRODUCT(Doi_hinh!K$12:K$48,Don_vi_IP!$O$5:$O$41)</f>
        <v/>
      </c>
      <c r="L9" s="11">
        <f>SUMPRODUCT(Doi_hinh!L$12:L$48,Don_vi_IP!$O$5:$O$41)</f>
        <v/>
      </c>
      <c r="M9" s="11">
        <f>SUMPRODUCT(Doi_hinh!M$12:M$48,Don_vi_IP!$O$5:$O$41)</f>
        <v/>
      </c>
      <c r="N9" s="11">
        <f>SUMPRODUCT(Doi_hinh!N$12:N$48,Don_vi_IP!$O$5:$O$41)</f>
        <v/>
      </c>
      <c r="O9" s="11">
        <f>SUMPRODUCT(Doi_hinh!O$12:O$48,Don_vi_IP!$O$5:$O$41)</f>
        <v/>
      </c>
      <c r="P9" s="11">
        <f>SUMPRODUCT(Doi_hinh!P$12:P$48,Don_vi_IP!$O$5:$O$41)</f>
        <v/>
      </c>
      <c r="Q9" s="11">
        <f>SUMPRODUCT(Doi_hinh!Q$12:Q$48,Don_vi_IP!$O$5:$O$41)</f>
        <v/>
      </c>
      <c r="R9" s="11">
        <f>SUMPRODUCT(Doi_hinh!R$12:R$48,Don_vi_IP!$O$5:$O$41)</f>
        <v/>
      </c>
      <c r="S9" s="11">
        <f>SUMPRODUCT(Doi_hinh!S$12:S$48,Don_vi_IP!$O$5:$O$41)</f>
        <v/>
      </c>
      <c r="T9" s="11">
        <f>SUMPRODUCT(Doi_hinh!T$12:T$48,Don_vi_IP!$O$5:$O$41)</f>
        <v/>
      </c>
      <c r="U9" s="11">
        <f>SUMPRODUCT(Doi_hinh!U$12:U$48,Don_vi_IP!$O$5:$O$41)</f>
        <v/>
      </c>
      <c r="V9" s="11">
        <f>SUMPRODUCT(Doi_hinh!V$12:V$48,Don_vi_IP!$O$5:$O$41)</f>
        <v/>
      </c>
      <c r="W9" s="11">
        <f>SUMPRODUCT(Doi_hinh!W$12:W$48,Don_vi_IP!$O$5:$O$41)</f>
        <v/>
      </c>
      <c r="X9" s="11">
        <f>SUMPRODUCT(Doi_hinh!X$12:X$48,Don_vi_IP!$O$5:$O$41)</f>
        <v/>
      </c>
      <c r="Y9" s="11">
        <f>SUMPRODUCT(Doi_hinh!Y$12:Y$48,Don_vi_IP!$O$5:$O$41)</f>
        <v/>
      </c>
      <c r="Z9" s="11">
        <f>SUMPRODUCT(Doi_hinh!Z$12:Z$48,Don_vi_IP!$O$5:$O$41)</f>
        <v/>
      </c>
      <c r="AA9" s="11">
        <f>SUMPRODUCT(Doi_hinh!AA$12:AA$48,Don_vi_IP!$O$5:$O$41)</f>
        <v/>
      </c>
      <c r="AB9" s="11">
        <f>SUMPRODUCT(Doi_hinh!AB$12:AB$48,Don_vi_IP!$O$5:$O$41)</f>
        <v/>
      </c>
      <c r="AC9" s="11">
        <f>SUMPRODUCT(Doi_hinh!AC$12:AC$48,Don_vi_IP!$O$5:$O$41)</f>
        <v/>
      </c>
      <c r="AD9" s="11">
        <f>SUMPRODUCT(Doi_hinh!AD$12:AD$48,Don_vi_IP!$O$5:$O$41)</f>
        <v/>
      </c>
      <c r="AE9" s="11">
        <f>SUMPRODUCT(Doi_hinh!AE$12:AE$48,Don_vi_IP!$O$5:$O$41)</f>
        <v/>
      </c>
      <c r="AF9" s="11">
        <f>SUMPRODUCT(Doi_hinh!AF$12:AF$48,Don_vi_IP!$O$5:$O$41)</f>
        <v/>
      </c>
      <c r="AG9" s="11">
        <f>SUMPRODUCT(Doi_hinh!AG$12:AG$48,Don_vi_IP!$O$5:$O$41)</f>
        <v/>
      </c>
      <c r="AH9" s="11">
        <f>SUMPRODUCT(Doi_hinh!AH$12:AH$48,Don_vi_IP!$O$5:$O$41)</f>
        <v/>
      </c>
      <c r="AI9" s="11">
        <f>SUMPRODUCT(Doi_hinh!AI$12:AI$48,Don_vi_IP!$O$5:$O$41)</f>
        <v/>
      </c>
      <c r="AJ9" s="11">
        <f>SUMPRODUCT(Doi_hinh!AJ$12:AJ$48,Don_vi_IP!$O$5:$O$41)</f>
        <v/>
      </c>
      <c r="AK9" s="11">
        <f>SUMPRODUCT(Doi_hinh!AK$12:AK$48,Don_vi_IP!$O$5:$O$41)</f>
        <v/>
      </c>
      <c r="AL9" s="11">
        <f>SUMPRODUCT(Doi_hinh!AL$12:AL$48,Don_vi_IP!$O$5:$O$41)</f>
        <v/>
      </c>
      <c r="AM9" s="11">
        <f>SUMPRODUCT(Doi_hinh!AM$12:AM$48,Don_vi_IP!$O$5:$O$41)</f>
        <v/>
      </c>
    </row>
    <row r="10">
      <c r="B10" t="inlineStr">
        <is>
          <t>Studio, thiết bị, phần mềm</t>
        </is>
      </c>
      <c r="C10" t="inlineStr">
        <is>
          <t>triệu VND</t>
        </is>
      </c>
      <c r="D10" s="11">
        <f>SUMPRODUCT(Doi_hinh!D$12:D$48,Don_vi_IP!$P$5:$P$41)</f>
        <v/>
      </c>
      <c r="E10" s="11">
        <f>SUMPRODUCT(Doi_hinh!E$12:E$48,Don_vi_IP!$P$5:$P$41)</f>
        <v/>
      </c>
      <c r="F10" s="11">
        <f>SUMPRODUCT(Doi_hinh!F$12:F$48,Don_vi_IP!$P$5:$P$41)</f>
        <v/>
      </c>
      <c r="G10" s="11">
        <f>SUMPRODUCT(Doi_hinh!G$12:G$48,Don_vi_IP!$P$5:$P$41)</f>
        <v/>
      </c>
      <c r="H10" s="11">
        <f>SUMPRODUCT(Doi_hinh!H$12:H$48,Don_vi_IP!$P$5:$P$41)</f>
        <v/>
      </c>
      <c r="I10" s="11">
        <f>SUMPRODUCT(Doi_hinh!I$12:I$48,Don_vi_IP!$P$5:$P$41)</f>
        <v/>
      </c>
      <c r="J10" s="11">
        <f>SUMPRODUCT(Doi_hinh!J$12:J$48,Don_vi_IP!$P$5:$P$41)</f>
        <v/>
      </c>
      <c r="K10" s="11">
        <f>SUMPRODUCT(Doi_hinh!K$12:K$48,Don_vi_IP!$P$5:$P$41)</f>
        <v/>
      </c>
      <c r="L10" s="11">
        <f>SUMPRODUCT(Doi_hinh!L$12:L$48,Don_vi_IP!$P$5:$P$41)</f>
        <v/>
      </c>
      <c r="M10" s="11">
        <f>SUMPRODUCT(Doi_hinh!M$12:M$48,Don_vi_IP!$P$5:$P$41)</f>
        <v/>
      </c>
      <c r="N10" s="11">
        <f>SUMPRODUCT(Doi_hinh!N$12:N$48,Don_vi_IP!$P$5:$P$41)</f>
        <v/>
      </c>
      <c r="O10" s="11">
        <f>SUMPRODUCT(Doi_hinh!O$12:O$48,Don_vi_IP!$P$5:$P$41)</f>
        <v/>
      </c>
      <c r="P10" s="11">
        <f>SUMPRODUCT(Doi_hinh!P$12:P$48,Don_vi_IP!$P$5:$P$41)</f>
        <v/>
      </c>
      <c r="Q10" s="11">
        <f>SUMPRODUCT(Doi_hinh!Q$12:Q$48,Don_vi_IP!$P$5:$P$41)</f>
        <v/>
      </c>
      <c r="R10" s="11">
        <f>SUMPRODUCT(Doi_hinh!R$12:R$48,Don_vi_IP!$P$5:$P$41)</f>
        <v/>
      </c>
      <c r="S10" s="11">
        <f>SUMPRODUCT(Doi_hinh!S$12:S$48,Don_vi_IP!$P$5:$P$41)</f>
        <v/>
      </c>
      <c r="T10" s="11">
        <f>SUMPRODUCT(Doi_hinh!T$12:T$48,Don_vi_IP!$P$5:$P$41)</f>
        <v/>
      </c>
      <c r="U10" s="11">
        <f>SUMPRODUCT(Doi_hinh!U$12:U$48,Don_vi_IP!$P$5:$P$41)</f>
        <v/>
      </c>
      <c r="V10" s="11">
        <f>SUMPRODUCT(Doi_hinh!V$12:V$48,Don_vi_IP!$P$5:$P$41)</f>
        <v/>
      </c>
      <c r="W10" s="11">
        <f>SUMPRODUCT(Doi_hinh!W$12:W$48,Don_vi_IP!$P$5:$P$41)</f>
        <v/>
      </c>
      <c r="X10" s="11">
        <f>SUMPRODUCT(Doi_hinh!X$12:X$48,Don_vi_IP!$P$5:$P$41)</f>
        <v/>
      </c>
      <c r="Y10" s="11">
        <f>SUMPRODUCT(Doi_hinh!Y$12:Y$48,Don_vi_IP!$P$5:$P$41)</f>
        <v/>
      </c>
      <c r="Z10" s="11">
        <f>SUMPRODUCT(Doi_hinh!Z$12:Z$48,Don_vi_IP!$P$5:$P$41)</f>
        <v/>
      </c>
      <c r="AA10" s="11">
        <f>SUMPRODUCT(Doi_hinh!AA$12:AA$48,Don_vi_IP!$P$5:$P$41)</f>
        <v/>
      </c>
      <c r="AB10" s="11">
        <f>SUMPRODUCT(Doi_hinh!AB$12:AB$48,Don_vi_IP!$P$5:$P$41)</f>
        <v/>
      </c>
      <c r="AC10" s="11">
        <f>SUMPRODUCT(Doi_hinh!AC$12:AC$48,Don_vi_IP!$P$5:$P$41)</f>
        <v/>
      </c>
      <c r="AD10" s="11">
        <f>SUMPRODUCT(Doi_hinh!AD$12:AD$48,Don_vi_IP!$P$5:$P$41)</f>
        <v/>
      </c>
      <c r="AE10" s="11">
        <f>SUMPRODUCT(Doi_hinh!AE$12:AE$48,Don_vi_IP!$P$5:$P$41)</f>
        <v/>
      </c>
      <c r="AF10" s="11">
        <f>SUMPRODUCT(Doi_hinh!AF$12:AF$48,Don_vi_IP!$P$5:$P$41)</f>
        <v/>
      </c>
      <c r="AG10" s="11">
        <f>SUMPRODUCT(Doi_hinh!AG$12:AG$48,Don_vi_IP!$P$5:$P$41)</f>
        <v/>
      </c>
      <c r="AH10" s="11">
        <f>SUMPRODUCT(Doi_hinh!AH$12:AH$48,Don_vi_IP!$P$5:$P$41)</f>
        <v/>
      </c>
      <c r="AI10" s="11">
        <f>SUMPRODUCT(Doi_hinh!AI$12:AI$48,Don_vi_IP!$P$5:$P$41)</f>
        <v/>
      </c>
      <c r="AJ10" s="11">
        <f>SUMPRODUCT(Doi_hinh!AJ$12:AJ$48,Don_vi_IP!$P$5:$P$41)</f>
        <v/>
      </c>
      <c r="AK10" s="11">
        <f>SUMPRODUCT(Doi_hinh!AK$12:AK$48,Don_vi_IP!$P$5:$P$41)</f>
        <v/>
      </c>
      <c r="AL10" s="11">
        <f>SUMPRODUCT(Doi_hinh!AL$12:AL$48,Don_vi_IP!$P$5:$P$41)</f>
        <v/>
      </c>
      <c r="AM10" s="11">
        <f>SUMPRODUCT(Doi_hinh!AM$12:AM$48,Don_vi_IP!$P$5:$P$41)</f>
        <v/>
      </c>
    </row>
    <row r="11">
      <c r="B11" t="inlineStr">
        <is>
          <t>Quảng cáo kéo view</t>
        </is>
      </c>
      <c r="C11" t="inlineStr">
        <is>
          <t>triệu VND</t>
        </is>
      </c>
      <c r="D11" s="11">
        <f>SUMPRODUCT(Doi_hinh!D$12:D$48,Don_vi_IP!$Q$5:$Q$41)</f>
        <v/>
      </c>
      <c r="E11" s="11">
        <f>SUMPRODUCT(Doi_hinh!E$12:E$48,Don_vi_IP!$Q$5:$Q$41)</f>
        <v/>
      </c>
      <c r="F11" s="11">
        <f>SUMPRODUCT(Doi_hinh!F$12:F$48,Don_vi_IP!$Q$5:$Q$41)</f>
        <v/>
      </c>
      <c r="G11" s="11">
        <f>SUMPRODUCT(Doi_hinh!G$12:G$48,Don_vi_IP!$Q$5:$Q$41)</f>
        <v/>
      </c>
      <c r="H11" s="11">
        <f>SUMPRODUCT(Doi_hinh!H$12:H$48,Don_vi_IP!$Q$5:$Q$41)</f>
        <v/>
      </c>
      <c r="I11" s="11">
        <f>SUMPRODUCT(Doi_hinh!I$12:I$48,Don_vi_IP!$Q$5:$Q$41)</f>
        <v/>
      </c>
      <c r="J11" s="11">
        <f>SUMPRODUCT(Doi_hinh!J$12:J$48,Don_vi_IP!$Q$5:$Q$41)</f>
        <v/>
      </c>
      <c r="K11" s="11">
        <f>SUMPRODUCT(Doi_hinh!K$12:K$48,Don_vi_IP!$Q$5:$Q$41)</f>
        <v/>
      </c>
      <c r="L11" s="11">
        <f>SUMPRODUCT(Doi_hinh!L$12:L$48,Don_vi_IP!$Q$5:$Q$41)</f>
        <v/>
      </c>
      <c r="M11" s="11">
        <f>SUMPRODUCT(Doi_hinh!M$12:M$48,Don_vi_IP!$Q$5:$Q$41)</f>
        <v/>
      </c>
      <c r="N11" s="11">
        <f>SUMPRODUCT(Doi_hinh!N$12:N$48,Don_vi_IP!$Q$5:$Q$41)</f>
        <v/>
      </c>
      <c r="O11" s="11">
        <f>SUMPRODUCT(Doi_hinh!O$12:O$48,Don_vi_IP!$Q$5:$Q$41)</f>
        <v/>
      </c>
      <c r="P11" s="11">
        <f>SUMPRODUCT(Doi_hinh!P$12:P$48,Don_vi_IP!$Q$5:$Q$41)</f>
        <v/>
      </c>
      <c r="Q11" s="11">
        <f>SUMPRODUCT(Doi_hinh!Q$12:Q$48,Don_vi_IP!$Q$5:$Q$41)</f>
        <v/>
      </c>
      <c r="R11" s="11">
        <f>SUMPRODUCT(Doi_hinh!R$12:R$48,Don_vi_IP!$Q$5:$Q$41)</f>
        <v/>
      </c>
      <c r="S11" s="11">
        <f>SUMPRODUCT(Doi_hinh!S$12:S$48,Don_vi_IP!$Q$5:$Q$41)</f>
        <v/>
      </c>
      <c r="T11" s="11">
        <f>SUMPRODUCT(Doi_hinh!T$12:T$48,Don_vi_IP!$Q$5:$Q$41)</f>
        <v/>
      </c>
      <c r="U11" s="11">
        <f>SUMPRODUCT(Doi_hinh!U$12:U$48,Don_vi_IP!$Q$5:$Q$41)</f>
        <v/>
      </c>
      <c r="V11" s="11">
        <f>SUMPRODUCT(Doi_hinh!V$12:V$48,Don_vi_IP!$Q$5:$Q$41)</f>
        <v/>
      </c>
      <c r="W11" s="11">
        <f>SUMPRODUCT(Doi_hinh!W$12:W$48,Don_vi_IP!$Q$5:$Q$41)</f>
        <v/>
      </c>
      <c r="X11" s="11">
        <f>SUMPRODUCT(Doi_hinh!X$12:X$48,Don_vi_IP!$Q$5:$Q$41)</f>
        <v/>
      </c>
      <c r="Y11" s="11">
        <f>SUMPRODUCT(Doi_hinh!Y$12:Y$48,Don_vi_IP!$Q$5:$Q$41)</f>
        <v/>
      </c>
      <c r="Z11" s="11">
        <f>SUMPRODUCT(Doi_hinh!Z$12:Z$48,Don_vi_IP!$Q$5:$Q$41)</f>
        <v/>
      </c>
      <c r="AA11" s="11">
        <f>SUMPRODUCT(Doi_hinh!AA$12:AA$48,Don_vi_IP!$Q$5:$Q$41)</f>
        <v/>
      </c>
      <c r="AB11" s="11">
        <f>SUMPRODUCT(Doi_hinh!AB$12:AB$48,Don_vi_IP!$Q$5:$Q$41)</f>
        <v/>
      </c>
      <c r="AC11" s="11">
        <f>SUMPRODUCT(Doi_hinh!AC$12:AC$48,Don_vi_IP!$Q$5:$Q$41)</f>
        <v/>
      </c>
      <c r="AD11" s="11">
        <f>SUMPRODUCT(Doi_hinh!AD$12:AD$48,Don_vi_IP!$Q$5:$Q$41)</f>
        <v/>
      </c>
      <c r="AE11" s="11">
        <f>SUMPRODUCT(Doi_hinh!AE$12:AE$48,Don_vi_IP!$Q$5:$Q$41)</f>
        <v/>
      </c>
      <c r="AF11" s="11">
        <f>SUMPRODUCT(Doi_hinh!AF$12:AF$48,Don_vi_IP!$Q$5:$Q$41)</f>
        <v/>
      </c>
      <c r="AG11" s="11">
        <f>SUMPRODUCT(Doi_hinh!AG$12:AG$48,Don_vi_IP!$Q$5:$Q$41)</f>
        <v/>
      </c>
      <c r="AH11" s="11">
        <f>SUMPRODUCT(Doi_hinh!AH$12:AH$48,Don_vi_IP!$Q$5:$Q$41)</f>
        <v/>
      </c>
      <c r="AI11" s="11">
        <f>SUMPRODUCT(Doi_hinh!AI$12:AI$48,Don_vi_IP!$Q$5:$Q$41)</f>
        <v/>
      </c>
      <c r="AJ11" s="11">
        <f>SUMPRODUCT(Doi_hinh!AJ$12:AJ$48,Don_vi_IP!$Q$5:$Q$41)</f>
        <v/>
      </c>
      <c r="AK11" s="11">
        <f>SUMPRODUCT(Doi_hinh!AK$12:AK$48,Don_vi_IP!$Q$5:$Q$41)</f>
        <v/>
      </c>
      <c r="AL11" s="11">
        <f>SUMPRODUCT(Doi_hinh!AL$12:AL$48,Don_vi_IP!$Q$5:$Q$41)</f>
        <v/>
      </c>
      <c r="AM11" s="11">
        <f>SUMPRODUCT(Doi_hinh!AM$12:AM$48,Don_vi_IP!$Q$5:$Q$41)</f>
        <v/>
      </c>
    </row>
    <row r="12">
      <c r="B12" t="inlineStr">
        <is>
          <t>Mẫu sản phẩm, đạo cụ</t>
        </is>
      </c>
      <c r="C12" t="inlineStr">
        <is>
          <t>triệu VND</t>
        </is>
      </c>
      <c r="D12" s="11">
        <f>SUMPRODUCT(Doi_hinh!D$12:D$48,Don_vi_IP!$R$5:$R$41)</f>
        <v/>
      </c>
      <c r="E12" s="11">
        <f>SUMPRODUCT(Doi_hinh!E$12:E$48,Don_vi_IP!$R$5:$R$41)</f>
        <v/>
      </c>
      <c r="F12" s="11">
        <f>SUMPRODUCT(Doi_hinh!F$12:F$48,Don_vi_IP!$R$5:$R$41)</f>
        <v/>
      </c>
      <c r="G12" s="11">
        <f>SUMPRODUCT(Doi_hinh!G$12:G$48,Don_vi_IP!$R$5:$R$41)</f>
        <v/>
      </c>
      <c r="H12" s="11">
        <f>SUMPRODUCT(Doi_hinh!H$12:H$48,Don_vi_IP!$R$5:$R$41)</f>
        <v/>
      </c>
      <c r="I12" s="11">
        <f>SUMPRODUCT(Doi_hinh!I$12:I$48,Don_vi_IP!$R$5:$R$41)</f>
        <v/>
      </c>
      <c r="J12" s="11">
        <f>SUMPRODUCT(Doi_hinh!J$12:J$48,Don_vi_IP!$R$5:$R$41)</f>
        <v/>
      </c>
      <c r="K12" s="11">
        <f>SUMPRODUCT(Doi_hinh!K$12:K$48,Don_vi_IP!$R$5:$R$41)</f>
        <v/>
      </c>
      <c r="L12" s="11">
        <f>SUMPRODUCT(Doi_hinh!L$12:L$48,Don_vi_IP!$R$5:$R$41)</f>
        <v/>
      </c>
      <c r="M12" s="11">
        <f>SUMPRODUCT(Doi_hinh!M$12:M$48,Don_vi_IP!$R$5:$R$41)</f>
        <v/>
      </c>
      <c r="N12" s="11">
        <f>SUMPRODUCT(Doi_hinh!N$12:N$48,Don_vi_IP!$R$5:$R$41)</f>
        <v/>
      </c>
      <c r="O12" s="11">
        <f>SUMPRODUCT(Doi_hinh!O$12:O$48,Don_vi_IP!$R$5:$R$41)</f>
        <v/>
      </c>
      <c r="P12" s="11">
        <f>SUMPRODUCT(Doi_hinh!P$12:P$48,Don_vi_IP!$R$5:$R$41)</f>
        <v/>
      </c>
      <c r="Q12" s="11">
        <f>SUMPRODUCT(Doi_hinh!Q$12:Q$48,Don_vi_IP!$R$5:$R$41)</f>
        <v/>
      </c>
      <c r="R12" s="11">
        <f>SUMPRODUCT(Doi_hinh!R$12:R$48,Don_vi_IP!$R$5:$R$41)</f>
        <v/>
      </c>
      <c r="S12" s="11">
        <f>SUMPRODUCT(Doi_hinh!S$12:S$48,Don_vi_IP!$R$5:$R$41)</f>
        <v/>
      </c>
      <c r="T12" s="11">
        <f>SUMPRODUCT(Doi_hinh!T$12:T$48,Don_vi_IP!$R$5:$R$41)</f>
        <v/>
      </c>
      <c r="U12" s="11">
        <f>SUMPRODUCT(Doi_hinh!U$12:U$48,Don_vi_IP!$R$5:$R$41)</f>
        <v/>
      </c>
      <c r="V12" s="11">
        <f>SUMPRODUCT(Doi_hinh!V$12:V$48,Don_vi_IP!$R$5:$R$41)</f>
        <v/>
      </c>
      <c r="W12" s="11">
        <f>SUMPRODUCT(Doi_hinh!W$12:W$48,Don_vi_IP!$R$5:$R$41)</f>
        <v/>
      </c>
      <c r="X12" s="11">
        <f>SUMPRODUCT(Doi_hinh!X$12:X$48,Don_vi_IP!$R$5:$R$41)</f>
        <v/>
      </c>
      <c r="Y12" s="11">
        <f>SUMPRODUCT(Doi_hinh!Y$12:Y$48,Don_vi_IP!$R$5:$R$41)</f>
        <v/>
      </c>
      <c r="Z12" s="11">
        <f>SUMPRODUCT(Doi_hinh!Z$12:Z$48,Don_vi_IP!$R$5:$R$41)</f>
        <v/>
      </c>
      <c r="AA12" s="11">
        <f>SUMPRODUCT(Doi_hinh!AA$12:AA$48,Don_vi_IP!$R$5:$R$41)</f>
        <v/>
      </c>
      <c r="AB12" s="11">
        <f>SUMPRODUCT(Doi_hinh!AB$12:AB$48,Don_vi_IP!$R$5:$R$41)</f>
        <v/>
      </c>
      <c r="AC12" s="11">
        <f>SUMPRODUCT(Doi_hinh!AC$12:AC$48,Don_vi_IP!$R$5:$R$41)</f>
        <v/>
      </c>
      <c r="AD12" s="11">
        <f>SUMPRODUCT(Doi_hinh!AD$12:AD$48,Don_vi_IP!$R$5:$R$41)</f>
        <v/>
      </c>
      <c r="AE12" s="11">
        <f>SUMPRODUCT(Doi_hinh!AE$12:AE$48,Don_vi_IP!$R$5:$R$41)</f>
        <v/>
      </c>
      <c r="AF12" s="11">
        <f>SUMPRODUCT(Doi_hinh!AF$12:AF$48,Don_vi_IP!$R$5:$R$41)</f>
        <v/>
      </c>
      <c r="AG12" s="11">
        <f>SUMPRODUCT(Doi_hinh!AG$12:AG$48,Don_vi_IP!$R$5:$R$41)</f>
        <v/>
      </c>
      <c r="AH12" s="11">
        <f>SUMPRODUCT(Doi_hinh!AH$12:AH$48,Don_vi_IP!$R$5:$R$41)</f>
        <v/>
      </c>
      <c r="AI12" s="11">
        <f>SUMPRODUCT(Doi_hinh!AI$12:AI$48,Don_vi_IP!$R$5:$R$41)</f>
        <v/>
      </c>
      <c r="AJ12" s="11">
        <f>SUMPRODUCT(Doi_hinh!AJ$12:AJ$48,Don_vi_IP!$R$5:$R$41)</f>
        <v/>
      </c>
      <c r="AK12" s="11">
        <f>SUMPRODUCT(Doi_hinh!AK$12:AK$48,Don_vi_IP!$R$5:$R$41)</f>
        <v/>
      </c>
      <c r="AL12" s="11">
        <f>SUMPRODUCT(Doi_hinh!AL$12:AL$48,Don_vi_IP!$R$5:$R$41)</f>
        <v/>
      </c>
      <c r="AM12" s="11">
        <f>SUMPRODUCT(Doi_hinh!AM$12:AM$48,Don_vi_IP!$R$5:$R$41)</f>
        <v/>
      </c>
    </row>
    <row r="13">
      <c r="B13" t="inlineStr">
        <is>
          <t>Chi phí dựng IP mới (casting, đào tạo, nhận diện)</t>
        </is>
      </c>
      <c r="C13" t="inlineStr">
        <is>
          <t>triệu VND</t>
        </is>
      </c>
      <c r="D13" s="11">
        <f>SUMPRODUCT(Doi_hinh!D$12:D$48,Don_vi_IP!$S$5:$S$41)</f>
        <v/>
      </c>
      <c r="E13" s="11">
        <f>SUMPRODUCT(Doi_hinh!E$12:E$48,Don_vi_IP!$S$5:$S$41)</f>
        <v/>
      </c>
      <c r="F13" s="11">
        <f>SUMPRODUCT(Doi_hinh!F$12:F$48,Don_vi_IP!$S$5:$S$41)</f>
        <v/>
      </c>
      <c r="G13" s="11">
        <f>SUMPRODUCT(Doi_hinh!G$12:G$48,Don_vi_IP!$S$5:$S$41)</f>
        <v/>
      </c>
      <c r="H13" s="11">
        <f>SUMPRODUCT(Doi_hinh!H$12:H$48,Don_vi_IP!$S$5:$S$41)</f>
        <v/>
      </c>
      <c r="I13" s="11">
        <f>SUMPRODUCT(Doi_hinh!I$12:I$48,Don_vi_IP!$S$5:$S$41)</f>
        <v/>
      </c>
      <c r="J13" s="11">
        <f>SUMPRODUCT(Doi_hinh!J$12:J$48,Don_vi_IP!$S$5:$S$41)</f>
        <v/>
      </c>
      <c r="K13" s="11">
        <f>SUMPRODUCT(Doi_hinh!K$12:K$48,Don_vi_IP!$S$5:$S$41)</f>
        <v/>
      </c>
      <c r="L13" s="11">
        <f>SUMPRODUCT(Doi_hinh!L$12:L$48,Don_vi_IP!$S$5:$S$41)</f>
        <v/>
      </c>
      <c r="M13" s="11">
        <f>SUMPRODUCT(Doi_hinh!M$12:M$48,Don_vi_IP!$S$5:$S$41)</f>
        <v/>
      </c>
      <c r="N13" s="11">
        <f>SUMPRODUCT(Doi_hinh!N$12:N$48,Don_vi_IP!$S$5:$S$41)</f>
        <v/>
      </c>
      <c r="O13" s="11">
        <f>SUMPRODUCT(Doi_hinh!O$12:O$48,Don_vi_IP!$S$5:$S$41)</f>
        <v/>
      </c>
      <c r="P13" s="11">
        <f>SUMPRODUCT(Doi_hinh!P$12:P$48,Don_vi_IP!$S$5:$S$41)</f>
        <v/>
      </c>
      <c r="Q13" s="11">
        <f>SUMPRODUCT(Doi_hinh!Q$12:Q$48,Don_vi_IP!$S$5:$S$41)</f>
        <v/>
      </c>
      <c r="R13" s="11">
        <f>SUMPRODUCT(Doi_hinh!R$12:R$48,Don_vi_IP!$S$5:$S$41)</f>
        <v/>
      </c>
      <c r="S13" s="11">
        <f>SUMPRODUCT(Doi_hinh!S$12:S$48,Don_vi_IP!$S$5:$S$41)</f>
        <v/>
      </c>
      <c r="T13" s="11">
        <f>SUMPRODUCT(Doi_hinh!T$12:T$48,Don_vi_IP!$S$5:$S$41)</f>
        <v/>
      </c>
      <c r="U13" s="11">
        <f>SUMPRODUCT(Doi_hinh!U$12:U$48,Don_vi_IP!$S$5:$S$41)</f>
        <v/>
      </c>
      <c r="V13" s="11">
        <f>SUMPRODUCT(Doi_hinh!V$12:V$48,Don_vi_IP!$S$5:$S$41)</f>
        <v/>
      </c>
      <c r="W13" s="11">
        <f>SUMPRODUCT(Doi_hinh!W$12:W$48,Don_vi_IP!$S$5:$S$41)</f>
        <v/>
      </c>
      <c r="X13" s="11">
        <f>SUMPRODUCT(Doi_hinh!X$12:X$48,Don_vi_IP!$S$5:$S$41)</f>
        <v/>
      </c>
      <c r="Y13" s="11">
        <f>SUMPRODUCT(Doi_hinh!Y$12:Y$48,Don_vi_IP!$S$5:$S$41)</f>
        <v/>
      </c>
      <c r="Z13" s="11">
        <f>SUMPRODUCT(Doi_hinh!Z$12:Z$48,Don_vi_IP!$S$5:$S$41)</f>
        <v/>
      </c>
      <c r="AA13" s="11">
        <f>SUMPRODUCT(Doi_hinh!AA$12:AA$48,Don_vi_IP!$S$5:$S$41)</f>
        <v/>
      </c>
      <c r="AB13" s="11">
        <f>SUMPRODUCT(Doi_hinh!AB$12:AB$48,Don_vi_IP!$S$5:$S$41)</f>
        <v/>
      </c>
      <c r="AC13" s="11">
        <f>SUMPRODUCT(Doi_hinh!AC$12:AC$48,Don_vi_IP!$S$5:$S$41)</f>
        <v/>
      </c>
      <c r="AD13" s="11">
        <f>SUMPRODUCT(Doi_hinh!AD$12:AD$48,Don_vi_IP!$S$5:$S$41)</f>
        <v/>
      </c>
      <c r="AE13" s="11">
        <f>SUMPRODUCT(Doi_hinh!AE$12:AE$48,Don_vi_IP!$S$5:$S$41)</f>
        <v/>
      </c>
      <c r="AF13" s="11">
        <f>SUMPRODUCT(Doi_hinh!AF$12:AF$48,Don_vi_IP!$S$5:$S$41)</f>
        <v/>
      </c>
      <c r="AG13" s="11">
        <f>SUMPRODUCT(Doi_hinh!AG$12:AG$48,Don_vi_IP!$S$5:$S$41)</f>
        <v/>
      </c>
      <c r="AH13" s="11">
        <f>SUMPRODUCT(Doi_hinh!AH$12:AH$48,Don_vi_IP!$S$5:$S$41)</f>
        <v/>
      </c>
      <c r="AI13" s="11">
        <f>SUMPRODUCT(Doi_hinh!AI$12:AI$48,Don_vi_IP!$S$5:$S$41)</f>
        <v/>
      </c>
      <c r="AJ13" s="11">
        <f>SUMPRODUCT(Doi_hinh!AJ$12:AJ$48,Don_vi_IP!$S$5:$S$41)</f>
        <v/>
      </c>
      <c r="AK13" s="11">
        <f>SUMPRODUCT(Doi_hinh!AK$12:AK$48,Don_vi_IP!$S$5:$S$41)</f>
        <v/>
      </c>
      <c r="AL13" s="11">
        <f>SUMPRODUCT(Doi_hinh!AL$12:AL$48,Don_vi_IP!$S$5:$S$41)</f>
        <v/>
      </c>
      <c r="AM13" s="11">
        <f>SUMPRODUCT(Doi_hinh!AM$12:AM$48,Don_vi_IP!$S$5:$S$41)</f>
        <v/>
      </c>
    </row>
    <row r="14">
      <c r="B14" s="2" t="inlineStr">
        <is>
          <t>Cộng chi phí trực tiếp — IP người thật</t>
        </is>
      </c>
      <c r="C14" t="inlineStr">
        <is>
          <t>triệu VND</t>
        </is>
      </c>
      <c r="D14" s="34">
        <f>SUM(D7:D13)</f>
        <v/>
      </c>
      <c r="E14" s="34">
        <f>SUM(E7:E13)</f>
        <v/>
      </c>
      <c r="F14" s="34">
        <f>SUM(F7:F13)</f>
        <v/>
      </c>
      <c r="G14" s="34">
        <f>SUM(G7:G13)</f>
        <v/>
      </c>
      <c r="H14" s="34">
        <f>SUM(H7:H13)</f>
        <v/>
      </c>
      <c r="I14" s="34">
        <f>SUM(I7:I13)</f>
        <v/>
      </c>
      <c r="J14" s="34">
        <f>SUM(J7:J13)</f>
        <v/>
      </c>
      <c r="K14" s="34">
        <f>SUM(K7:K13)</f>
        <v/>
      </c>
      <c r="L14" s="34">
        <f>SUM(L7:L13)</f>
        <v/>
      </c>
      <c r="M14" s="34">
        <f>SUM(M7:M13)</f>
        <v/>
      </c>
      <c r="N14" s="34">
        <f>SUM(N7:N13)</f>
        <v/>
      </c>
      <c r="O14" s="34">
        <f>SUM(O7:O13)</f>
        <v/>
      </c>
      <c r="P14" s="34">
        <f>SUM(P7:P13)</f>
        <v/>
      </c>
      <c r="Q14" s="34">
        <f>SUM(Q7:Q13)</f>
        <v/>
      </c>
      <c r="R14" s="34">
        <f>SUM(R7:R13)</f>
        <v/>
      </c>
      <c r="S14" s="34">
        <f>SUM(S7:S13)</f>
        <v/>
      </c>
      <c r="T14" s="34">
        <f>SUM(T7:T13)</f>
        <v/>
      </c>
      <c r="U14" s="34">
        <f>SUM(U7:U13)</f>
        <v/>
      </c>
      <c r="V14" s="34">
        <f>SUM(V7:V13)</f>
        <v/>
      </c>
      <c r="W14" s="34">
        <f>SUM(W7:W13)</f>
        <v/>
      </c>
      <c r="X14" s="34">
        <f>SUM(X7:X13)</f>
        <v/>
      </c>
      <c r="Y14" s="34">
        <f>SUM(Y7:Y13)</f>
        <v/>
      </c>
      <c r="Z14" s="34">
        <f>SUM(Z7:Z13)</f>
        <v/>
      </c>
      <c r="AA14" s="34">
        <f>SUM(AA7:AA13)</f>
        <v/>
      </c>
      <c r="AB14" s="34">
        <f>SUM(AB7:AB13)</f>
        <v/>
      </c>
      <c r="AC14" s="34">
        <f>SUM(AC7:AC13)</f>
        <v/>
      </c>
      <c r="AD14" s="34">
        <f>SUM(AD7:AD13)</f>
        <v/>
      </c>
      <c r="AE14" s="34">
        <f>SUM(AE7:AE13)</f>
        <v/>
      </c>
      <c r="AF14" s="34">
        <f>SUM(AF7:AF13)</f>
        <v/>
      </c>
      <c r="AG14" s="34">
        <f>SUM(AG7:AG13)</f>
        <v/>
      </c>
      <c r="AH14" s="34">
        <f>SUM(AH7:AH13)</f>
        <v/>
      </c>
      <c r="AI14" s="34">
        <f>SUM(AI7:AI13)</f>
        <v/>
      </c>
      <c r="AJ14" s="34">
        <f>SUM(AJ7:AJ13)</f>
        <v/>
      </c>
      <c r="AK14" s="34">
        <f>SUM(AK7:AK13)</f>
        <v/>
      </c>
      <c r="AL14" s="34">
        <f>SUM(AL7:AL13)</f>
        <v/>
      </c>
      <c r="AM14" s="34">
        <f>SUM(AM7:AM13)</f>
        <v/>
      </c>
    </row>
    <row r="16">
      <c r="B16" s="4" t="inlineStr">
        <is>
          <t>2. CHI PHÍ TRỰC TIẾP — IP AI</t>
        </is>
      </c>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row>
    <row r="17">
      <c r="B17" t="inlineStr">
        <is>
          <t>License &amp; compute</t>
        </is>
      </c>
      <c r="C17" t="inlineStr">
        <is>
          <t>triệu VND</t>
        </is>
      </c>
      <c r="D17" s="11">
        <f>SUMPRODUCT(Doi_hinh!D$60:D$96,Don_vi_IP_AI!$J$5:$J$41)</f>
        <v/>
      </c>
      <c r="E17" s="11">
        <f>SUMPRODUCT(Doi_hinh!E$60:E$96,Don_vi_IP_AI!$J$5:$J$41)</f>
        <v/>
      </c>
      <c r="F17" s="11">
        <f>SUMPRODUCT(Doi_hinh!F$60:F$96,Don_vi_IP_AI!$J$5:$J$41)</f>
        <v/>
      </c>
      <c r="G17" s="11">
        <f>SUMPRODUCT(Doi_hinh!G$60:G$96,Don_vi_IP_AI!$J$5:$J$41)</f>
        <v/>
      </c>
      <c r="H17" s="11">
        <f>SUMPRODUCT(Doi_hinh!H$60:H$96,Don_vi_IP_AI!$J$5:$J$41)</f>
        <v/>
      </c>
      <c r="I17" s="11">
        <f>SUMPRODUCT(Doi_hinh!I$60:I$96,Don_vi_IP_AI!$J$5:$J$41)</f>
        <v/>
      </c>
      <c r="J17" s="11">
        <f>SUMPRODUCT(Doi_hinh!J$60:J$96,Don_vi_IP_AI!$J$5:$J$41)</f>
        <v/>
      </c>
      <c r="K17" s="11">
        <f>SUMPRODUCT(Doi_hinh!K$60:K$96,Don_vi_IP_AI!$J$5:$J$41)</f>
        <v/>
      </c>
      <c r="L17" s="11">
        <f>SUMPRODUCT(Doi_hinh!L$60:L$96,Don_vi_IP_AI!$J$5:$J$41)</f>
        <v/>
      </c>
      <c r="M17" s="11">
        <f>SUMPRODUCT(Doi_hinh!M$60:M$96,Don_vi_IP_AI!$J$5:$J$41)</f>
        <v/>
      </c>
      <c r="N17" s="11">
        <f>SUMPRODUCT(Doi_hinh!N$60:N$96,Don_vi_IP_AI!$J$5:$J$41)</f>
        <v/>
      </c>
      <c r="O17" s="11">
        <f>SUMPRODUCT(Doi_hinh!O$60:O$96,Don_vi_IP_AI!$J$5:$J$41)</f>
        <v/>
      </c>
      <c r="P17" s="11">
        <f>SUMPRODUCT(Doi_hinh!P$60:P$96,Don_vi_IP_AI!$J$5:$J$41)</f>
        <v/>
      </c>
      <c r="Q17" s="11">
        <f>SUMPRODUCT(Doi_hinh!Q$60:Q$96,Don_vi_IP_AI!$J$5:$J$41)</f>
        <v/>
      </c>
      <c r="R17" s="11">
        <f>SUMPRODUCT(Doi_hinh!R$60:R$96,Don_vi_IP_AI!$J$5:$J$41)</f>
        <v/>
      </c>
      <c r="S17" s="11">
        <f>SUMPRODUCT(Doi_hinh!S$60:S$96,Don_vi_IP_AI!$J$5:$J$41)</f>
        <v/>
      </c>
      <c r="T17" s="11">
        <f>SUMPRODUCT(Doi_hinh!T$60:T$96,Don_vi_IP_AI!$J$5:$J$41)</f>
        <v/>
      </c>
      <c r="U17" s="11">
        <f>SUMPRODUCT(Doi_hinh!U$60:U$96,Don_vi_IP_AI!$J$5:$J$41)</f>
        <v/>
      </c>
      <c r="V17" s="11">
        <f>SUMPRODUCT(Doi_hinh!V$60:V$96,Don_vi_IP_AI!$J$5:$J$41)</f>
        <v/>
      </c>
      <c r="W17" s="11">
        <f>SUMPRODUCT(Doi_hinh!W$60:W$96,Don_vi_IP_AI!$J$5:$J$41)</f>
        <v/>
      </c>
      <c r="X17" s="11">
        <f>SUMPRODUCT(Doi_hinh!X$60:X$96,Don_vi_IP_AI!$J$5:$J$41)</f>
        <v/>
      </c>
      <c r="Y17" s="11">
        <f>SUMPRODUCT(Doi_hinh!Y$60:Y$96,Don_vi_IP_AI!$J$5:$J$41)</f>
        <v/>
      </c>
      <c r="Z17" s="11">
        <f>SUMPRODUCT(Doi_hinh!Z$60:Z$96,Don_vi_IP_AI!$J$5:$J$41)</f>
        <v/>
      </c>
      <c r="AA17" s="11">
        <f>SUMPRODUCT(Doi_hinh!AA$60:AA$96,Don_vi_IP_AI!$J$5:$J$41)</f>
        <v/>
      </c>
      <c r="AB17" s="11">
        <f>SUMPRODUCT(Doi_hinh!AB$60:AB$96,Don_vi_IP_AI!$J$5:$J$41)</f>
        <v/>
      </c>
      <c r="AC17" s="11">
        <f>SUMPRODUCT(Doi_hinh!AC$60:AC$96,Don_vi_IP_AI!$J$5:$J$41)</f>
        <v/>
      </c>
      <c r="AD17" s="11">
        <f>SUMPRODUCT(Doi_hinh!AD$60:AD$96,Don_vi_IP_AI!$J$5:$J$41)</f>
        <v/>
      </c>
      <c r="AE17" s="11">
        <f>SUMPRODUCT(Doi_hinh!AE$60:AE$96,Don_vi_IP_AI!$J$5:$J$41)</f>
        <v/>
      </c>
      <c r="AF17" s="11">
        <f>SUMPRODUCT(Doi_hinh!AF$60:AF$96,Don_vi_IP_AI!$J$5:$J$41)</f>
        <v/>
      </c>
      <c r="AG17" s="11">
        <f>SUMPRODUCT(Doi_hinh!AG$60:AG$96,Don_vi_IP_AI!$J$5:$J$41)</f>
        <v/>
      </c>
      <c r="AH17" s="11">
        <f>SUMPRODUCT(Doi_hinh!AH$60:AH$96,Don_vi_IP_AI!$J$5:$J$41)</f>
        <v/>
      </c>
      <c r="AI17" s="11">
        <f>SUMPRODUCT(Doi_hinh!AI$60:AI$96,Don_vi_IP_AI!$J$5:$J$41)</f>
        <v/>
      </c>
      <c r="AJ17" s="11">
        <f>SUMPRODUCT(Doi_hinh!AJ$60:AJ$96,Don_vi_IP_AI!$J$5:$J$41)</f>
        <v/>
      </c>
      <c r="AK17" s="11">
        <f>SUMPRODUCT(Doi_hinh!AK$60:AK$96,Don_vi_IP_AI!$J$5:$J$41)</f>
        <v/>
      </c>
      <c r="AL17" s="11">
        <f>SUMPRODUCT(Doi_hinh!AL$60:AL$96,Don_vi_IP_AI!$J$5:$J$41)</f>
        <v/>
      </c>
      <c r="AM17" s="11">
        <f>SUMPRODUCT(Doi_hinh!AM$60:AM$96,Don_vi_IP_AI!$J$5:$J$41)</f>
        <v/>
      </c>
    </row>
    <row r="18">
      <c r="B18" t="inlineStr">
        <is>
          <t>Vận hành &amp; trực chat</t>
        </is>
      </c>
      <c r="C18" t="inlineStr">
        <is>
          <t>triệu VND</t>
        </is>
      </c>
      <c r="D18" s="11">
        <f>SUMPRODUCT(Doi_hinh!D$60:D$96,Don_vi_IP_AI!$K$5:$K$41)</f>
        <v/>
      </c>
      <c r="E18" s="11">
        <f>SUMPRODUCT(Doi_hinh!E$60:E$96,Don_vi_IP_AI!$K$5:$K$41)</f>
        <v/>
      </c>
      <c r="F18" s="11">
        <f>SUMPRODUCT(Doi_hinh!F$60:F$96,Don_vi_IP_AI!$K$5:$K$41)</f>
        <v/>
      </c>
      <c r="G18" s="11">
        <f>SUMPRODUCT(Doi_hinh!G$60:G$96,Don_vi_IP_AI!$K$5:$K$41)</f>
        <v/>
      </c>
      <c r="H18" s="11">
        <f>SUMPRODUCT(Doi_hinh!H$60:H$96,Don_vi_IP_AI!$K$5:$K$41)</f>
        <v/>
      </c>
      <c r="I18" s="11">
        <f>SUMPRODUCT(Doi_hinh!I$60:I$96,Don_vi_IP_AI!$K$5:$K$41)</f>
        <v/>
      </c>
      <c r="J18" s="11">
        <f>SUMPRODUCT(Doi_hinh!J$60:J$96,Don_vi_IP_AI!$K$5:$K$41)</f>
        <v/>
      </c>
      <c r="K18" s="11">
        <f>SUMPRODUCT(Doi_hinh!K$60:K$96,Don_vi_IP_AI!$K$5:$K$41)</f>
        <v/>
      </c>
      <c r="L18" s="11">
        <f>SUMPRODUCT(Doi_hinh!L$60:L$96,Don_vi_IP_AI!$K$5:$K$41)</f>
        <v/>
      </c>
      <c r="M18" s="11">
        <f>SUMPRODUCT(Doi_hinh!M$60:M$96,Don_vi_IP_AI!$K$5:$K$41)</f>
        <v/>
      </c>
      <c r="N18" s="11">
        <f>SUMPRODUCT(Doi_hinh!N$60:N$96,Don_vi_IP_AI!$K$5:$K$41)</f>
        <v/>
      </c>
      <c r="O18" s="11">
        <f>SUMPRODUCT(Doi_hinh!O$60:O$96,Don_vi_IP_AI!$K$5:$K$41)</f>
        <v/>
      </c>
      <c r="P18" s="11">
        <f>SUMPRODUCT(Doi_hinh!P$60:P$96,Don_vi_IP_AI!$K$5:$K$41)</f>
        <v/>
      </c>
      <c r="Q18" s="11">
        <f>SUMPRODUCT(Doi_hinh!Q$60:Q$96,Don_vi_IP_AI!$K$5:$K$41)</f>
        <v/>
      </c>
      <c r="R18" s="11">
        <f>SUMPRODUCT(Doi_hinh!R$60:R$96,Don_vi_IP_AI!$K$5:$K$41)</f>
        <v/>
      </c>
      <c r="S18" s="11">
        <f>SUMPRODUCT(Doi_hinh!S$60:S$96,Don_vi_IP_AI!$K$5:$K$41)</f>
        <v/>
      </c>
      <c r="T18" s="11">
        <f>SUMPRODUCT(Doi_hinh!T$60:T$96,Don_vi_IP_AI!$K$5:$K$41)</f>
        <v/>
      </c>
      <c r="U18" s="11">
        <f>SUMPRODUCT(Doi_hinh!U$60:U$96,Don_vi_IP_AI!$K$5:$K$41)</f>
        <v/>
      </c>
      <c r="V18" s="11">
        <f>SUMPRODUCT(Doi_hinh!V$60:V$96,Don_vi_IP_AI!$K$5:$K$41)</f>
        <v/>
      </c>
      <c r="W18" s="11">
        <f>SUMPRODUCT(Doi_hinh!W$60:W$96,Don_vi_IP_AI!$K$5:$K$41)</f>
        <v/>
      </c>
      <c r="X18" s="11">
        <f>SUMPRODUCT(Doi_hinh!X$60:X$96,Don_vi_IP_AI!$K$5:$K$41)</f>
        <v/>
      </c>
      <c r="Y18" s="11">
        <f>SUMPRODUCT(Doi_hinh!Y$60:Y$96,Don_vi_IP_AI!$K$5:$K$41)</f>
        <v/>
      </c>
      <c r="Z18" s="11">
        <f>SUMPRODUCT(Doi_hinh!Z$60:Z$96,Don_vi_IP_AI!$K$5:$K$41)</f>
        <v/>
      </c>
      <c r="AA18" s="11">
        <f>SUMPRODUCT(Doi_hinh!AA$60:AA$96,Don_vi_IP_AI!$K$5:$K$41)</f>
        <v/>
      </c>
      <c r="AB18" s="11">
        <f>SUMPRODUCT(Doi_hinh!AB$60:AB$96,Don_vi_IP_AI!$K$5:$K$41)</f>
        <v/>
      </c>
      <c r="AC18" s="11">
        <f>SUMPRODUCT(Doi_hinh!AC$60:AC$96,Don_vi_IP_AI!$K$5:$K$41)</f>
        <v/>
      </c>
      <c r="AD18" s="11">
        <f>SUMPRODUCT(Doi_hinh!AD$60:AD$96,Don_vi_IP_AI!$K$5:$K$41)</f>
        <v/>
      </c>
      <c r="AE18" s="11">
        <f>SUMPRODUCT(Doi_hinh!AE$60:AE$96,Don_vi_IP_AI!$K$5:$K$41)</f>
        <v/>
      </c>
      <c r="AF18" s="11">
        <f>SUMPRODUCT(Doi_hinh!AF$60:AF$96,Don_vi_IP_AI!$K$5:$K$41)</f>
        <v/>
      </c>
      <c r="AG18" s="11">
        <f>SUMPRODUCT(Doi_hinh!AG$60:AG$96,Don_vi_IP_AI!$K$5:$K$41)</f>
        <v/>
      </c>
      <c r="AH18" s="11">
        <f>SUMPRODUCT(Doi_hinh!AH$60:AH$96,Don_vi_IP_AI!$K$5:$K$41)</f>
        <v/>
      </c>
      <c r="AI18" s="11">
        <f>SUMPRODUCT(Doi_hinh!AI$60:AI$96,Don_vi_IP_AI!$K$5:$K$41)</f>
        <v/>
      </c>
      <c r="AJ18" s="11">
        <f>SUMPRODUCT(Doi_hinh!AJ$60:AJ$96,Don_vi_IP_AI!$K$5:$K$41)</f>
        <v/>
      </c>
      <c r="AK18" s="11">
        <f>SUMPRODUCT(Doi_hinh!AK$60:AK$96,Don_vi_IP_AI!$K$5:$K$41)</f>
        <v/>
      </c>
      <c r="AL18" s="11">
        <f>SUMPRODUCT(Doi_hinh!AL$60:AL$96,Don_vi_IP_AI!$K$5:$K$41)</f>
        <v/>
      </c>
      <c r="AM18" s="11">
        <f>SUMPRODUCT(Doi_hinh!AM$60:AM$96,Don_vi_IP_AI!$K$5:$K$41)</f>
        <v/>
      </c>
    </row>
    <row r="19">
      <c r="B19" t="inlineStr">
        <is>
          <t>Quảng cáo kéo view</t>
        </is>
      </c>
      <c r="C19" t="inlineStr">
        <is>
          <t>triệu VND</t>
        </is>
      </c>
      <c r="D19" s="11">
        <f>SUMPRODUCT(Doi_hinh!D$60:D$96,Don_vi_IP_AI!$L$5:$L$41)*Doanh_thu!D7</f>
        <v/>
      </c>
      <c r="E19" s="11">
        <f>SUMPRODUCT(Doi_hinh!E$60:E$96,Don_vi_IP_AI!$L$5:$L$41)*Doanh_thu!E7</f>
        <v/>
      </c>
      <c r="F19" s="11">
        <f>SUMPRODUCT(Doi_hinh!F$60:F$96,Don_vi_IP_AI!$L$5:$L$41)*Doanh_thu!F7</f>
        <v/>
      </c>
      <c r="G19" s="11">
        <f>SUMPRODUCT(Doi_hinh!G$60:G$96,Don_vi_IP_AI!$L$5:$L$41)*Doanh_thu!G7</f>
        <v/>
      </c>
      <c r="H19" s="11">
        <f>SUMPRODUCT(Doi_hinh!H$60:H$96,Don_vi_IP_AI!$L$5:$L$41)*Doanh_thu!H7</f>
        <v/>
      </c>
      <c r="I19" s="11">
        <f>SUMPRODUCT(Doi_hinh!I$60:I$96,Don_vi_IP_AI!$L$5:$L$41)*Doanh_thu!I7</f>
        <v/>
      </c>
      <c r="J19" s="11">
        <f>SUMPRODUCT(Doi_hinh!J$60:J$96,Don_vi_IP_AI!$L$5:$L$41)*Doanh_thu!J7</f>
        <v/>
      </c>
      <c r="K19" s="11">
        <f>SUMPRODUCT(Doi_hinh!K$60:K$96,Don_vi_IP_AI!$L$5:$L$41)*Doanh_thu!K7</f>
        <v/>
      </c>
      <c r="L19" s="11">
        <f>SUMPRODUCT(Doi_hinh!L$60:L$96,Don_vi_IP_AI!$L$5:$L$41)*Doanh_thu!L7</f>
        <v/>
      </c>
      <c r="M19" s="11">
        <f>SUMPRODUCT(Doi_hinh!M$60:M$96,Don_vi_IP_AI!$L$5:$L$41)*Doanh_thu!M7</f>
        <v/>
      </c>
      <c r="N19" s="11">
        <f>SUMPRODUCT(Doi_hinh!N$60:N$96,Don_vi_IP_AI!$L$5:$L$41)*Doanh_thu!N7</f>
        <v/>
      </c>
      <c r="O19" s="11">
        <f>SUMPRODUCT(Doi_hinh!O$60:O$96,Don_vi_IP_AI!$L$5:$L$41)*Doanh_thu!O7</f>
        <v/>
      </c>
      <c r="P19" s="11">
        <f>SUMPRODUCT(Doi_hinh!P$60:P$96,Don_vi_IP_AI!$L$5:$L$41)*Doanh_thu!P7</f>
        <v/>
      </c>
      <c r="Q19" s="11">
        <f>SUMPRODUCT(Doi_hinh!Q$60:Q$96,Don_vi_IP_AI!$L$5:$L$41)*Doanh_thu!Q7</f>
        <v/>
      </c>
      <c r="R19" s="11">
        <f>SUMPRODUCT(Doi_hinh!R$60:R$96,Don_vi_IP_AI!$L$5:$L$41)*Doanh_thu!R7</f>
        <v/>
      </c>
      <c r="S19" s="11">
        <f>SUMPRODUCT(Doi_hinh!S$60:S$96,Don_vi_IP_AI!$L$5:$L$41)*Doanh_thu!S7</f>
        <v/>
      </c>
      <c r="T19" s="11">
        <f>SUMPRODUCT(Doi_hinh!T$60:T$96,Don_vi_IP_AI!$L$5:$L$41)*Doanh_thu!T7</f>
        <v/>
      </c>
      <c r="U19" s="11">
        <f>SUMPRODUCT(Doi_hinh!U$60:U$96,Don_vi_IP_AI!$L$5:$L$41)*Doanh_thu!U7</f>
        <v/>
      </c>
      <c r="V19" s="11">
        <f>SUMPRODUCT(Doi_hinh!V$60:V$96,Don_vi_IP_AI!$L$5:$L$41)*Doanh_thu!V7</f>
        <v/>
      </c>
      <c r="W19" s="11">
        <f>SUMPRODUCT(Doi_hinh!W$60:W$96,Don_vi_IP_AI!$L$5:$L$41)*Doanh_thu!W7</f>
        <v/>
      </c>
      <c r="X19" s="11">
        <f>SUMPRODUCT(Doi_hinh!X$60:X$96,Don_vi_IP_AI!$L$5:$L$41)*Doanh_thu!X7</f>
        <v/>
      </c>
      <c r="Y19" s="11">
        <f>SUMPRODUCT(Doi_hinh!Y$60:Y$96,Don_vi_IP_AI!$L$5:$L$41)*Doanh_thu!Y7</f>
        <v/>
      </c>
      <c r="Z19" s="11">
        <f>SUMPRODUCT(Doi_hinh!Z$60:Z$96,Don_vi_IP_AI!$L$5:$L$41)*Doanh_thu!Z7</f>
        <v/>
      </c>
      <c r="AA19" s="11">
        <f>SUMPRODUCT(Doi_hinh!AA$60:AA$96,Don_vi_IP_AI!$L$5:$L$41)*Doanh_thu!AA7</f>
        <v/>
      </c>
      <c r="AB19" s="11">
        <f>SUMPRODUCT(Doi_hinh!AB$60:AB$96,Don_vi_IP_AI!$L$5:$L$41)*Doanh_thu!AB7</f>
        <v/>
      </c>
      <c r="AC19" s="11">
        <f>SUMPRODUCT(Doi_hinh!AC$60:AC$96,Don_vi_IP_AI!$L$5:$L$41)*Doanh_thu!AC7</f>
        <v/>
      </c>
      <c r="AD19" s="11">
        <f>SUMPRODUCT(Doi_hinh!AD$60:AD$96,Don_vi_IP_AI!$L$5:$L$41)*Doanh_thu!AD7</f>
        <v/>
      </c>
      <c r="AE19" s="11">
        <f>SUMPRODUCT(Doi_hinh!AE$60:AE$96,Don_vi_IP_AI!$L$5:$L$41)*Doanh_thu!AE7</f>
        <v/>
      </c>
      <c r="AF19" s="11">
        <f>SUMPRODUCT(Doi_hinh!AF$60:AF$96,Don_vi_IP_AI!$L$5:$L$41)*Doanh_thu!AF7</f>
        <v/>
      </c>
      <c r="AG19" s="11">
        <f>SUMPRODUCT(Doi_hinh!AG$60:AG$96,Don_vi_IP_AI!$L$5:$L$41)*Doanh_thu!AG7</f>
        <v/>
      </c>
      <c r="AH19" s="11">
        <f>SUMPRODUCT(Doi_hinh!AH$60:AH$96,Don_vi_IP_AI!$L$5:$L$41)*Doanh_thu!AH7</f>
        <v/>
      </c>
      <c r="AI19" s="11">
        <f>SUMPRODUCT(Doi_hinh!AI$60:AI$96,Don_vi_IP_AI!$L$5:$L$41)*Doanh_thu!AI7</f>
        <v/>
      </c>
      <c r="AJ19" s="11">
        <f>SUMPRODUCT(Doi_hinh!AJ$60:AJ$96,Don_vi_IP_AI!$L$5:$L$41)*Doanh_thu!AJ7</f>
        <v/>
      </c>
      <c r="AK19" s="11">
        <f>SUMPRODUCT(Doi_hinh!AK$60:AK$96,Don_vi_IP_AI!$L$5:$L$41)*Doanh_thu!AK7</f>
        <v/>
      </c>
      <c r="AL19" s="11">
        <f>SUMPRODUCT(Doi_hinh!AL$60:AL$96,Don_vi_IP_AI!$L$5:$L$41)*Doanh_thu!AL7</f>
        <v/>
      </c>
      <c r="AM19" s="11">
        <f>SUMPRODUCT(Doi_hinh!AM$60:AM$96,Don_vi_IP_AI!$L$5:$L$41)*Doanh_thu!AM7</f>
        <v/>
      </c>
    </row>
    <row r="20">
      <c r="B20" t="inlineStr">
        <is>
          <t>Chi phí khác</t>
        </is>
      </c>
      <c r="C20" t="inlineStr">
        <is>
          <t>triệu VND</t>
        </is>
      </c>
      <c r="D20" s="11">
        <f>SUMPRODUCT(Doi_hinh!D$60:D$96,Don_vi_IP_AI!$M$5:$M$41)</f>
        <v/>
      </c>
      <c r="E20" s="11">
        <f>SUMPRODUCT(Doi_hinh!E$60:E$96,Don_vi_IP_AI!$M$5:$M$41)</f>
        <v/>
      </c>
      <c r="F20" s="11">
        <f>SUMPRODUCT(Doi_hinh!F$60:F$96,Don_vi_IP_AI!$M$5:$M$41)</f>
        <v/>
      </c>
      <c r="G20" s="11">
        <f>SUMPRODUCT(Doi_hinh!G$60:G$96,Don_vi_IP_AI!$M$5:$M$41)</f>
        <v/>
      </c>
      <c r="H20" s="11">
        <f>SUMPRODUCT(Doi_hinh!H$60:H$96,Don_vi_IP_AI!$M$5:$M$41)</f>
        <v/>
      </c>
      <c r="I20" s="11">
        <f>SUMPRODUCT(Doi_hinh!I$60:I$96,Don_vi_IP_AI!$M$5:$M$41)</f>
        <v/>
      </c>
      <c r="J20" s="11">
        <f>SUMPRODUCT(Doi_hinh!J$60:J$96,Don_vi_IP_AI!$M$5:$M$41)</f>
        <v/>
      </c>
      <c r="K20" s="11">
        <f>SUMPRODUCT(Doi_hinh!K$60:K$96,Don_vi_IP_AI!$M$5:$M$41)</f>
        <v/>
      </c>
      <c r="L20" s="11">
        <f>SUMPRODUCT(Doi_hinh!L$60:L$96,Don_vi_IP_AI!$M$5:$M$41)</f>
        <v/>
      </c>
      <c r="M20" s="11">
        <f>SUMPRODUCT(Doi_hinh!M$60:M$96,Don_vi_IP_AI!$M$5:$M$41)</f>
        <v/>
      </c>
      <c r="N20" s="11">
        <f>SUMPRODUCT(Doi_hinh!N$60:N$96,Don_vi_IP_AI!$M$5:$M$41)</f>
        <v/>
      </c>
      <c r="O20" s="11">
        <f>SUMPRODUCT(Doi_hinh!O$60:O$96,Don_vi_IP_AI!$M$5:$M$41)</f>
        <v/>
      </c>
      <c r="P20" s="11">
        <f>SUMPRODUCT(Doi_hinh!P$60:P$96,Don_vi_IP_AI!$M$5:$M$41)</f>
        <v/>
      </c>
      <c r="Q20" s="11">
        <f>SUMPRODUCT(Doi_hinh!Q$60:Q$96,Don_vi_IP_AI!$M$5:$M$41)</f>
        <v/>
      </c>
      <c r="R20" s="11">
        <f>SUMPRODUCT(Doi_hinh!R$60:R$96,Don_vi_IP_AI!$M$5:$M$41)</f>
        <v/>
      </c>
      <c r="S20" s="11">
        <f>SUMPRODUCT(Doi_hinh!S$60:S$96,Don_vi_IP_AI!$M$5:$M$41)</f>
        <v/>
      </c>
      <c r="T20" s="11">
        <f>SUMPRODUCT(Doi_hinh!T$60:T$96,Don_vi_IP_AI!$M$5:$M$41)</f>
        <v/>
      </c>
      <c r="U20" s="11">
        <f>SUMPRODUCT(Doi_hinh!U$60:U$96,Don_vi_IP_AI!$M$5:$M$41)</f>
        <v/>
      </c>
      <c r="V20" s="11">
        <f>SUMPRODUCT(Doi_hinh!V$60:V$96,Don_vi_IP_AI!$M$5:$M$41)</f>
        <v/>
      </c>
      <c r="W20" s="11">
        <f>SUMPRODUCT(Doi_hinh!W$60:W$96,Don_vi_IP_AI!$M$5:$M$41)</f>
        <v/>
      </c>
      <c r="X20" s="11">
        <f>SUMPRODUCT(Doi_hinh!X$60:X$96,Don_vi_IP_AI!$M$5:$M$41)</f>
        <v/>
      </c>
      <c r="Y20" s="11">
        <f>SUMPRODUCT(Doi_hinh!Y$60:Y$96,Don_vi_IP_AI!$M$5:$M$41)</f>
        <v/>
      </c>
      <c r="Z20" s="11">
        <f>SUMPRODUCT(Doi_hinh!Z$60:Z$96,Don_vi_IP_AI!$M$5:$M$41)</f>
        <v/>
      </c>
      <c r="AA20" s="11">
        <f>SUMPRODUCT(Doi_hinh!AA$60:AA$96,Don_vi_IP_AI!$M$5:$M$41)</f>
        <v/>
      </c>
      <c r="AB20" s="11">
        <f>SUMPRODUCT(Doi_hinh!AB$60:AB$96,Don_vi_IP_AI!$M$5:$M$41)</f>
        <v/>
      </c>
      <c r="AC20" s="11">
        <f>SUMPRODUCT(Doi_hinh!AC$60:AC$96,Don_vi_IP_AI!$M$5:$M$41)</f>
        <v/>
      </c>
      <c r="AD20" s="11">
        <f>SUMPRODUCT(Doi_hinh!AD$60:AD$96,Don_vi_IP_AI!$M$5:$M$41)</f>
        <v/>
      </c>
      <c r="AE20" s="11">
        <f>SUMPRODUCT(Doi_hinh!AE$60:AE$96,Don_vi_IP_AI!$M$5:$M$41)</f>
        <v/>
      </c>
      <c r="AF20" s="11">
        <f>SUMPRODUCT(Doi_hinh!AF$60:AF$96,Don_vi_IP_AI!$M$5:$M$41)</f>
        <v/>
      </c>
      <c r="AG20" s="11">
        <f>SUMPRODUCT(Doi_hinh!AG$60:AG$96,Don_vi_IP_AI!$M$5:$M$41)</f>
        <v/>
      </c>
      <c r="AH20" s="11">
        <f>SUMPRODUCT(Doi_hinh!AH$60:AH$96,Don_vi_IP_AI!$M$5:$M$41)</f>
        <v/>
      </c>
      <c r="AI20" s="11">
        <f>SUMPRODUCT(Doi_hinh!AI$60:AI$96,Don_vi_IP_AI!$M$5:$M$41)</f>
        <v/>
      </c>
      <c r="AJ20" s="11">
        <f>SUMPRODUCT(Doi_hinh!AJ$60:AJ$96,Don_vi_IP_AI!$M$5:$M$41)</f>
        <v/>
      </c>
      <c r="AK20" s="11">
        <f>SUMPRODUCT(Doi_hinh!AK$60:AK$96,Don_vi_IP_AI!$M$5:$M$41)</f>
        <v/>
      </c>
      <c r="AL20" s="11">
        <f>SUMPRODUCT(Doi_hinh!AL$60:AL$96,Don_vi_IP_AI!$M$5:$M$41)</f>
        <v/>
      </c>
      <c r="AM20" s="11">
        <f>SUMPRODUCT(Doi_hinh!AM$60:AM$96,Don_vi_IP_AI!$M$5:$M$41)</f>
        <v/>
      </c>
    </row>
    <row r="21">
      <c r="B21" t="inlineStr">
        <is>
          <t>Chi phí dựng IP AI mới</t>
        </is>
      </c>
      <c r="C21" t="inlineStr">
        <is>
          <t>triệu VND</t>
        </is>
      </c>
      <c r="D21" s="11">
        <f>SUMPRODUCT(Doi_hinh!D$60:D$96,Don_vi_IP_AI!$N$5:$N$41)</f>
        <v/>
      </c>
      <c r="E21" s="11">
        <f>SUMPRODUCT(Doi_hinh!E$60:E$96,Don_vi_IP_AI!$N$5:$N$41)</f>
        <v/>
      </c>
      <c r="F21" s="11">
        <f>SUMPRODUCT(Doi_hinh!F$60:F$96,Don_vi_IP_AI!$N$5:$N$41)</f>
        <v/>
      </c>
      <c r="G21" s="11">
        <f>SUMPRODUCT(Doi_hinh!G$60:G$96,Don_vi_IP_AI!$N$5:$N$41)</f>
        <v/>
      </c>
      <c r="H21" s="11">
        <f>SUMPRODUCT(Doi_hinh!H$60:H$96,Don_vi_IP_AI!$N$5:$N$41)</f>
        <v/>
      </c>
      <c r="I21" s="11">
        <f>SUMPRODUCT(Doi_hinh!I$60:I$96,Don_vi_IP_AI!$N$5:$N$41)</f>
        <v/>
      </c>
      <c r="J21" s="11">
        <f>SUMPRODUCT(Doi_hinh!J$60:J$96,Don_vi_IP_AI!$N$5:$N$41)</f>
        <v/>
      </c>
      <c r="K21" s="11">
        <f>SUMPRODUCT(Doi_hinh!K$60:K$96,Don_vi_IP_AI!$N$5:$N$41)</f>
        <v/>
      </c>
      <c r="L21" s="11">
        <f>SUMPRODUCT(Doi_hinh!L$60:L$96,Don_vi_IP_AI!$N$5:$N$41)</f>
        <v/>
      </c>
      <c r="M21" s="11">
        <f>SUMPRODUCT(Doi_hinh!M$60:M$96,Don_vi_IP_AI!$N$5:$N$41)</f>
        <v/>
      </c>
      <c r="N21" s="11">
        <f>SUMPRODUCT(Doi_hinh!N$60:N$96,Don_vi_IP_AI!$N$5:$N$41)</f>
        <v/>
      </c>
      <c r="O21" s="11">
        <f>SUMPRODUCT(Doi_hinh!O$60:O$96,Don_vi_IP_AI!$N$5:$N$41)</f>
        <v/>
      </c>
      <c r="P21" s="11">
        <f>SUMPRODUCT(Doi_hinh!P$60:P$96,Don_vi_IP_AI!$N$5:$N$41)</f>
        <v/>
      </c>
      <c r="Q21" s="11">
        <f>SUMPRODUCT(Doi_hinh!Q$60:Q$96,Don_vi_IP_AI!$N$5:$N$41)</f>
        <v/>
      </c>
      <c r="R21" s="11">
        <f>SUMPRODUCT(Doi_hinh!R$60:R$96,Don_vi_IP_AI!$N$5:$N$41)</f>
        <v/>
      </c>
      <c r="S21" s="11">
        <f>SUMPRODUCT(Doi_hinh!S$60:S$96,Don_vi_IP_AI!$N$5:$N$41)</f>
        <v/>
      </c>
      <c r="T21" s="11">
        <f>SUMPRODUCT(Doi_hinh!T$60:T$96,Don_vi_IP_AI!$N$5:$N$41)</f>
        <v/>
      </c>
      <c r="U21" s="11">
        <f>SUMPRODUCT(Doi_hinh!U$60:U$96,Don_vi_IP_AI!$N$5:$N$41)</f>
        <v/>
      </c>
      <c r="V21" s="11">
        <f>SUMPRODUCT(Doi_hinh!V$60:V$96,Don_vi_IP_AI!$N$5:$N$41)</f>
        <v/>
      </c>
      <c r="W21" s="11">
        <f>SUMPRODUCT(Doi_hinh!W$60:W$96,Don_vi_IP_AI!$N$5:$N$41)</f>
        <v/>
      </c>
      <c r="X21" s="11">
        <f>SUMPRODUCT(Doi_hinh!X$60:X$96,Don_vi_IP_AI!$N$5:$N$41)</f>
        <v/>
      </c>
      <c r="Y21" s="11">
        <f>SUMPRODUCT(Doi_hinh!Y$60:Y$96,Don_vi_IP_AI!$N$5:$N$41)</f>
        <v/>
      </c>
      <c r="Z21" s="11">
        <f>SUMPRODUCT(Doi_hinh!Z$60:Z$96,Don_vi_IP_AI!$N$5:$N$41)</f>
        <v/>
      </c>
      <c r="AA21" s="11">
        <f>SUMPRODUCT(Doi_hinh!AA$60:AA$96,Don_vi_IP_AI!$N$5:$N$41)</f>
        <v/>
      </c>
      <c r="AB21" s="11">
        <f>SUMPRODUCT(Doi_hinh!AB$60:AB$96,Don_vi_IP_AI!$N$5:$N$41)</f>
        <v/>
      </c>
      <c r="AC21" s="11">
        <f>SUMPRODUCT(Doi_hinh!AC$60:AC$96,Don_vi_IP_AI!$N$5:$N$41)</f>
        <v/>
      </c>
      <c r="AD21" s="11">
        <f>SUMPRODUCT(Doi_hinh!AD$60:AD$96,Don_vi_IP_AI!$N$5:$N$41)</f>
        <v/>
      </c>
      <c r="AE21" s="11">
        <f>SUMPRODUCT(Doi_hinh!AE$60:AE$96,Don_vi_IP_AI!$N$5:$N$41)</f>
        <v/>
      </c>
      <c r="AF21" s="11">
        <f>SUMPRODUCT(Doi_hinh!AF$60:AF$96,Don_vi_IP_AI!$N$5:$N$41)</f>
        <v/>
      </c>
      <c r="AG21" s="11">
        <f>SUMPRODUCT(Doi_hinh!AG$60:AG$96,Don_vi_IP_AI!$N$5:$N$41)</f>
        <v/>
      </c>
      <c r="AH21" s="11">
        <f>SUMPRODUCT(Doi_hinh!AH$60:AH$96,Don_vi_IP_AI!$N$5:$N$41)</f>
        <v/>
      </c>
      <c r="AI21" s="11">
        <f>SUMPRODUCT(Doi_hinh!AI$60:AI$96,Don_vi_IP_AI!$N$5:$N$41)</f>
        <v/>
      </c>
      <c r="AJ21" s="11">
        <f>SUMPRODUCT(Doi_hinh!AJ$60:AJ$96,Don_vi_IP_AI!$N$5:$N$41)</f>
        <v/>
      </c>
      <c r="AK21" s="11">
        <f>SUMPRODUCT(Doi_hinh!AK$60:AK$96,Don_vi_IP_AI!$N$5:$N$41)</f>
        <v/>
      </c>
      <c r="AL21" s="11">
        <f>SUMPRODUCT(Doi_hinh!AL$60:AL$96,Don_vi_IP_AI!$N$5:$N$41)</f>
        <v/>
      </c>
      <c r="AM21" s="11">
        <f>SUMPRODUCT(Doi_hinh!AM$60:AM$96,Don_vi_IP_AI!$N$5:$N$41)</f>
        <v/>
      </c>
    </row>
    <row r="22">
      <c r="B22" s="2" t="inlineStr">
        <is>
          <t>Cộng chi phí trực tiếp — IP AI</t>
        </is>
      </c>
      <c r="C22" t="inlineStr">
        <is>
          <t>triệu VND</t>
        </is>
      </c>
      <c r="D22" s="34">
        <f>SUM(D17:D21)</f>
        <v/>
      </c>
      <c r="E22" s="34">
        <f>SUM(E17:E21)</f>
        <v/>
      </c>
      <c r="F22" s="34">
        <f>SUM(F17:F21)</f>
        <v/>
      </c>
      <c r="G22" s="34">
        <f>SUM(G17:G21)</f>
        <v/>
      </c>
      <c r="H22" s="34">
        <f>SUM(H17:H21)</f>
        <v/>
      </c>
      <c r="I22" s="34">
        <f>SUM(I17:I21)</f>
        <v/>
      </c>
      <c r="J22" s="34">
        <f>SUM(J17:J21)</f>
        <v/>
      </c>
      <c r="K22" s="34">
        <f>SUM(K17:K21)</f>
        <v/>
      </c>
      <c r="L22" s="34">
        <f>SUM(L17:L21)</f>
        <v/>
      </c>
      <c r="M22" s="34">
        <f>SUM(M17:M21)</f>
        <v/>
      </c>
      <c r="N22" s="34">
        <f>SUM(N17:N21)</f>
        <v/>
      </c>
      <c r="O22" s="34">
        <f>SUM(O17:O21)</f>
        <v/>
      </c>
      <c r="P22" s="34">
        <f>SUM(P17:P21)</f>
        <v/>
      </c>
      <c r="Q22" s="34">
        <f>SUM(Q17:Q21)</f>
        <v/>
      </c>
      <c r="R22" s="34">
        <f>SUM(R17:R21)</f>
        <v/>
      </c>
      <c r="S22" s="34">
        <f>SUM(S17:S21)</f>
        <v/>
      </c>
      <c r="T22" s="34">
        <f>SUM(T17:T21)</f>
        <v/>
      </c>
      <c r="U22" s="34">
        <f>SUM(U17:U21)</f>
        <v/>
      </c>
      <c r="V22" s="34">
        <f>SUM(V17:V21)</f>
        <v/>
      </c>
      <c r="W22" s="34">
        <f>SUM(W17:W21)</f>
        <v/>
      </c>
      <c r="X22" s="34">
        <f>SUM(X17:X21)</f>
        <v/>
      </c>
      <c r="Y22" s="34">
        <f>SUM(Y17:Y21)</f>
        <v/>
      </c>
      <c r="Z22" s="34">
        <f>SUM(Z17:Z21)</f>
        <v/>
      </c>
      <c r="AA22" s="34">
        <f>SUM(AA17:AA21)</f>
        <v/>
      </c>
      <c r="AB22" s="34">
        <f>SUM(AB17:AB21)</f>
        <v/>
      </c>
      <c r="AC22" s="34">
        <f>SUM(AC17:AC21)</f>
        <v/>
      </c>
      <c r="AD22" s="34">
        <f>SUM(AD17:AD21)</f>
        <v/>
      </c>
      <c r="AE22" s="34">
        <f>SUM(AE17:AE21)</f>
        <v/>
      </c>
      <c r="AF22" s="34">
        <f>SUM(AF17:AF21)</f>
        <v/>
      </c>
      <c r="AG22" s="34">
        <f>SUM(AG17:AG21)</f>
        <v/>
      </c>
      <c r="AH22" s="34">
        <f>SUM(AH17:AH21)</f>
        <v/>
      </c>
      <c r="AI22" s="34">
        <f>SUM(AI17:AI21)</f>
        <v/>
      </c>
      <c r="AJ22" s="34">
        <f>SUM(AJ17:AJ21)</f>
        <v/>
      </c>
      <c r="AK22" s="34">
        <f>SUM(AK17:AK21)</f>
        <v/>
      </c>
      <c r="AL22" s="34">
        <f>SUM(AL17:AL21)</f>
        <v/>
      </c>
      <c r="AM22" s="34">
        <f>SUM(AM17:AM21)</f>
        <v/>
      </c>
    </row>
    <row r="24">
      <c r="B24" s="2" t="inlineStr">
        <is>
          <t>TỔNG CHI PHÍ TRỰC TIẾP</t>
        </is>
      </c>
      <c r="C24" t="inlineStr">
        <is>
          <t>triệu VND</t>
        </is>
      </c>
      <c r="D24" s="34">
        <f>D14+D22</f>
        <v/>
      </c>
      <c r="E24" s="34">
        <f>E14+E22</f>
        <v/>
      </c>
      <c r="F24" s="34">
        <f>F14+F22</f>
        <v/>
      </c>
      <c r="G24" s="34">
        <f>G14+G22</f>
        <v/>
      </c>
      <c r="H24" s="34">
        <f>H14+H22</f>
        <v/>
      </c>
      <c r="I24" s="34">
        <f>I14+I22</f>
        <v/>
      </c>
      <c r="J24" s="34">
        <f>J14+J22</f>
        <v/>
      </c>
      <c r="K24" s="34">
        <f>K14+K22</f>
        <v/>
      </c>
      <c r="L24" s="34">
        <f>L14+L22</f>
        <v/>
      </c>
      <c r="M24" s="34">
        <f>M14+M22</f>
        <v/>
      </c>
      <c r="N24" s="34">
        <f>N14+N22</f>
        <v/>
      </c>
      <c r="O24" s="34">
        <f>O14+O22</f>
        <v/>
      </c>
      <c r="P24" s="34">
        <f>P14+P22</f>
        <v/>
      </c>
      <c r="Q24" s="34">
        <f>Q14+Q22</f>
        <v/>
      </c>
      <c r="R24" s="34">
        <f>R14+R22</f>
        <v/>
      </c>
      <c r="S24" s="34">
        <f>S14+S22</f>
        <v/>
      </c>
      <c r="T24" s="34">
        <f>T14+T22</f>
        <v/>
      </c>
      <c r="U24" s="34">
        <f>U14+U22</f>
        <v/>
      </c>
      <c r="V24" s="34">
        <f>V14+V22</f>
        <v/>
      </c>
      <c r="W24" s="34">
        <f>W14+W22</f>
        <v/>
      </c>
      <c r="X24" s="34">
        <f>X14+X22</f>
        <v/>
      </c>
      <c r="Y24" s="34">
        <f>Y14+Y22</f>
        <v/>
      </c>
      <c r="Z24" s="34">
        <f>Z14+Z22</f>
        <v/>
      </c>
      <c r="AA24" s="34">
        <f>AA14+AA22</f>
        <v/>
      </c>
      <c r="AB24" s="34">
        <f>AB14+AB22</f>
        <v/>
      </c>
      <c r="AC24" s="34">
        <f>AC14+AC22</f>
        <v/>
      </c>
      <c r="AD24" s="34">
        <f>AD14+AD22</f>
        <v/>
      </c>
      <c r="AE24" s="34">
        <f>AE14+AE22</f>
        <v/>
      </c>
      <c r="AF24" s="34">
        <f>AF14+AF22</f>
        <v/>
      </c>
      <c r="AG24" s="34">
        <f>AG14+AG22</f>
        <v/>
      </c>
      <c r="AH24" s="34">
        <f>AH14+AH22</f>
        <v/>
      </c>
      <c r="AI24" s="34">
        <f>AI14+AI22</f>
        <v/>
      </c>
      <c r="AJ24" s="34">
        <f>AJ14+AJ22</f>
        <v/>
      </c>
      <c r="AK24" s="34">
        <f>AK14+AK22</f>
        <v/>
      </c>
      <c r="AL24" s="34">
        <f>AL14+AL22</f>
        <v/>
      </c>
      <c r="AM24" s="34">
        <f>AM14+AM22</f>
        <v/>
      </c>
    </row>
    <row r="26">
      <c r="B26" s="4" t="inlineStr">
        <is>
          <t>3. NHÂN SỰ TẦNG CÔNG TY (người)</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row>
    <row r="27">
      <c r="B27" t="inlineStr">
        <is>
          <t>BOD / quản lý cấp cao</t>
        </is>
      </c>
      <c r="C27" t="inlineStr">
        <is>
          <t>nguoi</t>
        </is>
      </c>
      <c r="D27" s="11">
        <f>Gia_dinh!$F$69</f>
        <v/>
      </c>
      <c r="E27" s="11">
        <f>Gia_dinh!$F$69</f>
        <v/>
      </c>
      <c r="F27" s="11">
        <f>Gia_dinh!$F$69</f>
        <v/>
      </c>
      <c r="G27" s="11">
        <f>Gia_dinh!$F$69</f>
        <v/>
      </c>
      <c r="H27" s="11">
        <f>Gia_dinh!$F$69</f>
        <v/>
      </c>
      <c r="I27" s="11">
        <f>Gia_dinh!$F$69</f>
        <v/>
      </c>
      <c r="J27" s="11">
        <f>Gia_dinh!$F$69</f>
        <v/>
      </c>
      <c r="K27" s="11">
        <f>Gia_dinh!$F$69</f>
        <v/>
      </c>
      <c r="L27" s="11">
        <f>Gia_dinh!$F$69</f>
        <v/>
      </c>
      <c r="M27" s="11">
        <f>Gia_dinh!$F$69</f>
        <v/>
      </c>
      <c r="N27" s="11">
        <f>Gia_dinh!$F$69</f>
        <v/>
      </c>
      <c r="O27" s="11">
        <f>Gia_dinh!$F$69</f>
        <v/>
      </c>
      <c r="P27" s="11">
        <f>Gia_dinh!$F$69</f>
        <v/>
      </c>
      <c r="Q27" s="11">
        <f>Gia_dinh!$F$69</f>
        <v/>
      </c>
      <c r="R27" s="11">
        <f>Gia_dinh!$F$69</f>
        <v/>
      </c>
      <c r="S27" s="11">
        <f>Gia_dinh!$F$69</f>
        <v/>
      </c>
      <c r="T27" s="11">
        <f>Gia_dinh!$F$69</f>
        <v/>
      </c>
      <c r="U27" s="11">
        <f>Gia_dinh!$F$69</f>
        <v/>
      </c>
      <c r="V27" s="11">
        <f>Gia_dinh!$F$69</f>
        <v/>
      </c>
      <c r="W27" s="11">
        <f>Gia_dinh!$F$69</f>
        <v/>
      </c>
      <c r="X27" s="11">
        <f>Gia_dinh!$F$69</f>
        <v/>
      </c>
      <c r="Y27" s="11">
        <f>Gia_dinh!$F$69</f>
        <v/>
      </c>
      <c r="Z27" s="11">
        <f>Gia_dinh!$F$69</f>
        <v/>
      </c>
      <c r="AA27" s="11">
        <f>Gia_dinh!$F$69</f>
        <v/>
      </c>
      <c r="AB27" s="11">
        <f>Gia_dinh!$F$69</f>
        <v/>
      </c>
      <c r="AC27" s="11">
        <f>Gia_dinh!$F$69</f>
        <v/>
      </c>
      <c r="AD27" s="11">
        <f>Gia_dinh!$F$69</f>
        <v/>
      </c>
      <c r="AE27" s="11">
        <f>Gia_dinh!$F$69</f>
        <v/>
      </c>
      <c r="AF27" s="11">
        <f>Gia_dinh!$F$69</f>
        <v/>
      </c>
      <c r="AG27" s="11">
        <f>Gia_dinh!$F$69</f>
        <v/>
      </c>
      <c r="AH27" s="11">
        <f>Gia_dinh!$F$69</f>
        <v/>
      </c>
      <c r="AI27" s="11">
        <f>Gia_dinh!$F$69</f>
        <v/>
      </c>
      <c r="AJ27" s="11">
        <f>Gia_dinh!$F$69</f>
        <v/>
      </c>
      <c r="AK27" s="11">
        <f>Gia_dinh!$F$69</f>
        <v/>
      </c>
      <c r="AL27" s="11">
        <f>Gia_dinh!$F$69</f>
        <v/>
      </c>
      <c r="AM27" s="11">
        <f>Gia_dinh!$F$69</f>
        <v/>
      </c>
    </row>
    <row r="28">
      <c r="B28" t="inlineStr">
        <is>
          <t>BD / sales tìm nhãn hàng</t>
        </is>
      </c>
      <c r="C28" t="inlineStr">
        <is>
          <t>nguoi</t>
        </is>
      </c>
      <c r="D28" s="11">
        <f>MAX(2,ROUNDUP(Doanh_thu!D10/Gia_dinh!$F$71,0))</f>
        <v/>
      </c>
      <c r="E28" s="11">
        <f>MAX(2,ROUNDUP(Doanh_thu!E10/Gia_dinh!$F$71,0))</f>
        <v/>
      </c>
      <c r="F28" s="11">
        <f>MAX(2,ROUNDUP(Doanh_thu!F10/Gia_dinh!$F$71,0))</f>
        <v/>
      </c>
      <c r="G28" s="11">
        <f>MAX(2,ROUNDUP(Doanh_thu!G10/Gia_dinh!$F$71,0))</f>
        <v/>
      </c>
      <c r="H28" s="11">
        <f>MAX(2,ROUNDUP(Doanh_thu!H10/Gia_dinh!$F$71,0))</f>
        <v/>
      </c>
      <c r="I28" s="11">
        <f>MAX(2,ROUNDUP(Doanh_thu!I10/Gia_dinh!$F$71,0))</f>
        <v/>
      </c>
      <c r="J28" s="11">
        <f>MAX(2,ROUNDUP(Doanh_thu!J10/Gia_dinh!$F$71,0))</f>
        <v/>
      </c>
      <c r="K28" s="11">
        <f>MAX(2,ROUNDUP(Doanh_thu!K10/Gia_dinh!$F$71,0))</f>
        <v/>
      </c>
      <c r="L28" s="11">
        <f>MAX(2,ROUNDUP(Doanh_thu!L10/Gia_dinh!$F$71,0))</f>
        <v/>
      </c>
      <c r="M28" s="11">
        <f>MAX(2,ROUNDUP(Doanh_thu!M10/Gia_dinh!$F$71,0))</f>
        <v/>
      </c>
      <c r="N28" s="11">
        <f>MAX(2,ROUNDUP(Doanh_thu!N10/Gia_dinh!$F$71,0))</f>
        <v/>
      </c>
      <c r="O28" s="11">
        <f>MAX(2,ROUNDUP(Doanh_thu!O10/Gia_dinh!$F$71,0))</f>
        <v/>
      </c>
      <c r="P28" s="11">
        <f>MAX(2,ROUNDUP(Doanh_thu!P10/Gia_dinh!$F$71,0))</f>
        <v/>
      </c>
      <c r="Q28" s="11">
        <f>MAX(2,ROUNDUP(Doanh_thu!Q10/Gia_dinh!$F$71,0))</f>
        <v/>
      </c>
      <c r="R28" s="11">
        <f>MAX(2,ROUNDUP(Doanh_thu!R10/Gia_dinh!$F$71,0))</f>
        <v/>
      </c>
      <c r="S28" s="11">
        <f>MAX(2,ROUNDUP(Doanh_thu!S10/Gia_dinh!$F$71,0))</f>
        <v/>
      </c>
      <c r="T28" s="11">
        <f>MAX(2,ROUNDUP(Doanh_thu!T10/Gia_dinh!$F$71,0))</f>
        <v/>
      </c>
      <c r="U28" s="11">
        <f>MAX(2,ROUNDUP(Doanh_thu!U10/Gia_dinh!$F$71,0))</f>
        <v/>
      </c>
      <c r="V28" s="11">
        <f>MAX(2,ROUNDUP(Doanh_thu!V10/Gia_dinh!$F$71,0))</f>
        <v/>
      </c>
      <c r="W28" s="11">
        <f>MAX(2,ROUNDUP(Doanh_thu!W10/Gia_dinh!$F$71,0))</f>
        <v/>
      </c>
      <c r="X28" s="11">
        <f>MAX(2,ROUNDUP(Doanh_thu!X10/Gia_dinh!$F$71,0))</f>
        <v/>
      </c>
      <c r="Y28" s="11">
        <f>MAX(2,ROUNDUP(Doanh_thu!Y10/Gia_dinh!$F$71,0))</f>
        <v/>
      </c>
      <c r="Z28" s="11">
        <f>MAX(2,ROUNDUP(Doanh_thu!Z10/Gia_dinh!$F$71,0))</f>
        <v/>
      </c>
      <c r="AA28" s="11">
        <f>MAX(2,ROUNDUP(Doanh_thu!AA10/Gia_dinh!$F$71,0))</f>
        <v/>
      </c>
      <c r="AB28" s="11">
        <f>MAX(2,ROUNDUP(Doanh_thu!AB10/Gia_dinh!$F$71,0))</f>
        <v/>
      </c>
      <c r="AC28" s="11">
        <f>MAX(2,ROUNDUP(Doanh_thu!AC10/Gia_dinh!$F$71,0))</f>
        <v/>
      </c>
      <c r="AD28" s="11">
        <f>MAX(2,ROUNDUP(Doanh_thu!AD10/Gia_dinh!$F$71,0))</f>
        <v/>
      </c>
      <c r="AE28" s="11">
        <f>MAX(2,ROUNDUP(Doanh_thu!AE10/Gia_dinh!$F$71,0))</f>
        <v/>
      </c>
      <c r="AF28" s="11">
        <f>MAX(2,ROUNDUP(Doanh_thu!AF10/Gia_dinh!$F$71,0))</f>
        <v/>
      </c>
      <c r="AG28" s="11">
        <f>MAX(2,ROUNDUP(Doanh_thu!AG10/Gia_dinh!$F$71,0))</f>
        <v/>
      </c>
      <c r="AH28" s="11">
        <f>MAX(2,ROUNDUP(Doanh_thu!AH10/Gia_dinh!$F$71,0))</f>
        <v/>
      </c>
      <c r="AI28" s="11">
        <f>MAX(2,ROUNDUP(Doanh_thu!AI10/Gia_dinh!$F$71,0))</f>
        <v/>
      </c>
      <c r="AJ28" s="11">
        <f>MAX(2,ROUNDUP(Doanh_thu!AJ10/Gia_dinh!$F$71,0))</f>
        <v/>
      </c>
      <c r="AK28" s="11">
        <f>MAX(2,ROUNDUP(Doanh_thu!AK10/Gia_dinh!$F$71,0))</f>
        <v/>
      </c>
      <c r="AL28" s="11">
        <f>MAX(2,ROUNDUP(Doanh_thu!AL10/Gia_dinh!$F$71,0))</f>
        <v/>
      </c>
      <c r="AM28" s="11">
        <f>MAX(2,ROUNDUP(Doanh_thu!AM10/Gia_dinh!$F$71,0))</f>
        <v/>
      </c>
    </row>
    <row r="29">
      <c r="B29" t="inlineStr">
        <is>
          <t>Tuyển dụng &amp; đào tạo IP</t>
        </is>
      </c>
      <c r="C29" t="inlineStr">
        <is>
          <t>nguoi</t>
        </is>
      </c>
      <c r="D29" s="11">
        <f>MAX(1,ROUNDUP(Doanh_thu!D12/Gia_dinh!$F$73,0))</f>
        <v/>
      </c>
      <c r="E29" s="11">
        <f>MAX(1,ROUNDUP(Doanh_thu!E12/Gia_dinh!$F$73,0))</f>
        <v/>
      </c>
      <c r="F29" s="11">
        <f>MAX(1,ROUNDUP(Doanh_thu!F12/Gia_dinh!$F$73,0))</f>
        <v/>
      </c>
      <c r="G29" s="11">
        <f>MAX(1,ROUNDUP(Doanh_thu!G12/Gia_dinh!$F$73,0))</f>
        <v/>
      </c>
      <c r="H29" s="11">
        <f>MAX(1,ROUNDUP(Doanh_thu!H12/Gia_dinh!$F$73,0))</f>
        <v/>
      </c>
      <c r="I29" s="11">
        <f>MAX(1,ROUNDUP(Doanh_thu!I12/Gia_dinh!$F$73,0))</f>
        <v/>
      </c>
      <c r="J29" s="11">
        <f>MAX(1,ROUNDUP(Doanh_thu!J12/Gia_dinh!$F$73,0))</f>
        <v/>
      </c>
      <c r="K29" s="11">
        <f>MAX(1,ROUNDUP(Doanh_thu!K12/Gia_dinh!$F$73,0))</f>
        <v/>
      </c>
      <c r="L29" s="11">
        <f>MAX(1,ROUNDUP(Doanh_thu!L12/Gia_dinh!$F$73,0))</f>
        <v/>
      </c>
      <c r="M29" s="11">
        <f>MAX(1,ROUNDUP(Doanh_thu!M12/Gia_dinh!$F$73,0))</f>
        <v/>
      </c>
      <c r="N29" s="11">
        <f>MAX(1,ROUNDUP(Doanh_thu!N12/Gia_dinh!$F$73,0))</f>
        <v/>
      </c>
      <c r="O29" s="11">
        <f>MAX(1,ROUNDUP(Doanh_thu!O12/Gia_dinh!$F$73,0))</f>
        <v/>
      </c>
      <c r="P29" s="11">
        <f>MAX(1,ROUNDUP(Doanh_thu!P12/Gia_dinh!$F$73,0))</f>
        <v/>
      </c>
      <c r="Q29" s="11">
        <f>MAX(1,ROUNDUP(Doanh_thu!Q12/Gia_dinh!$F$73,0))</f>
        <v/>
      </c>
      <c r="R29" s="11">
        <f>MAX(1,ROUNDUP(Doanh_thu!R12/Gia_dinh!$F$73,0))</f>
        <v/>
      </c>
      <c r="S29" s="11">
        <f>MAX(1,ROUNDUP(Doanh_thu!S12/Gia_dinh!$F$73,0))</f>
        <v/>
      </c>
      <c r="T29" s="11">
        <f>MAX(1,ROUNDUP(Doanh_thu!T12/Gia_dinh!$F$73,0))</f>
        <v/>
      </c>
      <c r="U29" s="11">
        <f>MAX(1,ROUNDUP(Doanh_thu!U12/Gia_dinh!$F$73,0))</f>
        <v/>
      </c>
      <c r="V29" s="11">
        <f>MAX(1,ROUNDUP(Doanh_thu!V12/Gia_dinh!$F$73,0))</f>
        <v/>
      </c>
      <c r="W29" s="11">
        <f>MAX(1,ROUNDUP(Doanh_thu!W12/Gia_dinh!$F$73,0))</f>
        <v/>
      </c>
      <c r="X29" s="11">
        <f>MAX(1,ROUNDUP(Doanh_thu!X12/Gia_dinh!$F$73,0))</f>
        <v/>
      </c>
      <c r="Y29" s="11">
        <f>MAX(1,ROUNDUP(Doanh_thu!Y12/Gia_dinh!$F$73,0))</f>
        <v/>
      </c>
      <c r="Z29" s="11">
        <f>MAX(1,ROUNDUP(Doanh_thu!Z12/Gia_dinh!$F$73,0))</f>
        <v/>
      </c>
      <c r="AA29" s="11">
        <f>MAX(1,ROUNDUP(Doanh_thu!AA12/Gia_dinh!$F$73,0))</f>
        <v/>
      </c>
      <c r="AB29" s="11">
        <f>MAX(1,ROUNDUP(Doanh_thu!AB12/Gia_dinh!$F$73,0))</f>
        <v/>
      </c>
      <c r="AC29" s="11">
        <f>MAX(1,ROUNDUP(Doanh_thu!AC12/Gia_dinh!$F$73,0))</f>
        <v/>
      </c>
      <c r="AD29" s="11">
        <f>MAX(1,ROUNDUP(Doanh_thu!AD12/Gia_dinh!$F$73,0))</f>
        <v/>
      </c>
      <c r="AE29" s="11">
        <f>MAX(1,ROUNDUP(Doanh_thu!AE12/Gia_dinh!$F$73,0))</f>
        <v/>
      </c>
      <c r="AF29" s="11">
        <f>MAX(1,ROUNDUP(Doanh_thu!AF12/Gia_dinh!$F$73,0))</f>
        <v/>
      </c>
      <c r="AG29" s="11">
        <f>MAX(1,ROUNDUP(Doanh_thu!AG12/Gia_dinh!$F$73,0))</f>
        <v/>
      </c>
      <c r="AH29" s="11">
        <f>MAX(1,ROUNDUP(Doanh_thu!AH12/Gia_dinh!$F$73,0))</f>
        <v/>
      </c>
      <c r="AI29" s="11">
        <f>MAX(1,ROUNDUP(Doanh_thu!AI12/Gia_dinh!$F$73,0))</f>
        <v/>
      </c>
      <c r="AJ29" s="11">
        <f>MAX(1,ROUNDUP(Doanh_thu!AJ12/Gia_dinh!$F$73,0))</f>
        <v/>
      </c>
      <c r="AK29" s="11">
        <f>MAX(1,ROUNDUP(Doanh_thu!AK12/Gia_dinh!$F$73,0))</f>
        <v/>
      </c>
      <c r="AL29" s="11">
        <f>MAX(1,ROUNDUP(Doanh_thu!AL12/Gia_dinh!$F$73,0))</f>
        <v/>
      </c>
      <c r="AM29" s="11">
        <f>MAX(1,ROUNDUP(Doanh_thu!AM12/Gia_dinh!$F$73,0))</f>
        <v/>
      </c>
    </row>
    <row r="30">
      <c r="B30" t="inlineStr">
        <is>
          <t>Kỹ sư AI / công nghệ</t>
        </is>
      </c>
      <c r="C30" t="inlineStr">
        <is>
          <t>nguoi</t>
        </is>
      </c>
      <c r="D30" s="11">
        <f>IF(1&lt;Gia_dinh!$F$13-Gia_dinh!$F$75,0,Gia_dinh!$F$76+ROUNDUP(Doanh_thu!D11/Gia_dinh!$F$77,0))</f>
        <v/>
      </c>
      <c r="E30" s="11">
        <f>IF(2&lt;Gia_dinh!$F$13-Gia_dinh!$F$75,0,Gia_dinh!$F$76+ROUNDUP(Doanh_thu!E11/Gia_dinh!$F$77,0))</f>
        <v/>
      </c>
      <c r="F30" s="11">
        <f>IF(3&lt;Gia_dinh!$F$13-Gia_dinh!$F$75,0,Gia_dinh!$F$76+ROUNDUP(Doanh_thu!F11/Gia_dinh!$F$77,0))</f>
        <v/>
      </c>
      <c r="G30" s="11">
        <f>IF(4&lt;Gia_dinh!$F$13-Gia_dinh!$F$75,0,Gia_dinh!$F$76+ROUNDUP(Doanh_thu!G11/Gia_dinh!$F$77,0))</f>
        <v/>
      </c>
      <c r="H30" s="11">
        <f>IF(5&lt;Gia_dinh!$F$13-Gia_dinh!$F$75,0,Gia_dinh!$F$76+ROUNDUP(Doanh_thu!H11/Gia_dinh!$F$77,0))</f>
        <v/>
      </c>
      <c r="I30" s="11">
        <f>IF(6&lt;Gia_dinh!$F$13-Gia_dinh!$F$75,0,Gia_dinh!$F$76+ROUNDUP(Doanh_thu!I11/Gia_dinh!$F$77,0))</f>
        <v/>
      </c>
      <c r="J30" s="11">
        <f>IF(7&lt;Gia_dinh!$F$13-Gia_dinh!$F$75,0,Gia_dinh!$F$76+ROUNDUP(Doanh_thu!J11/Gia_dinh!$F$77,0))</f>
        <v/>
      </c>
      <c r="K30" s="11">
        <f>IF(8&lt;Gia_dinh!$F$13-Gia_dinh!$F$75,0,Gia_dinh!$F$76+ROUNDUP(Doanh_thu!K11/Gia_dinh!$F$77,0))</f>
        <v/>
      </c>
      <c r="L30" s="11">
        <f>IF(9&lt;Gia_dinh!$F$13-Gia_dinh!$F$75,0,Gia_dinh!$F$76+ROUNDUP(Doanh_thu!L11/Gia_dinh!$F$77,0))</f>
        <v/>
      </c>
      <c r="M30" s="11">
        <f>IF(10&lt;Gia_dinh!$F$13-Gia_dinh!$F$75,0,Gia_dinh!$F$76+ROUNDUP(Doanh_thu!M11/Gia_dinh!$F$77,0))</f>
        <v/>
      </c>
      <c r="N30" s="11">
        <f>IF(11&lt;Gia_dinh!$F$13-Gia_dinh!$F$75,0,Gia_dinh!$F$76+ROUNDUP(Doanh_thu!N11/Gia_dinh!$F$77,0))</f>
        <v/>
      </c>
      <c r="O30" s="11">
        <f>IF(12&lt;Gia_dinh!$F$13-Gia_dinh!$F$75,0,Gia_dinh!$F$76+ROUNDUP(Doanh_thu!O11/Gia_dinh!$F$77,0))</f>
        <v/>
      </c>
      <c r="P30" s="11">
        <f>IF(13&lt;Gia_dinh!$F$13-Gia_dinh!$F$75,0,Gia_dinh!$F$76+ROUNDUP(Doanh_thu!P11/Gia_dinh!$F$77,0))</f>
        <v/>
      </c>
      <c r="Q30" s="11">
        <f>IF(14&lt;Gia_dinh!$F$13-Gia_dinh!$F$75,0,Gia_dinh!$F$76+ROUNDUP(Doanh_thu!Q11/Gia_dinh!$F$77,0))</f>
        <v/>
      </c>
      <c r="R30" s="11">
        <f>IF(15&lt;Gia_dinh!$F$13-Gia_dinh!$F$75,0,Gia_dinh!$F$76+ROUNDUP(Doanh_thu!R11/Gia_dinh!$F$77,0))</f>
        <v/>
      </c>
      <c r="S30" s="11">
        <f>IF(16&lt;Gia_dinh!$F$13-Gia_dinh!$F$75,0,Gia_dinh!$F$76+ROUNDUP(Doanh_thu!S11/Gia_dinh!$F$77,0))</f>
        <v/>
      </c>
      <c r="T30" s="11">
        <f>IF(17&lt;Gia_dinh!$F$13-Gia_dinh!$F$75,0,Gia_dinh!$F$76+ROUNDUP(Doanh_thu!T11/Gia_dinh!$F$77,0))</f>
        <v/>
      </c>
      <c r="U30" s="11">
        <f>IF(18&lt;Gia_dinh!$F$13-Gia_dinh!$F$75,0,Gia_dinh!$F$76+ROUNDUP(Doanh_thu!U11/Gia_dinh!$F$77,0))</f>
        <v/>
      </c>
      <c r="V30" s="11">
        <f>IF(19&lt;Gia_dinh!$F$13-Gia_dinh!$F$75,0,Gia_dinh!$F$76+ROUNDUP(Doanh_thu!V11/Gia_dinh!$F$77,0))</f>
        <v/>
      </c>
      <c r="W30" s="11">
        <f>IF(20&lt;Gia_dinh!$F$13-Gia_dinh!$F$75,0,Gia_dinh!$F$76+ROUNDUP(Doanh_thu!W11/Gia_dinh!$F$77,0))</f>
        <v/>
      </c>
      <c r="X30" s="11">
        <f>IF(21&lt;Gia_dinh!$F$13-Gia_dinh!$F$75,0,Gia_dinh!$F$76+ROUNDUP(Doanh_thu!X11/Gia_dinh!$F$77,0))</f>
        <v/>
      </c>
      <c r="Y30" s="11">
        <f>IF(22&lt;Gia_dinh!$F$13-Gia_dinh!$F$75,0,Gia_dinh!$F$76+ROUNDUP(Doanh_thu!Y11/Gia_dinh!$F$77,0))</f>
        <v/>
      </c>
      <c r="Z30" s="11">
        <f>IF(23&lt;Gia_dinh!$F$13-Gia_dinh!$F$75,0,Gia_dinh!$F$76+ROUNDUP(Doanh_thu!Z11/Gia_dinh!$F$77,0))</f>
        <v/>
      </c>
      <c r="AA30" s="11">
        <f>IF(24&lt;Gia_dinh!$F$13-Gia_dinh!$F$75,0,Gia_dinh!$F$76+ROUNDUP(Doanh_thu!AA11/Gia_dinh!$F$77,0))</f>
        <v/>
      </c>
      <c r="AB30" s="11">
        <f>IF(25&lt;Gia_dinh!$F$13-Gia_dinh!$F$75,0,Gia_dinh!$F$76+ROUNDUP(Doanh_thu!AB11/Gia_dinh!$F$77,0))</f>
        <v/>
      </c>
      <c r="AC30" s="11">
        <f>IF(26&lt;Gia_dinh!$F$13-Gia_dinh!$F$75,0,Gia_dinh!$F$76+ROUNDUP(Doanh_thu!AC11/Gia_dinh!$F$77,0))</f>
        <v/>
      </c>
      <c r="AD30" s="11">
        <f>IF(27&lt;Gia_dinh!$F$13-Gia_dinh!$F$75,0,Gia_dinh!$F$76+ROUNDUP(Doanh_thu!AD11/Gia_dinh!$F$77,0))</f>
        <v/>
      </c>
      <c r="AE30" s="11">
        <f>IF(28&lt;Gia_dinh!$F$13-Gia_dinh!$F$75,0,Gia_dinh!$F$76+ROUNDUP(Doanh_thu!AE11/Gia_dinh!$F$77,0))</f>
        <v/>
      </c>
      <c r="AF30" s="11">
        <f>IF(29&lt;Gia_dinh!$F$13-Gia_dinh!$F$75,0,Gia_dinh!$F$76+ROUNDUP(Doanh_thu!AF11/Gia_dinh!$F$77,0))</f>
        <v/>
      </c>
      <c r="AG30" s="11">
        <f>IF(30&lt;Gia_dinh!$F$13-Gia_dinh!$F$75,0,Gia_dinh!$F$76+ROUNDUP(Doanh_thu!AG11/Gia_dinh!$F$77,0))</f>
        <v/>
      </c>
      <c r="AH30" s="11">
        <f>IF(31&lt;Gia_dinh!$F$13-Gia_dinh!$F$75,0,Gia_dinh!$F$76+ROUNDUP(Doanh_thu!AH11/Gia_dinh!$F$77,0))</f>
        <v/>
      </c>
      <c r="AI30" s="11">
        <f>IF(32&lt;Gia_dinh!$F$13-Gia_dinh!$F$75,0,Gia_dinh!$F$76+ROUNDUP(Doanh_thu!AI11/Gia_dinh!$F$77,0))</f>
        <v/>
      </c>
      <c r="AJ30" s="11">
        <f>IF(33&lt;Gia_dinh!$F$13-Gia_dinh!$F$75,0,Gia_dinh!$F$76+ROUNDUP(Doanh_thu!AJ11/Gia_dinh!$F$77,0))</f>
        <v/>
      </c>
      <c r="AK30" s="11">
        <f>IF(34&lt;Gia_dinh!$F$13-Gia_dinh!$F$75,0,Gia_dinh!$F$76+ROUNDUP(Doanh_thu!AK11/Gia_dinh!$F$77,0))</f>
        <v/>
      </c>
      <c r="AL30" s="11">
        <f>IF(35&lt;Gia_dinh!$F$13-Gia_dinh!$F$75,0,Gia_dinh!$F$76+ROUNDUP(Doanh_thu!AL11/Gia_dinh!$F$77,0))</f>
        <v/>
      </c>
      <c r="AM30" s="11">
        <f>IF(36&lt;Gia_dinh!$F$13-Gia_dinh!$F$75,0,Gia_dinh!$F$76+ROUNDUP(Doanh_thu!AM11/Gia_dinh!$F$77,0))</f>
        <v/>
      </c>
    </row>
    <row r="31">
      <c r="B31" t="inlineStr">
        <is>
          <t>Back office (kế toán, HR, hành chính)</t>
        </is>
      </c>
      <c r="C31" t="inlineStr">
        <is>
          <t>nguoi</t>
        </is>
      </c>
      <c r="D31" s="11">
        <f>MAX(Gia_dinh!$F$79,ROUNDUP(SUM(D27:D30)/Gia_dinh!$F$80,0))</f>
        <v/>
      </c>
      <c r="E31" s="11">
        <f>MAX(Gia_dinh!$F$79,ROUNDUP(SUM(E27:E30)/Gia_dinh!$F$80,0))</f>
        <v/>
      </c>
      <c r="F31" s="11">
        <f>MAX(Gia_dinh!$F$79,ROUNDUP(SUM(F27:F30)/Gia_dinh!$F$80,0))</f>
        <v/>
      </c>
      <c r="G31" s="11">
        <f>MAX(Gia_dinh!$F$79,ROUNDUP(SUM(G27:G30)/Gia_dinh!$F$80,0))</f>
        <v/>
      </c>
      <c r="H31" s="11">
        <f>MAX(Gia_dinh!$F$79,ROUNDUP(SUM(H27:H30)/Gia_dinh!$F$80,0))</f>
        <v/>
      </c>
      <c r="I31" s="11">
        <f>MAX(Gia_dinh!$F$79,ROUNDUP(SUM(I27:I30)/Gia_dinh!$F$80,0))</f>
        <v/>
      </c>
      <c r="J31" s="11">
        <f>MAX(Gia_dinh!$F$79,ROUNDUP(SUM(J27:J30)/Gia_dinh!$F$80,0))</f>
        <v/>
      </c>
      <c r="K31" s="11">
        <f>MAX(Gia_dinh!$F$79,ROUNDUP(SUM(K27:K30)/Gia_dinh!$F$80,0))</f>
        <v/>
      </c>
      <c r="L31" s="11">
        <f>MAX(Gia_dinh!$F$79,ROUNDUP(SUM(L27:L30)/Gia_dinh!$F$80,0))</f>
        <v/>
      </c>
      <c r="M31" s="11">
        <f>MAX(Gia_dinh!$F$79,ROUNDUP(SUM(M27:M30)/Gia_dinh!$F$80,0))</f>
        <v/>
      </c>
      <c r="N31" s="11">
        <f>MAX(Gia_dinh!$F$79,ROUNDUP(SUM(N27:N30)/Gia_dinh!$F$80,0))</f>
        <v/>
      </c>
      <c r="O31" s="11">
        <f>MAX(Gia_dinh!$F$79,ROUNDUP(SUM(O27:O30)/Gia_dinh!$F$80,0))</f>
        <v/>
      </c>
      <c r="P31" s="11">
        <f>MAX(Gia_dinh!$F$79,ROUNDUP(SUM(P27:P30)/Gia_dinh!$F$80,0))</f>
        <v/>
      </c>
      <c r="Q31" s="11">
        <f>MAX(Gia_dinh!$F$79,ROUNDUP(SUM(Q27:Q30)/Gia_dinh!$F$80,0))</f>
        <v/>
      </c>
      <c r="R31" s="11">
        <f>MAX(Gia_dinh!$F$79,ROUNDUP(SUM(R27:R30)/Gia_dinh!$F$80,0))</f>
        <v/>
      </c>
      <c r="S31" s="11">
        <f>MAX(Gia_dinh!$F$79,ROUNDUP(SUM(S27:S30)/Gia_dinh!$F$80,0))</f>
        <v/>
      </c>
      <c r="T31" s="11">
        <f>MAX(Gia_dinh!$F$79,ROUNDUP(SUM(T27:T30)/Gia_dinh!$F$80,0))</f>
        <v/>
      </c>
      <c r="U31" s="11">
        <f>MAX(Gia_dinh!$F$79,ROUNDUP(SUM(U27:U30)/Gia_dinh!$F$80,0))</f>
        <v/>
      </c>
      <c r="V31" s="11">
        <f>MAX(Gia_dinh!$F$79,ROUNDUP(SUM(V27:V30)/Gia_dinh!$F$80,0))</f>
        <v/>
      </c>
      <c r="W31" s="11">
        <f>MAX(Gia_dinh!$F$79,ROUNDUP(SUM(W27:W30)/Gia_dinh!$F$80,0))</f>
        <v/>
      </c>
      <c r="X31" s="11">
        <f>MAX(Gia_dinh!$F$79,ROUNDUP(SUM(X27:X30)/Gia_dinh!$F$80,0))</f>
        <v/>
      </c>
      <c r="Y31" s="11">
        <f>MAX(Gia_dinh!$F$79,ROUNDUP(SUM(Y27:Y30)/Gia_dinh!$F$80,0))</f>
        <v/>
      </c>
      <c r="Z31" s="11">
        <f>MAX(Gia_dinh!$F$79,ROUNDUP(SUM(Z27:Z30)/Gia_dinh!$F$80,0))</f>
        <v/>
      </c>
      <c r="AA31" s="11">
        <f>MAX(Gia_dinh!$F$79,ROUNDUP(SUM(AA27:AA30)/Gia_dinh!$F$80,0))</f>
        <v/>
      </c>
      <c r="AB31" s="11">
        <f>MAX(Gia_dinh!$F$79,ROUNDUP(SUM(AB27:AB30)/Gia_dinh!$F$80,0))</f>
        <v/>
      </c>
      <c r="AC31" s="11">
        <f>MAX(Gia_dinh!$F$79,ROUNDUP(SUM(AC27:AC30)/Gia_dinh!$F$80,0))</f>
        <v/>
      </c>
      <c r="AD31" s="11">
        <f>MAX(Gia_dinh!$F$79,ROUNDUP(SUM(AD27:AD30)/Gia_dinh!$F$80,0))</f>
        <v/>
      </c>
      <c r="AE31" s="11">
        <f>MAX(Gia_dinh!$F$79,ROUNDUP(SUM(AE27:AE30)/Gia_dinh!$F$80,0))</f>
        <v/>
      </c>
      <c r="AF31" s="11">
        <f>MAX(Gia_dinh!$F$79,ROUNDUP(SUM(AF27:AF30)/Gia_dinh!$F$80,0))</f>
        <v/>
      </c>
      <c r="AG31" s="11">
        <f>MAX(Gia_dinh!$F$79,ROUNDUP(SUM(AG27:AG30)/Gia_dinh!$F$80,0))</f>
        <v/>
      </c>
      <c r="AH31" s="11">
        <f>MAX(Gia_dinh!$F$79,ROUNDUP(SUM(AH27:AH30)/Gia_dinh!$F$80,0))</f>
        <v/>
      </c>
      <c r="AI31" s="11">
        <f>MAX(Gia_dinh!$F$79,ROUNDUP(SUM(AI27:AI30)/Gia_dinh!$F$80,0))</f>
        <v/>
      </c>
      <c r="AJ31" s="11">
        <f>MAX(Gia_dinh!$F$79,ROUNDUP(SUM(AJ27:AJ30)/Gia_dinh!$F$80,0))</f>
        <v/>
      </c>
      <c r="AK31" s="11">
        <f>MAX(Gia_dinh!$F$79,ROUNDUP(SUM(AK27:AK30)/Gia_dinh!$F$80,0))</f>
        <v/>
      </c>
      <c r="AL31" s="11">
        <f>MAX(Gia_dinh!$F$79,ROUNDUP(SUM(AL27:AL30)/Gia_dinh!$F$80,0))</f>
        <v/>
      </c>
      <c r="AM31" s="11">
        <f>MAX(Gia_dinh!$F$79,ROUNDUP(SUM(AM27:AM30)/Gia_dinh!$F$80,0))</f>
        <v/>
      </c>
    </row>
    <row r="32">
      <c r="B32" s="2" t="inlineStr">
        <is>
          <t>TỔNG NHÂN SỰ TẦNG CÔNG TY</t>
        </is>
      </c>
      <c r="C32" t="inlineStr">
        <is>
          <t>nguoi</t>
        </is>
      </c>
      <c r="D32" s="34">
        <f>SUM(D27:D31)</f>
        <v/>
      </c>
      <c r="E32" s="34">
        <f>SUM(E27:E31)</f>
        <v/>
      </c>
      <c r="F32" s="34">
        <f>SUM(F27:F31)</f>
        <v/>
      </c>
      <c r="G32" s="34">
        <f>SUM(G27:G31)</f>
        <v/>
      </c>
      <c r="H32" s="34">
        <f>SUM(H27:H31)</f>
        <v/>
      </c>
      <c r="I32" s="34">
        <f>SUM(I27:I31)</f>
        <v/>
      </c>
      <c r="J32" s="34">
        <f>SUM(J27:J31)</f>
        <v/>
      </c>
      <c r="K32" s="34">
        <f>SUM(K27:K31)</f>
        <v/>
      </c>
      <c r="L32" s="34">
        <f>SUM(L27:L31)</f>
        <v/>
      </c>
      <c r="M32" s="34">
        <f>SUM(M27:M31)</f>
        <v/>
      </c>
      <c r="N32" s="34">
        <f>SUM(N27:N31)</f>
        <v/>
      </c>
      <c r="O32" s="34">
        <f>SUM(O27:O31)</f>
        <v/>
      </c>
      <c r="P32" s="34">
        <f>SUM(P27:P31)</f>
        <v/>
      </c>
      <c r="Q32" s="34">
        <f>SUM(Q27:Q31)</f>
        <v/>
      </c>
      <c r="R32" s="34">
        <f>SUM(R27:R31)</f>
        <v/>
      </c>
      <c r="S32" s="34">
        <f>SUM(S27:S31)</f>
        <v/>
      </c>
      <c r="T32" s="34">
        <f>SUM(T27:T31)</f>
        <v/>
      </c>
      <c r="U32" s="34">
        <f>SUM(U27:U31)</f>
        <v/>
      </c>
      <c r="V32" s="34">
        <f>SUM(V27:V31)</f>
        <v/>
      </c>
      <c r="W32" s="34">
        <f>SUM(W27:W31)</f>
        <v/>
      </c>
      <c r="X32" s="34">
        <f>SUM(X27:X31)</f>
        <v/>
      </c>
      <c r="Y32" s="34">
        <f>SUM(Y27:Y31)</f>
        <v/>
      </c>
      <c r="Z32" s="34">
        <f>SUM(Z27:Z31)</f>
        <v/>
      </c>
      <c r="AA32" s="34">
        <f>SUM(AA27:AA31)</f>
        <v/>
      </c>
      <c r="AB32" s="34">
        <f>SUM(AB27:AB31)</f>
        <v/>
      </c>
      <c r="AC32" s="34">
        <f>SUM(AC27:AC31)</f>
        <v/>
      </c>
      <c r="AD32" s="34">
        <f>SUM(AD27:AD31)</f>
        <v/>
      </c>
      <c r="AE32" s="34">
        <f>SUM(AE27:AE31)</f>
        <v/>
      </c>
      <c r="AF32" s="34">
        <f>SUM(AF27:AF31)</f>
        <v/>
      </c>
      <c r="AG32" s="34">
        <f>SUM(AG27:AG31)</f>
        <v/>
      </c>
      <c r="AH32" s="34">
        <f>SUM(AH27:AH31)</f>
        <v/>
      </c>
      <c r="AI32" s="34">
        <f>SUM(AI27:AI31)</f>
        <v/>
      </c>
      <c r="AJ32" s="34">
        <f>SUM(AJ27:AJ31)</f>
        <v/>
      </c>
      <c r="AK32" s="34">
        <f>SUM(AK27:AK31)</f>
        <v/>
      </c>
      <c r="AL32" s="34">
        <f>SUM(AL27:AL31)</f>
        <v/>
      </c>
      <c r="AM32" s="34">
        <f>SUM(AM27:AM31)</f>
        <v/>
      </c>
    </row>
    <row r="34">
      <c r="B34" s="4" t="inlineStr">
        <is>
          <t>4. CHI PHÍ TẦNG CÔNG TY (OPEX)</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row>
    <row r="35">
      <c r="B35" t="inlineStr">
        <is>
          <t>Lương &amp; phụ cấp tầng công ty</t>
        </is>
      </c>
      <c r="C35" t="inlineStr">
        <is>
          <t>triệu VND</t>
        </is>
      </c>
      <c r="D35" s="11">
        <f>(D27*Gia_dinh!$F$70+D28*Gia_dinh!$F$72+D29*Gia_dinh!$F$74+D30*Gia_dinh!$F$78+D31*Gia_dinh!$F$81)*(1+Gia_dinh!$F$82)</f>
        <v/>
      </c>
      <c r="E35" s="11">
        <f>(E27*Gia_dinh!$F$70+E28*Gia_dinh!$F$72+E29*Gia_dinh!$F$74+E30*Gia_dinh!$F$78+E31*Gia_dinh!$F$81)*(1+Gia_dinh!$F$82)</f>
        <v/>
      </c>
      <c r="F35" s="11">
        <f>(F27*Gia_dinh!$F$70+F28*Gia_dinh!$F$72+F29*Gia_dinh!$F$74+F30*Gia_dinh!$F$78+F31*Gia_dinh!$F$81)*(1+Gia_dinh!$F$82)</f>
        <v/>
      </c>
      <c r="G35" s="11">
        <f>(G27*Gia_dinh!$F$70+G28*Gia_dinh!$F$72+G29*Gia_dinh!$F$74+G30*Gia_dinh!$F$78+G31*Gia_dinh!$F$81)*(1+Gia_dinh!$F$82)</f>
        <v/>
      </c>
      <c r="H35" s="11">
        <f>(H27*Gia_dinh!$F$70+H28*Gia_dinh!$F$72+H29*Gia_dinh!$F$74+H30*Gia_dinh!$F$78+H31*Gia_dinh!$F$81)*(1+Gia_dinh!$F$82)</f>
        <v/>
      </c>
      <c r="I35" s="11">
        <f>(I27*Gia_dinh!$F$70+I28*Gia_dinh!$F$72+I29*Gia_dinh!$F$74+I30*Gia_dinh!$F$78+I31*Gia_dinh!$F$81)*(1+Gia_dinh!$F$82)</f>
        <v/>
      </c>
      <c r="J35" s="11">
        <f>(J27*Gia_dinh!$F$70+J28*Gia_dinh!$F$72+J29*Gia_dinh!$F$74+J30*Gia_dinh!$F$78+J31*Gia_dinh!$F$81)*(1+Gia_dinh!$F$82)</f>
        <v/>
      </c>
      <c r="K35" s="11">
        <f>(K27*Gia_dinh!$F$70+K28*Gia_dinh!$F$72+K29*Gia_dinh!$F$74+K30*Gia_dinh!$F$78+K31*Gia_dinh!$F$81)*(1+Gia_dinh!$F$82)</f>
        <v/>
      </c>
      <c r="L35" s="11">
        <f>(L27*Gia_dinh!$F$70+L28*Gia_dinh!$F$72+L29*Gia_dinh!$F$74+L30*Gia_dinh!$F$78+L31*Gia_dinh!$F$81)*(1+Gia_dinh!$F$82)</f>
        <v/>
      </c>
      <c r="M35" s="11">
        <f>(M27*Gia_dinh!$F$70+M28*Gia_dinh!$F$72+M29*Gia_dinh!$F$74+M30*Gia_dinh!$F$78+M31*Gia_dinh!$F$81)*(1+Gia_dinh!$F$82)</f>
        <v/>
      </c>
      <c r="N35" s="11">
        <f>(N27*Gia_dinh!$F$70+N28*Gia_dinh!$F$72+N29*Gia_dinh!$F$74+N30*Gia_dinh!$F$78+N31*Gia_dinh!$F$81)*(1+Gia_dinh!$F$82)</f>
        <v/>
      </c>
      <c r="O35" s="11">
        <f>(O27*Gia_dinh!$F$70+O28*Gia_dinh!$F$72+O29*Gia_dinh!$F$74+O30*Gia_dinh!$F$78+O31*Gia_dinh!$F$81)*(1+Gia_dinh!$F$82)</f>
        <v/>
      </c>
      <c r="P35" s="11">
        <f>(P27*Gia_dinh!$F$70+P28*Gia_dinh!$F$72+P29*Gia_dinh!$F$74+P30*Gia_dinh!$F$78+P31*Gia_dinh!$F$81)*(1+Gia_dinh!$F$82)</f>
        <v/>
      </c>
      <c r="Q35" s="11">
        <f>(Q27*Gia_dinh!$F$70+Q28*Gia_dinh!$F$72+Q29*Gia_dinh!$F$74+Q30*Gia_dinh!$F$78+Q31*Gia_dinh!$F$81)*(1+Gia_dinh!$F$82)</f>
        <v/>
      </c>
      <c r="R35" s="11">
        <f>(R27*Gia_dinh!$F$70+R28*Gia_dinh!$F$72+R29*Gia_dinh!$F$74+R30*Gia_dinh!$F$78+R31*Gia_dinh!$F$81)*(1+Gia_dinh!$F$82)</f>
        <v/>
      </c>
      <c r="S35" s="11">
        <f>(S27*Gia_dinh!$F$70+S28*Gia_dinh!$F$72+S29*Gia_dinh!$F$74+S30*Gia_dinh!$F$78+S31*Gia_dinh!$F$81)*(1+Gia_dinh!$F$82)</f>
        <v/>
      </c>
      <c r="T35" s="11">
        <f>(T27*Gia_dinh!$F$70+T28*Gia_dinh!$F$72+T29*Gia_dinh!$F$74+T30*Gia_dinh!$F$78+T31*Gia_dinh!$F$81)*(1+Gia_dinh!$F$82)</f>
        <v/>
      </c>
      <c r="U35" s="11">
        <f>(U27*Gia_dinh!$F$70+U28*Gia_dinh!$F$72+U29*Gia_dinh!$F$74+U30*Gia_dinh!$F$78+U31*Gia_dinh!$F$81)*(1+Gia_dinh!$F$82)</f>
        <v/>
      </c>
      <c r="V35" s="11">
        <f>(V27*Gia_dinh!$F$70+V28*Gia_dinh!$F$72+V29*Gia_dinh!$F$74+V30*Gia_dinh!$F$78+V31*Gia_dinh!$F$81)*(1+Gia_dinh!$F$82)</f>
        <v/>
      </c>
      <c r="W35" s="11">
        <f>(W27*Gia_dinh!$F$70+W28*Gia_dinh!$F$72+W29*Gia_dinh!$F$74+W30*Gia_dinh!$F$78+W31*Gia_dinh!$F$81)*(1+Gia_dinh!$F$82)</f>
        <v/>
      </c>
      <c r="X35" s="11">
        <f>(X27*Gia_dinh!$F$70+X28*Gia_dinh!$F$72+X29*Gia_dinh!$F$74+X30*Gia_dinh!$F$78+X31*Gia_dinh!$F$81)*(1+Gia_dinh!$F$82)</f>
        <v/>
      </c>
      <c r="Y35" s="11">
        <f>(Y27*Gia_dinh!$F$70+Y28*Gia_dinh!$F$72+Y29*Gia_dinh!$F$74+Y30*Gia_dinh!$F$78+Y31*Gia_dinh!$F$81)*(1+Gia_dinh!$F$82)</f>
        <v/>
      </c>
      <c r="Z35" s="11">
        <f>(Z27*Gia_dinh!$F$70+Z28*Gia_dinh!$F$72+Z29*Gia_dinh!$F$74+Z30*Gia_dinh!$F$78+Z31*Gia_dinh!$F$81)*(1+Gia_dinh!$F$82)</f>
        <v/>
      </c>
      <c r="AA35" s="11">
        <f>(AA27*Gia_dinh!$F$70+AA28*Gia_dinh!$F$72+AA29*Gia_dinh!$F$74+AA30*Gia_dinh!$F$78+AA31*Gia_dinh!$F$81)*(1+Gia_dinh!$F$82)</f>
        <v/>
      </c>
      <c r="AB35" s="11">
        <f>(AB27*Gia_dinh!$F$70+AB28*Gia_dinh!$F$72+AB29*Gia_dinh!$F$74+AB30*Gia_dinh!$F$78+AB31*Gia_dinh!$F$81)*(1+Gia_dinh!$F$82)</f>
        <v/>
      </c>
      <c r="AC35" s="11">
        <f>(AC27*Gia_dinh!$F$70+AC28*Gia_dinh!$F$72+AC29*Gia_dinh!$F$74+AC30*Gia_dinh!$F$78+AC31*Gia_dinh!$F$81)*(1+Gia_dinh!$F$82)</f>
        <v/>
      </c>
      <c r="AD35" s="11">
        <f>(AD27*Gia_dinh!$F$70+AD28*Gia_dinh!$F$72+AD29*Gia_dinh!$F$74+AD30*Gia_dinh!$F$78+AD31*Gia_dinh!$F$81)*(1+Gia_dinh!$F$82)</f>
        <v/>
      </c>
      <c r="AE35" s="11">
        <f>(AE27*Gia_dinh!$F$70+AE28*Gia_dinh!$F$72+AE29*Gia_dinh!$F$74+AE30*Gia_dinh!$F$78+AE31*Gia_dinh!$F$81)*(1+Gia_dinh!$F$82)</f>
        <v/>
      </c>
      <c r="AF35" s="11">
        <f>(AF27*Gia_dinh!$F$70+AF28*Gia_dinh!$F$72+AF29*Gia_dinh!$F$74+AF30*Gia_dinh!$F$78+AF31*Gia_dinh!$F$81)*(1+Gia_dinh!$F$82)</f>
        <v/>
      </c>
      <c r="AG35" s="11">
        <f>(AG27*Gia_dinh!$F$70+AG28*Gia_dinh!$F$72+AG29*Gia_dinh!$F$74+AG30*Gia_dinh!$F$78+AG31*Gia_dinh!$F$81)*(1+Gia_dinh!$F$82)</f>
        <v/>
      </c>
      <c r="AH35" s="11">
        <f>(AH27*Gia_dinh!$F$70+AH28*Gia_dinh!$F$72+AH29*Gia_dinh!$F$74+AH30*Gia_dinh!$F$78+AH31*Gia_dinh!$F$81)*(1+Gia_dinh!$F$82)</f>
        <v/>
      </c>
      <c r="AI35" s="11">
        <f>(AI27*Gia_dinh!$F$70+AI28*Gia_dinh!$F$72+AI29*Gia_dinh!$F$74+AI30*Gia_dinh!$F$78+AI31*Gia_dinh!$F$81)*(1+Gia_dinh!$F$82)</f>
        <v/>
      </c>
      <c r="AJ35" s="11">
        <f>(AJ27*Gia_dinh!$F$70+AJ28*Gia_dinh!$F$72+AJ29*Gia_dinh!$F$74+AJ30*Gia_dinh!$F$78+AJ31*Gia_dinh!$F$81)*(1+Gia_dinh!$F$82)</f>
        <v/>
      </c>
      <c r="AK35" s="11">
        <f>(AK27*Gia_dinh!$F$70+AK28*Gia_dinh!$F$72+AK29*Gia_dinh!$F$74+AK30*Gia_dinh!$F$78+AK31*Gia_dinh!$F$81)*(1+Gia_dinh!$F$82)</f>
        <v/>
      </c>
      <c r="AL35" s="11">
        <f>(AL27*Gia_dinh!$F$70+AL28*Gia_dinh!$F$72+AL29*Gia_dinh!$F$74+AL30*Gia_dinh!$F$78+AL31*Gia_dinh!$F$81)*(1+Gia_dinh!$F$82)</f>
        <v/>
      </c>
      <c r="AM35" s="11">
        <f>(AM27*Gia_dinh!$F$70+AM28*Gia_dinh!$F$72+AM29*Gia_dinh!$F$74+AM30*Gia_dinh!$F$78+AM31*Gia_dinh!$F$81)*(1+Gia_dinh!$F$82)</f>
        <v/>
      </c>
    </row>
    <row r="36">
      <c r="B36" t="inlineStr">
        <is>
          <t>Marketing thương hiệu MCN &amp; tuyển IP</t>
        </is>
      </c>
      <c r="C36" t="inlineStr">
        <is>
          <t>triệu VND</t>
        </is>
      </c>
      <c r="D36" s="11">
        <f>Gia_dinh!$F$83</f>
        <v/>
      </c>
      <c r="E36" s="11">
        <f>Gia_dinh!$F$83</f>
        <v/>
      </c>
      <c r="F36" s="11">
        <f>Gia_dinh!$F$83</f>
        <v/>
      </c>
      <c r="G36" s="11">
        <f>Gia_dinh!$F$83</f>
        <v/>
      </c>
      <c r="H36" s="11">
        <f>Gia_dinh!$F$83</f>
        <v/>
      </c>
      <c r="I36" s="11">
        <f>Gia_dinh!$F$83</f>
        <v/>
      </c>
      <c r="J36" s="11">
        <f>Gia_dinh!$F$83</f>
        <v/>
      </c>
      <c r="K36" s="11">
        <f>Gia_dinh!$F$83</f>
        <v/>
      </c>
      <c r="L36" s="11">
        <f>Gia_dinh!$F$83</f>
        <v/>
      </c>
      <c r="M36" s="11">
        <f>Gia_dinh!$F$83</f>
        <v/>
      </c>
      <c r="N36" s="11">
        <f>Gia_dinh!$F$83</f>
        <v/>
      </c>
      <c r="O36" s="11">
        <f>Gia_dinh!$F$83</f>
        <v/>
      </c>
      <c r="P36" s="11">
        <f>Gia_dinh!$F$83</f>
        <v/>
      </c>
      <c r="Q36" s="11">
        <f>Gia_dinh!$F$83</f>
        <v/>
      </c>
      <c r="R36" s="11">
        <f>Gia_dinh!$F$83</f>
        <v/>
      </c>
      <c r="S36" s="11">
        <f>Gia_dinh!$F$83</f>
        <v/>
      </c>
      <c r="T36" s="11">
        <f>Gia_dinh!$F$83</f>
        <v/>
      </c>
      <c r="U36" s="11">
        <f>Gia_dinh!$F$83</f>
        <v/>
      </c>
      <c r="V36" s="11">
        <f>Gia_dinh!$F$83</f>
        <v/>
      </c>
      <c r="W36" s="11">
        <f>Gia_dinh!$F$83</f>
        <v/>
      </c>
      <c r="X36" s="11">
        <f>Gia_dinh!$F$83</f>
        <v/>
      </c>
      <c r="Y36" s="11">
        <f>Gia_dinh!$F$83</f>
        <v/>
      </c>
      <c r="Z36" s="11">
        <f>Gia_dinh!$F$83</f>
        <v/>
      </c>
      <c r="AA36" s="11">
        <f>Gia_dinh!$F$83</f>
        <v/>
      </c>
      <c r="AB36" s="11">
        <f>Gia_dinh!$F$83</f>
        <v/>
      </c>
      <c r="AC36" s="11">
        <f>Gia_dinh!$F$83</f>
        <v/>
      </c>
      <c r="AD36" s="11">
        <f>Gia_dinh!$F$83</f>
        <v/>
      </c>
      <c r="AE36" s="11">
        <f>Gia_dinh!$F$83</f>
        <v/>
      </c>
      <c r="AF36" s="11">
        <f>Gia_dinh!$F$83</f>
        <v/>
      </c>
      <c r="AG36" s="11">
        <f>Gia_dinh!$F$83</f>
        <v/>
      </c>
      <c r="AH36" s="11">
        <f>Gia_dinh!$F$83</f>
        <v/>
      </c>
      <c r="AI36" s="11">
        <f>Gia_dinh!$F$83</f>
        <v/>
      </c>
      <c r="AJ36" s="11">
        <f>Gia_dinh!$F$83</f>
        <v/>
      </c>
      <c r="AK36" s="11">
        <f>Gia_dinh!$F$83</f>
        <v/>
      </c>
      <c r="AL36" s="11">
        <f>Gia_dinh!$F$83</f>
        <v/>
      </c>
      <c r="AM36" s="11">
        <f>Gia_dinh!$F$83</f>
        <v/>
      </c>
    </row>
    <row r="37">
      <c r="B37" t="inlineStr">
        <is>
          <t>Công nghệ &amp; nền tảng dùng chung</t>
        </is>
      </c>
      <c r="C37" t="inlineStr">
        <is>
          <t>triệu VND</t>
        </is>
      </c>
      <c r="D37" s="11">
        <f>Gia_dinh!$F$84</f>
        <v/>
      </c>
      <c r="E37" s="11">
        <f>Gia_dinh!$F$84</f>
        <v/>
      </c>
      <c r="F37" s="11">
        <f>Gia_dinh!$F$84</f>
        <v/>
      </c>
      <c r="G37" s="11">
        <f>Gia_dinh!$F$84</f>
        <v/>
      </c>
      <c r="H37" s="11">
        <f>Gia_dinh!$F$84</f>
        <v/>
      </c>
      <c r="I37" s="11">
        <f>Gia_dinh!$F$84</f>
        <v/>
      </c>
      <c r="J37" s="11">
        <f>Gia_dinh!$F$84</f>
        <v/>
      </c>
      <c r="K37" s="11">
        <f>Gia_dinh!$F$84</f>
        <v/>
      </c>
      <c r="L37" s="11">
        <f>Gia_dinh!$F$84</f>
        <v/>
      </c>
      <c r="M37" s="11">
        <f>Gia_dinh!$F$84</f>
        <v/>
      </c>
      <c r="N37" s="11">
        <f>Gia_dinh!$F$84</f>
        <v/>
      </c>
      <c r="O37" s="11">
        <f>Gia_dinh!$F$84</f>
        <v/>
      </c>
      <c r="P37" s="11">
        <f>Gia_dinh!$F$84</f>
        <v/>
      </c>
      <c r="Q37" s="11">
        <f>Gia_dinh!$F$84</f>
        <v/>
      </c>
      <c r="R37" s="11">
        <f>Gia_dinh!$F$84</f>
        <v/>
      </c>
      <c r="S37" s="11">
        <f>Gia_dinh!$F$84</f>
        <v/>
      </c>
      <c r="T37" s="11">
        <f>Gia_dinh!$F$84</f>
        <v/>
      </c>
      <c r="U37" s="11">
        <f>Gia_dinh!$F$84</f>
        <v/>
      </c>
      <c r="V37" s="11">
        <f>Gia_dinh!$F$84</f>
        <v/>
      </c>
      <c r="W37" s="11">
        <f>Gia_dinh!$F$84</f>
        <v/>
      </c>
      <c r="X37" s="11">
        <f>Gia_dinh!$F$84</f>
        <v/>
      </c>
      <c r="Y37" s="11">
        <f>Gia_dinh!$F$84</f>
        <v/>
      </c>
      <c r="Z37" s="11">
        <f>Gia_dinh!$F$84</f>
        <v/>
      </c>
      <c r="AA37" s="11">
        <f>Gia_dinh!$F$84</f>
        <v/>
      </c>
      <c r="AB37" s="11">
        <f>Gia_dinh!$F$84</f>
        <v/>
      </c>
      <c r="AC37" s="11">
        <f>Gia_dinh!$F$84</f>
        <v/>
      </c>
      <c r="AD37" s="11">
        <f>Gia_dinh!$F$84</f>
        <v/>
      </c>
      <c r="AE37" s="11">
        <f>Gia_dinh!$F$84</f>
        <v/>
      </c>
      <c r="AF37" s="11">
        <f>Gia_dinh!$F$84</f>
        <v/>
      </c>
      <c r="AG37" s="11">
        <f>Gia_dinh!$F$84</f>
        <v/>
      </c>
      <c r="AH37" s="11">
        <f>Gia_dinh!$F$84</f>
        <v/>
      </c>
      <c r="AI37" s="11">
        <f>Gia_dinh!$F$84</f>
        <v/>
      </c>
      <c r="AJ37" s="11">
        <f>Gia_dinh!$F$84</f>
        <v/>
      </c>
      <c r="AK37" s="11">
        <f>Gia_dinh!$F$84</f>
        <v/>
      </c>
      <c r="AL37" s="11">
        <f>Gia_dinh!$F$84</f>
        <v/>
      </c>
      <c r="AM37" s="11">
        <f>Gia_dinh!$F$84</f>
        <v/>
      </c>
    </row>
    <row r="38">
      <c r="B38" t="inlineStr">
        <is>
          <t>Văn phòng, pháp lý, kế toán &amp; chi phí chung</t>
        </is>
      </c>
      <c r="C38" t="inlineStr">
        <is>
          <t>triệu VND</t>
        </is>
      </c>
      <c r="D38" s="11">
        <f>Gia_dinh!$F$85+Gia_dinh!$F$86+Doanh_thu!D29*Gia_dinh!$F$87</f>
        <v/>
      </c>
      <c r="E38" s="11">
        <f>Gia_dinh!$F$85+Gia_dinh!$F$86+Doanh_thu!E29*Gia_dinh!$F$87</f>
        <v/>
      </c>
      <c r="F38" s="11">
        <f>Gia_dinh!$F$85+Gia_dinh!$F$86+Doanh_thu!F29*Gia_dinh!$F$87</f>
        <v/>
      </c>
      <c r="G38" s="11">
        <f>Gia_dinh!$F$85+Gia_dinh!$F$86+Doanh_thu!G29*Gia_dinh!$F$87</f>
        <v/>
      </c>
      <c r="H38" s="11">
        <f>Gia_dinh!$F$85+Gia_dinh!$F$86+Doanh_thu!H29*Gia_dinh!$F$87</f>
        <v/>
      </c>
      <c r="I38" s="11">
        <f>Gia_dinh!$F$85+Gia_dinh!$F$86+Doanh_thu!I29*Gia_dinh!$F$87</f>
        <v/>
      </c>
      <c r="J38" s="11">
        <f>Gia_dinh!$F$85+Gia_dinh!$F$86+Doanh_thu!J29*Gia_dinh!$F$87</f>
        <v/>
      </c>
      <c r="K38" s="11">
        <f>Gia_dinh!$F$85+Gia_dinh!$F$86+Doanh_thu!K29*Gia_dinh!$F$87</f>
        <v/>
      </c>
      <c r="L38" s="11">
        <f>Gia_dinh!$F$85+Gia_dinh!$F$86+Doanh_thu!L29*Gia_dinh!$F$87</f>
        <v/>
      </c>
      <c r="M38" s="11">
        <f>Gia_dinh!$F$85+Gia_dinh!$F$86+Doanh_thu!M29*Gia_dinh!$F$87</f>
        <v/>
      </c>
      <c r="N38" s="11">
        <f>Gia_dinh!$F$85+Gia_dinh!$F$86+Doanh_thu!N29*Gia_dinh!$F$87</f>
        <v/>
      </c>
      <c r="O38" s="11">
        <f>Gia_dinh!$F$85+Gia_dinh!$F$86+Doanh_thu!O29*Gia_dinh!$F$87</f>
        <v/>
      </c>
      <c r="P38" s="11">
        <f>Gia_dinh!$F$85+Gia_dinh!$F$86+Doanh_thu!P29*Gia_dinh!$F$87</f>
        <v/>
      </c>
      <c r="Q38" s="11">
        <f>Gia_dinh!$F$85+Gia_dinh!$F$86+Doanh_thu!Q29*Gia_dinh!$F$87</f>
        <v/>
      </c>
      <c r="R38" s="11">
        <f>Gia_dinh!$F$85+Gia_dinh!$F$86+Doanh_thu!R29*Gia_dinh!$F$87</f>
        <v/>
      </c>
      <c r="S38" s="11">
        <f>Gia_dinh!$F$85+Gia_dinh!$F$86+Doanh_thu!S29*Gia_dinh!$F$87</f>
        <v/>
      </c>
      <c r="T38" s="11">
        <f>Gia_dinh!$F$85+Gia_dinh!$F$86+Doanh_thu!T29*Gia_dinh!$F$87</f>
        <v/>
      </c>
      <c r="U38" s="11">
        <f>Gia_dinh!$F$85+Gia_dinh!$F$86+Doanh_thu!U29*Gia_dinh!$F$87</f>
        <v/>
      </c>
      <c r="V38" s="11">
        <f>Gia_dinh!$F$85+Gia_dinh!$F$86+Doanh_thu!V29*Gia_dinh!$F$87</f>
        <v/>
      </c>
      <c r="W38" s="11">
        <f>Gia_dinh!$F$85+Gia_dinh!$F$86+Doanh_thu!W29*Gia_dinh!$F$87</f>
        <v/>
      </c>
      <c r="X38" s="11">
        <f>Gia_dinh!$F$85+Gia_dinh!$F$86+Doanh_thu!X29*Gia_dinh!$F$87</f>
        <v/>
      </c>
      <c r="Y38" s="11">
        <f>Gia_dinh!$F$85+Gia_dinh!$F$86+Doanh_thu!Y29*Gia_dinh!$F$87</f>
        <v/>
      </c>
      <c r="Z38" s="11">
        <f>Gia_dinh!$F$85+Gia_dinh!$F$86+Doanh_thu!Z29*Gia_dinh!$F$87</f>
        <v/>
      </c>
      <c r="AA38" s="11">
        <f>Gia_dinh!$F$85+Gia_dinh!$F$86+Doanh_thu!AA29*Gia_dinh!$F$87</f>
        <v/>
      </c>
      <c r="AB38" s="11">
        <f>Gia_dinh!$F$85+Gia_dinh!$F$86+Doanh_thu!AB29*Gia_dinh!$F$87</f>
        <v/>
      </c>
      <c r="AC38" s="11">
        <f>Gia_dinh!$F$85+Gia_dinh!$F$86+Doanh_thu!AC29*Gia_dinh!$F$87</f>
        <v/>
      </c>
      <c r="AD38" s="11">
        <f>Gia_dinh!$F$85+Gia_dinh!$F$86+Doanh_thu!AD29*Gia_dinh!$F$87</f>
        <v/>
      </c>
      <c r="AE38" s="11">
        <f>Gia_dinh!$F$85+Gia_dinh!$F$86+Doanh_thu!AE29*Gia_dinh!$F$87</f>
        <v/>
      </c>
      <c r="AF38" s="11">
        <f>Gia_dinh!$F$85+Gia_dinh!$F$86+Doanh_thu!AF29*Gia_dinh!$F$87</f>
        <v/>
      </c>
      <c r="AG38" s="11">
        <f>Gia_dinh!$F$85+Gia_dinh!$F$86+Doanh_thu!AG29*Gia_dinh!$F$87</f>
        <v/>
      </c>
      <c r="AH38" s="11">
        <f>Gia_dinh!$F$85+Gia_dinh!$F$86+Doanh_thu!AH29*Gia_dinh!$F$87</f>
        <v/>
      </c>
      <c r="AI38" s="11">
        <f>Gia_dinh!$F$85+Gia_dinh!$F$86+Doanh_thu!AI29*Gia_dinh!$F$87</f>
        <v/>
      </c>
      <c r="AJ38" s="11">
        <f>Gia_dinh!$F$85+Gia_dinh!$F$86+Doanh_thu!AJ29*Gia_dinh!$F$87</f>
        <v/>
      </c>
      <c r="AK38" s="11">
        <f>Gia_dinh!$F$85+Gia_dinh!$F$86+Doanh_thu!AK29*Gia_dinh!$F$87</f>
        <v/>
      </c>
      <c r="AL38" s="11">
        <f>Gia_dinh!$F$85+Gia_dinh!$F$86+Doanh_thu!AL29*Gia_dinh!$F$87</f>
        <v/>
      </c>
      <c r="AM38" s="11">
        <f>Gia_dinh!$F$85+Gia_dinh!$F$86+Doanh_thu!AM29*Gia_dinh!$F$87</f>
        <v/>
      </c>
    </row>
    <row r="39">
      <c r="B39" s="2" t="inlineStr">
        <is>
          <t>TỔNG CHI PHÍ TẦNG CÔNG TY</t>
        </is>
      </c>
      <c r="C39" t="inlineStr">
        <is>
          <t>triệu VND</t>
        </is>
      </c>
      <c r="D39" s="34">
        <f>SUM(D35:D38)</f>
        <v/>
      </c>
      <c r="E39" s="34">
        <f>SUM(E35:E38)</f>
        <v/>
      </c>
      <c r="F39" s="34">
        <f>SUM(F35:F38)</f>
        <v/>
      </c>
      <c r="G39" s="34">
        <f>SUM(G35:G38)</f>
        <v/>
      </c>
      <c r="H39" s="34">
        <f>SUM(H35:H38)</f>
        <v/>
      </c>
      <c r="I39" s="34">
        <f>SUM(I35:I38)</f>
        <v/>
      </c>
      <c r="J39" s="34">
        <f>SUM(J35:J38)</f>
        <v/>
      </c>
      <c r="K39" s="34">
        <f>SUM(K35:K38)</f>
        <v/>
      </c>
      <c r="L39" s="34">
        <f>SUM(L35:L38)</f>
        <v/>
      </c>
      <c r="M39" s="34">
        <f>SUM(M35:M38)</f>
        <v/>
      </c>
      <c r="N39" s="34">
        <f>SUM(N35:N38)</f>
        <v/>
      </c>
      <c r="O39" s="34">
        <f>SUM(O35:O38)</f>
        <v/>
      </c>
      <c r="P39" s="34">
        <f>SUM(P35:P38)</f>
        <v/>
      </c>
      <c r="Q39" s="34">
        <f>SUM(Q35:Q38)</f>
        <v/>
      </c>
      <c r="R39" s="34">
        <f>SUM(R35:R38)</f>
        <v/>
      </c>
      <c r="S39" s="34">
        <f>SUM(S35:S38)</f>
        <v/>
      </c>
      <c r="T39" s="34">
        <f>SUM(T35:T38)</f>
        <v/>
      </c>
      <c r="U39" s="34">
        <f>SUM(U35:U38)</f>
        <v/>
      </c>
      <c r="V39" s="34">
        <f>SUM(V35:V38)</f>
        <v/>
      </c>
      <c r="W39" s="34">
        <f>SUM(W35:W38)</f>
        <v/>
      </c>
      <c r="X39" s="34">
        <f>SUM(X35:X38)</f>
        <v/>
      </c>
      <c r="Y39" s="34">
        <f>SUM(Y35:Y38)</f>
        <v/>
      </c>
      <c r="Z39" s="34">
        <f>SUM(Z35:Z38)</f>
        <v/>
      </c>
      <c r="AA39" s="34">
        <f>SUM(AA35:AA38)</f>
        <v/>
      </c>
      <c r="AB39" s="34">
        <f>SUM(AB35:AB38)</f>
        <v/>
      </c>
      <c r="AC39" s="34">
        <f>SUM(AC35:AC38)</f>
        <v/>
      </c>
      <c r="AD39" s="34">
        <f>SUM(AD35:AD38)</f>
        <v/>
      </c>
      <c r="AE39" s="34">
        <f>SUM(AE35:AE38)</f>
        <v/>
      </c>
      <c r="AF39" s="34">
        <f>SUM(AF35:AF38)</f>
        <v/>
      </c>
      <c r="AG39" s="34">
        <f>SUM(AG35:AG38)</f>
        <v/>
      </c>
      <c r="AH39" s="34">
        <f>SUM(AH35:AH38)</f>
        <v/>
      </c>
      <c r="AI39" s="34">
        <f>SUM(AI35:AI38)</f>
        <v/>
      </c>
      <c r="AJ39" s="34">
        <f>SUM(AJ35:AJ38)</f>
        <v/>
      </c>
      <c r="AK39" s="34">
        <f>SUM(AK35:AK38)</f>
        <v/>
      </c>
      <c r="AL39" s="34">
        <f>SUM(AL35:AL38)</f>
        <v/>
      </c>
      <c r="AM39" s="34">
        <f>SUM(AM35:AM38)</f>
        <v/>
      </c>
    </row>
    <row r="41">
      <c r="B41" s="4" t="inlineStr">
        <is>
          <t>5. ĐẦU TƯ TÀI SẢN (CAPEX)</t>
        </is>
      </c>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row>
    <row r="42">
      <c r="B42" s="2" t="inlineStr">
        <is>
          <t>Thiết bị cho nhân sự tầng công ty</t>
        </is>
      </c>
      <c r="C42" t="inlineStr">
        <is>
          <t>triệu VND</t>
        </is>
      </c>
      <c r="D42" s="34">
        <f>D32*Gia_dinh!$F$88</f>
        <v/>
      </c>
      <c r="E42" s="34">
        <f>MAX(0,E32-D32)*Gia_dinh!$F$88</f>
        <v/>
      </c>
      <c r="F42" s="34">
        <f>MAX(0,F32-E32)*Gia_dinh!$F$88</f>
        <v/>
      </c>
      <c r="G42" s="34">
        <f>MAX(0,G32-F32)*Gia_dinh!$F$88</f>
        <v/>
      </c>
      <c r="H42" s="34">
        <f>MAX(0,H32-G32)*Gia_dinh!$F$88</f>
        <v/>
      </c>
      <c r="I42" s="34">
        <f>MAX(0,I32-H32)*Gia_dinh!$F$88</f>
        <v/>
      </c>
      <c r="J42" s="34">
        <f>MAX(0,J32-I32)*Gia_dinh!$F$88</f>
        <v/>
      </c>
      <c r="K42" s="34">
        <f>MAX(0,K32-J32)*Gia_dinh!$F$88</f>
        <v/>
      </c>
      <c r="L42" s="34">
        <f>MAX(0,L32-K32)*Gia_dinh!$F$88</f>
        <v/>
      </c>
      <c r="M42" s="34">
        <f>MAX(0,M32-L32)*Gia_dinh!$F$88</f>
        <v/>
      </c>
      <c r="N42" s="34">
        <f>MAX(0,N32-M32)*Gia_dinh!$F$88</f>
        <v/>
      </c>
      <c r="O42" s="34">
        <f>MAX(0,O32-N32)*Gia_dinh!$F$88</f>
        <v/>
      </c>
      <c r="P42" s="34">
        <f>MAX(0,P32-O32)*Gia_dinh!$F$88</f>
        <v/>
      </c>
      <c r="Q42" s="34">
        <f>MAX(0,Q32-P32)*Gia_dinh!$F$88</f>
        <v/>
      </c>
      <c r="R42" s="34">
        <f>MAX(0,R32-Q32)*Gia_dinh!$F$88</f>
        <v/>
      </c>
      <c r="S42" s="34">
        <f>MAX(0,S32-R32)*Gia_dinh!$F$88</f>
        <v/>
      </c>
      <c r="T42" s="34">
        <f>MAX(0,T32-S32)*Gia_dinh!$F$88</f>
        <v/>
      </c>
      <c r="U42" s="34">
        <f>MAX(0,U32-T32)*Gia_dinh!$F$88</f>
        <v/>
      </c>
      <c r="V42" s="34">
        <f>MAX(0,V32-U32)*Gia_dinh!$F$88</f>
        <v/>
      </c>
      <c r="W42" s="34">
        <f>MAX(0,W32-V32)*Gia_dinh!$F$88</f>
        <v/>
      </c>
      <c r="X42" s="34">
        <f>MAX(0,X32-W32)*Gia_dinh!$F$88</f>
        <v/>
      </c>
      <c r="Y42" s="34">
        <f>MAX(0,Y32-X32)*Gia_dinh!$F$88</f>
        <v/>
      </c>
      <c r="Z42" s="34">
        <f>MAX(0,Z32-Y32)*Gia_dinh!$F$88</f>
        <v/>
      </c>
      <c r="AA42" s="34">
        <f>MAX(0,AA32-Z32)*Gia_dinh!$F$88</f>
        <v/>
      </c>
      <c r="AB42" s="34">
        <f>MAX(0,AB32-AA32)*Gia_dinh!$F$88</f>
        <v/>
      </c>
      <c r="AC42" s="34">
        <f>MAX(0,AC32-AB32)*Gia_dinh!$F$88</f>
        <v/>
      </c>
      <c r="AD42" s="34">
        <f>MAX(0,AD32-AC32)*Gia_dinh!$F$88</f>
        <v/>
      </c>
      <c r="AE42" s="34">
        <f>MAX(0,AE32-AD32)*Gia_dinh!$F$88</f>
        <v/>
      </c>
      <c r="AF42" s="34">
        <f>MAX(0,AF32-AE32)*Gia_dinh!$F$88</f>
        <v/>
      </c>
      <c r="AG42" s="34">
        <f>MAX(0,AG32-AF32)*Gia_dinh!$F$88</f>
        <v/>
      </c>
      <c r="AH42" s="34">
        <f>MAX(0,AH32-AG32)*Gia_dinh!$F$88</f>
        <v/>
      </c>
      <c r="AI42" s="34">
        <f>MAX(0,AI32-AH32)*Gia_dinh!$F$88</f>
        <v/>
      </c>
      <c r="AJ42" s="34">
        <f>MAX(0,AJ32-AI32)*Gia_dinh!$F$88</f>
        <v/>
      </c>
      <c r="AK42" s="34">
        <f>MAX(0,AK32-AJ32)*Gia_dinh!$F$88</f>
        <v/>
      </c>
      <c r="AL42" s="34">
        <f>MAX(0,AL32-AK32)*Gia_dinh!$F$88</f>
        <v/>
      </c>
      <c r="AM42" s="34">
        <f>MAX(0,AM32-AL32)*Gia_dinh!$F$88</f>
        <v/>
      </c>
    </row>
    <row r="43">
      <c r="B43" t="inlineStr">
        <is>
          <t>Khấu hao trong tháng (đường thẳng)</t>
        </is>
      </c>
      <c r="C43" t="inlineStr">
        <is>
          <t>triệu VND</t>
        </is>
      </c>
      <c r="D43" s="11">
        <f>SUM($D$42:D42)/Gia_dinh!$F$89</f>
        <v/>
      </c>
      <c r="E43" s="11">
        <f>SUM($D$42:E42)/Gia_dinh!$F$89</f>
        <v/>
      </c>
      <c r="F43" s="11">
        <f>SUM($D$42:F42)/Gia_dinh!$F$89</f>
        <v/>
      </c>
      <c r="G43" s="11">
        <f>SUM($D$42:G42)/Gia_dinh!$F$89</f>
        <v/>
      </c>
      <c r="H43" s="11">
        <f>SUM($D$42:H42)/Gia_dinh!$F$89</f>
        <v/>
      </c>
      <c r="I43" s="11">
        <f>SUM($D$42:I42)/Gia_dinh!$F$89</f>
        <v/>
      </c>
      <c r="J43" s="11">
        <f>SUM($D$42:J42)/Gia_dinh!$F$89</f>
        <v/>
      </c>
      <c r="K43" s="11">
        <f>SUM($D$42:K42)/Gia_dinh!$F$89</f>
        <v/>
      </c>
      <c r="L43" s="11">
        <f>SUM($D$42:L42)/Gia_dinh!$F$89</f>
        <v/>
      </c>
      <c r="M43" s="11">
        <f>SUM($D$42:M42)/Gia_dinh!$F$89</f>
        <v/>
      </c>
      <c r="N43" s="11">
        <f>SUM($D$42:N42)/Gia_dinh!$F$89</f>
        <v/>
      </c>
      <c r="O43" s="11">
        <f>SUM($D$42:O42)/Gia_dinh!$F$89</f>
        <v/>
      </c>
      <c r="P43" s="11">
        <f>SUM($D$42:P42)/Gia_dinh!$F$89</f>
        <v/>
      </c>
      <c r="Q43" s="11">
        <f>SUM($D$42:Q42)/Gia_dinh!$F$89</f>
        <v/>
      </c>
      <c r="R43" s="11">
        <f>SUM($D$42:R42)/Gia_dinh!$F$89</f>
        <v/>
      </c>
      <c r="S43" s="11">
        <f>SUM($D$42:S42)/Gia_dinh!$F$89</f>
        <v/>
      </c>
      <c r="T43" s="11">
        <f>SUM($D$42:T42)/Gia_dinh!$F$89</f>
        <v/>
      </c>
      <c r="U43" s="11">
        <f>SUM($D$42:U42)/Gia_dinh!$F$89</f>
        <v/>
      </c>
      <c r="V43" s="11">
        <f>SUM($D$42:V42)/Gia_dinh!$F$89</f>
        <v/>
      </c>
      <c r="W43" s="11">
        <f>SUM($D$42:W42)/Gia_dinh!$F$89</f>
        <v/>
      </c>
      <c r="X43" s="11">
        <f>SUM($D$42:X42)/Gia_dinh!$F$89</f>
        <v/>
      </c>
      <c r="Y43" s="11">
        <f>SUM($D$42:Y42)/Gia_dinh!$F$89</f>
        <v/>
      </c>
      <c r="Z43" s="11">
        <f>SUM($D$42:Z42)/Gia_dinh!$F$89</f>
        <v/>
      </c>
      <c r="AA43" s="11">
        <f>SUM($D$42:AA42)/Gia_dinh!$F$89</f>
        <v/>
      </c>
      <c r="AB43" s="11">
        <f>SUM($D$42:AB42)/Gia_dinh!$F$89</f>
        <v/>
      </c>
      <c r="AC43" s="11">
        <f>SUM($D$42:AC42)/Gia_dinh!$F$89</f>
        <v/>
      </c>
      <c r="AD43" s="11">
        <f>SUM($D$42:AD42)/Gia_dinh!$F$89</f>
        <v/>
      </c>
      <c r="AE43" s="11">
        <f>SUM($D$42:AE42)/Gia_dinh!$F$89</f>
        <v/>
      </c>
      <c r="AF43" s="11">
        <f>SUM($D$42:AF42)/Gia_dinh!$F$89</f>
        <v/>
      </c>
      <c r="AG43" s="11">
        <f>SUM($D$42:AG42)/Gia_dinh!$F$89</f>
        <v/>
      </c>
      <c r="AH43" s="11">
        <f>SUM($D$42:AH42)/Gia_dinh!$F$89</f>
        <v/>
      </c>
      <c r="AI43" s="11">
        <f>SUM($D$42:AI42)/Gia_dinh!$F$89</f>
        <v/>
      </c>
      <c r="AJ43" s="11">
        <f>SUM($D$42:AJ42)/Gia_dinh!$F$89</f>
        <v/>
      </c>
      <c r="AK43" s="11">
        <f>SUM($D$42:AK42)/Gia_dinh!$F$89</f>
        <v/>
      </c>
      <c r="AL43" s="11">
        <f>SUM($D$42:AL42)/Gia_dinh!$F$89</f>
        <v/>
      </c>
      <c r="AM43" s="11">
        <f>SUM($D$42:AM42)/Gia_dinh!$F$89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61"/>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48"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c r="A1" s="7" t="inlineStr">
        <is>
          <t>BÁO CÁO KẾT QUẢ KINH DOANH (P&amp;L) THEO THÁNG — triệu VND</t>
        </is>
      </c>
    </row>
    <row r="3">
      <c r="A3" s="28" t="n"/>
      <c r="B3" s="8" t="inlineStr">
        <is>
          <t>Thang</t>
        </is>
      </c>
      <c r="C3" s="8" t="inlineStr">
        <is>
          <t>Đơn vị</t>
        </is>
      </c>
      <c r="D3" s="29" t="n">
        <v>1</v>
      </c>
      <c r="E3" s="29" t="n">
        <v>2</v>
      </c>
      <c r="F3" s="29" t="n">
        <v>3</v>
      </c>
      <c r="G3" s="29" t="n">
        <v>4</v>
      </c>
      <c r="H3" s="29" t="n">
        <v>5</v>
      </c>
      <c r="I3" s="29" t="n">
        <v>6</v>
      </c>
      <c r="J3" s="29" t="n">
        <v>7</v>
      </c>
      <c r="K3" s="29" t="n">
        <v>8</v>
      </c>
      <c r="L3" s="29" t="n">
        <v>9</v>
      </c>
      <c r="M3" s="29" t="n">
        <v>10</v>
      </c>
      <c r="N3" s="29" t="n">
        <v>11</v>
      </c>
      <c r="O3" s="29" t="n">
        <v>12</v>
      </c>
      <c r="P3" s="29" t="n">
        <v>13</v>
      </c>
      <c r="Q3" s="29" t="n">
        <v>14</v>
      </c>
      <c r="R3" s="29" t="n">
        <v>15</v>
      </c>
      <c r="S3" s="29" t="n">
        <v>16</v>
      </c>
      <c r="T3" s="29" t="n">
        <v>17</v>
      </c>
      <c r="U3" s="29" t="n">
        <v>18</v>
      </c>
      <c r="V3" s="29" t="n">
        <v>19</v>
      </c>
      <c r="W3" s="29" t="n">
        <v>20</v>
      </c>
      <c r="X3" s="29" t="n">
        <v>21</v>
      </c>
      <c r="Y3" s="29" t="n">
        <v>22</v>
      </c>
      <c r="Z3" s="29" t="n">
        <v>23</v>
      </c>
      <c r="AA3" s="29" t="n">
        <v>24</v>
      </c>
      <c r="AB3" s="29" t="n">
        <v>25</v>
      </c>
      <c r="AC3" s="29" t="n">
        <v>26</v>
      </c>
      <c r="AD3" s="29" t="n">
        <v>27</v>
      </c>
      <c r="AE3" s="29" t="n">
        <v>28</v>
      </c>
      <c r="AF3" s="29" t="n">
        <v>29</v>
      </c>
      <c r="AG3" s="29" t="n">
        <v>30</v>
      </c>
      <c r="AH3" s="29" t="n">
        <v>31</v>
      </c>
      <c r="AI3" s="29" t="n">
        <v>32</v>
      </c>
      <c r="AJ3" s="29" t="n">
        <v>33</v>
      </c>
      <c r="AK3" s="29" t="n">
        <v>34</v>
      </c>
      <c r="AL3" s="29" t="n">
        <v>35</v>
      </c>
      <c r="AM3" s="29" t="n">
        <v>36</v>
      </c>
    </row>
    <row r="4">
      <c r="A4" s="28" t="n"/>
      <c r="B4" s="8" t="inlineStr">
        <is>
          <t>Ky</t>
        </is>
      </c>
      <c r="C4" s="28" t="n"/>
      <c r="D4" s="30">
        <f>EDATE(Gia_dinh!$B$5,1-1)</f>
        <v/>
      </c>
      <c r="E4" s="30">
        <f>EDATE(Gia_dinh!$B$5,2-1)</f>
        <v/>
      </c>
      <c r="F4" s="30">
        <f>EDATE(Gia_dinh!$B$5,3-1)</f>
        <v/>
      </c>
      <c r="G4" s="30">
        <f>EDATE(Gia_dinh!$B$5,4-1)</f>
        <v/>
      </c>
      <c r="H4" s="30">
        <f>EDATE(Gia_dinh!$B$5,5-1)</f>
        <v/>
      </c>
      <c r="I4" s="30">
        <f>EDATE(Gia_dinh!$B$5,6-1)</f>
        <v/>
      </c>
      <c r="J4" s="30">
        <f>EDATE(Gia_dinh!$B$5,7-1)</f>
        <v/>
      </c>
      <c r="K4" s="30">
        <f>EDATE(Gia_dinh!$B$5,8-1)</f>
        <v/>
      </c>
      <c r="L4" s="30">
        <f>EDATE(Gia_dinh!$B$5,9-1)</f>
        <v/>
      </c>
      <c r="M4" s="30">
        <f>EDATE(Gia_dinh!$B$5,10-1)</f>
        <v/>
      </c>
      <c r="N4" s="30">
        <f>EDATE(Gia_dinh!$B$5,11-1)</f>
        <v/>
      </c>
      <c r="O4" s="30">
        <f>EDATE(Gia_dinh!$B$5,12-1)</f>
        <v/>
      </c>
      <c r="P4" s="30">
        <f>EDATE(Gia_dinh!$B$5,13-1)</f>
        <v/>
      </c>
      <c r="Q4" s="30">
        <f>EDATE(Gia_dinh!$B$5,14-1)</f>
        <v/>
      </c>
      <c r="R4" s="30">
        <f>EDATE(Gia_dinh!$B$5,15-1)</f>
        <v/>
      </c>
      <c r="S4" s="30">
        <f>EDATE(Gia_dinh!$B$5,16-1)</f>
        <v/>
      </c>
      <c r="T4" s="30">
        <f>EDATE(Gia_dinh!$B$5,17-1)</f>
        <v/>
      </c>
      <c r="U4" s="30">
        <f>EDATE(Gia_dinh!$B$5,18-1)</f>
        <v/>
      </c>
      <c r="V4" s="30">
        <f>EDATE(Gia_dinh!$B$5,19-1)</f>
        <v/>
      </c>
      <c r="W4" s="30">
        <f>EDATE(Gia_dinh!$B$5,20-1)</f>
        <v/>
      </c>
      <c r="X4" s="30">
        <f>EDATE(Gia_dinh!$B$5,21-1)</f>
        <v/>
      </c>
      <c r="Y4" s="30">
        <f>EDATE(Gia_dinh!$B$5,22-1)</f>
        <v/>
      </c>
      <c r="Z4" s="30">
        <f>EDATE(Gia_dinh!$B$5,23-1)</f>
        <v/>
      </c>
      <c r="AA4" s="30">
        <f>EDATE(Gia_dinh!$B$5,24-1)</f>
        <v/>
      </c>
      <c r="AB4" s="30">
        <f>EDATE(Gia_dinh!$B$5,25-1)</f>
        <v/>
      </c>
      <c r="AC4" s="30">
        <f>EDATE(Gia_dinh!$B$5,26-1)</f>
        <v/>
      </c>
      <c r="AD4" s="30">
        <f>EDATE(Gia_dinh!$B$5,27-1)</f>
        <v/>
      </c>
      <c r="AE4" s="30">
        <f>EDATE(Gia_dinh!$B$5,28-1)</f>
        <v/>
      </c>
      <c r="AF4" s="30">
        <f>EDATE(Gia_dinh!$B$5,29-1)</f>
        <v/>
      </c>
      <c r="AG4" s="30">
        <f>EDATE(Gia_dinh!$B$5,30-1)</f>
        <v/>
      </c>
      <c r="AH4" s="30">
        <f>EDATE(Gia_dinh!$B$5,31-1)</f>
        <v/>
      </c>
      <c r="AI4" s="30">
        <f>EDATE(Gia_dinh!$B$5,32-1)</f>
        <v/>
      </c>
      <c r="AJ4" s="30">
        <f>EDATE(Gia_dinh!$B$5,33-1)</f>
        <v/>
      </c>
      <c r="AK4" s="30">
        <f>EDATE(Gia_dinh!$B$5,34-1)</f>
        <v/>
      </c>
      <c r="AL4" s="30">
        <f>EDATE(Gia_dinh!$B$5,35-1)</f>
        <v/>
      </c>
      <c r="AM4" s="30">
        <f>EDATE(Gia_dinh!$B$5,36-1)</f>
        <v/>
      </c>
    </row>
    <row r="5">
      <c r="A5" s="28" t="n"/>
      <c r="B5" s="8" t="inlineStr">
        <is>
          <t>Nam</t>
        </is>
      </c>
      <c r="C5" s="28" t="n"/>
      <c r="D5" s="31" t="inlineStr">
        <is>
          <t>Nam 1</t>
        </is>
      </c>
      <c r="E5" s="31" t="inlineStr">
        <is>
          <t>Nam 1</t>
        </is>
      </c>
      <c r="F5" s="31" t="inlineStr">
        <is>
          <t>Nam 1</t>
        </is>
      </c>
      <c r="G5" s="31" t="inlineStr">
        <is>
          <t>Nam 1</t>
        </is>
      </c>
      <c r="H5" s="31" t="inlineStr">
        <is>
          <t>Nam 1</t>
        </is>
      </c>
      <c r="I5" s="31" t="inlineStr">
        <is>
          <t>Nam 1</t>
        </is>
      </c>
      <c r="J5" s="31" t="inlineStr">
        <is>
          <t>Nam 1</t>
        </is>
      </c>
      <c r="K5" s="31" t="inlineStr">
        <is>
          <t>Nam 1</t>
        </is>
      </c>
      <c r="L5" s="31" t="inlineStr">
        <is>
          <t>Nam 1</t>
        </is>
      </c>
      <c r="M5" s="31" t="inlineStr">
        <is>
          <t>Nam 1</t>
        </is>
      </c>
      <c r="N5" s="31" t="inlineStr">
        <is>
          <t>Nam 1</t>
        </is>
      </c>
      <c r="O5" s="31" t="inlineStr">
        <is>
          <t>Nam 1</t>
        </is>
      </c>
      <c r="P5" s="31" t="inlineStr">
        <is>
          <t>Nam 2</t>
        </is>
      </c>
      <c r="Q5" s="31" t="inlineStr">
        <is>
          <t>Nam 2</t>
        </is>
      </c>
      <c r="R5" s="31" t="inlineStr">
        <is>
          <t>Nam 2</t>
        </is>
      </c>
      <c r="S5" s="31" t="inlineStr">
        <is>
          <t>Nam 2</t>
        </is>
      </c>
      <c r="T5" s="31" t="inlineStr">
        <is>
          <t>Nam 2</t>
        </is>
      </c>
      <c r="U5" s="31" t="inlineStr">
        <is>
          <t>Nam 2</t>
        </is>
      </c>
      <c r="V5" s="31" t="inlineStr">
        <is>
          <t>Nam 2</t>
        </is>
      </c>
      <c r="W5" s="31" t="inlineStr">
        <is>
          <t>Nam 2</t>
        </is>
      </c>
      <c r="X5" s="31" t="inlineStr">
        <is>
          <t>Nam 2</t>
        </is>
      </c>
      <c r="Y5" s="31" t="inlineStr">
        <is>
          <t>Nam 2</t>
        </is>
      </c>
      <c r="Z5" s="31" t="inlineStr">
        <is>
          <t>Nam 2</t>
        </is>
      </c>
      <c r="AA5" s="31" t="inlineStr">
        <is>
          <t>Nam 2</t>
        </is>
      </c>
      <c r="AB5" s="31" t="inlineStr">
        <is>
          <t>Nam 3</t>
        </is>
      </c>
      <c r="AC5" s="31" t="inlineStr">
        <is>
          <t>Nam 3</t>
        </is>
      </c>
      <c r="AD5" s="31" t="inlineStr">
        <is>
          <t>Nam 3</t>
        </is>
      </c>
      <c r="AE5" s="31" t="inlineStr">
        <is>
          <t>Nam 3</t>
        </is>
      </c>
      <c r="AF5" s="31" t="inlineStr">
        <is>
          <t>Nam 3</t>
        </is>
      </c>
      <c r="AG5" s="31" t="inlineStr">
        <is>
          <t>Nam 3</t>
        </is>
      </c>
      <c r="AH5" s="31" t="inlineStr">
        <is>
          <t>Nam 3</t>
        </is>
      </c>
      <c r="AI5" s="31" t="inlineStr">
        <is>
          <t>Nam 3</t>
        </is>
      </c>
      <c r="AJ5" s="31" t="inlineStr">
        <is>
          <t>Nam 3</t>
        </is>
      </c>
      <c r="AK5" s="31" t="inlineStr">
        <is>
          <t>Nam 3</t>
        </is>
      </c>
      <c r="AL5" s="31" t="inlineStr">
        <is>
          <t>Nam 3</t>
        </is>
      </c>
      <c r="AM5" s="31" t="inlineStr">
        <is>
          <t>Nam 3</t>
        </is>
      </c>
    </row>
    <row r="6">
      <c r="B6" s="4" t="inlineStr">
        <is>
          <t>DOANH THU</t>
        </is>
      </c>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row>
    <row r="7">
      <c r="B7" t="inlineStr">
        <is>
          <t>Hoa hồng affiliate — IP người thật</t>
        </is>
      </c>
      <c r="C7" t="inlineStr">
        <is>
          <t>triệu VND</t>
        </is>
      </c>
      <c r="D7" s="11">
        <f>Doanh_thu!D24</f>
        <v/>
      </c>
      <c r="E7" s="11">
        <f>Doanh_thu!E24</f>
        <v/>
      </c>
      <c r="F7" s="11">
        <f>Doanh_thu!F24</f>
        <v/>
      </c>
      <c r="G7" s="11">
        <f>Doanh_thu!G24</f>
        <v/>
      </c>
      <c r="H7" s="11">
        <f>Doanh_thu!H24</f>
        <v/>
      </c>
      <c r="I7" s="11">
        <f>Doanh_thu!I24</f>
        <v/>
      </c>
      <c r="J7" s="11">
        <f>Doanh_thu!J24</f>
        <v/>
      </c>
      <c r="K7" s="11">
        <f>Doanh_thu!K24</f>
        <v/>
      </c>
      <c r="L7" s="11">
        <f>Doanh_thu!L24</f>
        <v/>
      </c>
      <c r="M7" s="11">
        <f>Doanh_thu!M24</f>
        <v/>
      </c>
      <c r="N7" s="11">
        <f>Doanh_thu!N24</f>
        <v/>
      </c>
      <c r="O7" s="11">
        <f>Doanh_thu!O24</f>
        <v/>
      </c>
      <c r="P7" s="11">
        <f>Doanh_thu!P24</f>
        <v/>
      </c>
      <c r="Q7" s="11">
        <f>Doanh_thu!Q24</f>
        <v/>
      </c>
      <c r="R7" s="11">
        <f>Doanh_thu!R24</f>
        <v/>
      </c>
      <c r="S7" s="11">
        <f>Doanh_thu!S24</f>
        <v/>
      </c>
      <c r="T7" s="11">
        <f>Doanh_thu!T24</f>
        <v/>
      </c>
      <c r="U7" s="11">
        <f>Doanh_thu!U24</f>
        <v/>
      </c>
      <c r="V7" s="11">
        <f>Doanh_thu!V24</f>
        <v/>
      </c>
      <c r="W7" s="11">
        <f>Doanh_thu!W24</f>
        <v/>
      </c>
      <c r="X7" s="11">
        <f>Doanh_thu!X24</f>
        <v/>
      </c>
      <c r="Y7" s="11">
        <f>Doanh_thu!Y24</f>
        <v/>
      </c>
      <c r="Z7" s="11">
        <f>Doanh_thu!Z24</f>
        <v/>
      </c>
      <c r="AA7" s="11">
        <f>Doanh_thu!AA24</f>
        <v/>
      </c>
      <c r="AB7" s="11">
        <f>Doanh_thu!AB24</f>
        <v/>
      </c>
      <c r="AC7" s="11">
        <f>Doanh_thu!AC24</f>
        <v/>
      </c>
      <c r="AD7" s="11">
        <f>Doanh_thu!AD24</f>
        <v/>
      </c>
      <c r="AE7" s="11">
        <f>Doanh_thu!AE24</f>
        <v/>
      </c>
      <c r="AF7" s="11">
        <f>Doanh_thu!AF24</f>
        <v/>
      </c>
      <c r="AG7" s="11">
        <f>Doanh_thu!AG24</f>
        <v/>
      </c>
      <c r="AH7" s="11">
        <f>Doanh_thu!AH24</f>
        <v/>
      </c>
      <c r="AI7" s="11">
        <f>Doanh_thu!AI24</f>
        <v/>
      </c>
      <c r="AJ7" s="11">
        <f>Doanh_thu!AJ24</f>
        <v/>
      </c>
      <c r="AK7" s="11">
        <f>Doanh_thu!AK24</f>
        <v/>
      </c>
      <c r="AL7" s="11">
        <f>Doanh_thu!AL24</f>
        <v/>
      </c>
      <c r="AM7" s="11">
        <f>Doanh_thu!AM24</f>
        <v/>
      </c>
    </row>
    <row r="8">
      <c r="B8" t="inlineStr">
        <is>
          <t>Phí booking cố định</t>
        </is>
      </c>
      <c r="C8" t="inlineStr">
        <is>
          <t>triệu VND</t>
        </is>
      </c>
      <c r="D8" s="11">
        <f>Doanh_thu!D25</f>
        <v/>
      </c>
      <c r="E8" s="11">
        <f>Doanh_thu!E25</f>
        <v/>
      </c>
      <c r="F8" s="11">
        <f>Doanh_thu!F25</f>
        <v/>
      </c>
      <c r="G8" s="11">
        <f>Doanh_thu!G25</f>
        <v/>
      </c>
      <c r="H8" s="11">
        <f>Doanh_thu!H25</f>
        <v/>
      </c>
      <c r="I8" s="11">
        <f>Doanh_thu!I25</f>
        <v/>
      </c>
      <c r="J8" s="11">
        <f>Doanh_thu!J25</f>
        <v/>
      </c>
      <c r="K8" s="11">
        <f>Doanh_thu!K25</f>
        <v/>
      </c>
      <c r="L8" s="11">
        <f>Doanh_thu!L25</f>
        <v/>
      </c>
      <c r="M8" s="11">
        <f>Doanh_thu!M25</f>
        <v/>
      </c>
      <c r="N8" s="11">
        <f>Doanh_thu!N25</f>
        <v/>
      </c>
      <c r="O8" s="11">
        <f>Doanh_thu!O25</f>
        <v/>
      </c>
      <c r="P8" s="11">
        <f>Doanh_thu!P25</f>
        <v/>
      </c>
      <c r="Q8" s="11">
        <f>Doanh_thu!Q25</f>
        <v/>
      </c>
      <c r="R8" s="11">
        <f>Doanh_thu!R25</f>
        <v/>
      </c>
      <c r="S8" s="11">
        <f>Doanh_thu!S25</f>
        <v/>
      </c>
      <c r="T8" s="11">
        <f>Doanh_thu!T25</f>
        <v/>
      </c>
      <c r="U8" s="11">
        <f>Doanh_thu!U25</f>
        <v/>
      </c>
      <c r="V8" s="11">
        <f>Doanh_thu!V25</f>
        <v/>
      </c>
      <c r="W8" s="11">
        <f>Doanh_thu!W25</f>
        <v/>
      </c>
      <c r="X8" s="11">
        <f>Doanh_thu!X25</f>
        <v/>
      </c>
      <c r="Y8" s="11">
        <f>Doanh_thu!Y25</f>
        <v/>
      </c>
      <c r="Z8" s="11">
        <f>Doanh_thu!Z25</f>
        <v/>
      </c>
      <c r="AA8" s="11">
        <f>Doanh_thu!AA25</f>
        <v/>
      </c>
      <c r="AB8" s="11">
        <f>Doanh_thu!AB25</f>
        <v/>
      </c>
      <c r="AC8" s="11">
        <f>Doanh_thu!AC25</f>
        <v/>
      </c>
      <c r="AD8" s="11">
        <f>Doanh_thu!AD25</f>
        <v/>
      </c>
      <c r="AE8" s="11">
        <f>Doanh_thu!AE25</f>
        <v/>
      </c>
      <c r="AF8" s="11">
        <f>Doanh_thu!AF25</f>
        <v/>
      </c>
      <c r="AG8" s="11">
        <f>Doanh_thu!AG25</f>
        <v/>
      </c>
      <c r="AH8" s="11">
        <f>Doanh_thu!AH25</f>
        <v/>
      </c>
      <c r="AI8" s="11">
        <f>Doanh_thu!AI25</f>
        <v/>
      </c>
      <c r="AJ8" s="11">
        <f>Doanh_thu!AJ25</f>
        <v/>
      </c>
      <c r="AK8" s="11">
        <f>Doanh_thu!AK25</f>
        <v/>
      </c>
      <c r="AL8" s="11">
        <f>Doanh_thu!AL25</f>
        <v/>
      </c>
      <c r="AM8" s="11">
        <f>Doanh_thu!AM25</f>
        <v/>
      </c>
    </row>
    <row r="9">
      <c r="B9" t="inlineStr">
        <is>
          <t>Thưởng đạt target</t>
        </is>
      </c>
      <c r="C9" t="inlineStr">
        <is>
          <t>triệu VND</t>
        </is>
      </c>
      <c r="D9" s="11">
        <f>Doanh_thu!D26</f>
        <v/>
      </c>
      <c r="E9" s="11">
        <f>Doanh_thu!E26</f>
        <v/>
      </c>
      <c r="F9" s="11">
        <f>Doanh_thu!F26</f>
        <v/>
      </c>
      <c r="G9" s="11">
        <f>Doanh_thu!G26</f>
        <v/>
      </c>
      <c r="H9" s="11">
        <f>Doanh_thu!H26</f>
        <v/>
      </c>
      <c r="I9" s="11">
        <f>Doanh_thu!I26</f>
        <v/>
      </c>
      <c r="J9" s="11">
        <f>Doanh_thu!J26</f>
        <v/>
      </c>
      <c r="K9" s="11">
        <f>Doanh_thu!K26</f>
        <v/>
      </c>
      <c r="L9" s="11">
        <f>Doanh_thu!L26</f>
        <v/>
      </c>
      <c r="M9" s="11">
        <f>Doanh_thu!M26</f>
        <v/>
      </c>
      <c r="N9" s="11">
        <f>Doanh_thu!N26</f>
        <v/>
      </c>
      <c r="O9" s="11">
        <f>Doanh_thu!O26</f>
        <v/>
      </c>
      <c r="P9" s="11">
        <f>Doanh_thu!P26</f>
        <v/>
      </c>
      <c r="Q9" s="11">
        <f>Doanh_thu!Q26</f>
        <v/>
      </c>
      <c r="R9" s="11">
        <f>Doanh_thu!R26</f>
        <v/>
      </c>
      <c r="S9" s="11">
        <f>Doanh_thu!S26</f>
        <v/>
      </c>
      <c r="T9" s="11">
        <f>Doanh_thu!T26</f>
        <v/>
      </c>
      <c r="U9" s="11">
        <f>Doanh_thu!U26</f>
        <v/>
      </c>
      <c r="V9" s="11">
        <f>Doanh_thu!V26</f>
        <v/>
      </c>
      <c r="W9" s="11">
        <f>Doanh_thu!W26</f>
        <v/>
      </c>
      <c r="X9" s="11">
        <f>Doanh_thu!X26</f>
        <v/>
      </c>
      <c r="Y9" s="11">
        <f>Doanh_thu!Y26</f>
        <v/>
      </c>
      <c r="Z9" s="11">
        <f>Doanh_thu!Z26</f>
        <v/>
      </c>
      <c r="AA9" s="11">
        <f>Doanh_thu!AA26</f>
        <v/>
      </c>
      <c r="AB9" s="11">
        <f>Doanh_thu!AB26</f>
        <v/>
      </c>
      <c r="AC9" s="11">
        <f>Doanh_thu!AC26</f>
        <v/>
      </c>
      <c r="AD9" s="11">
        <f>Doanh_thu!AD26</f>
        <v/>
      </c>
      <c r="AE9" s="11">
        <f>Doanh_thu!AE26</f>
        <v/>
      </c>
      <c r="AF9" s="11">
        <f>Doanh_thu!AF26</f>
        <v/>
      </c>
      <c r="AG9" s="11">
        <f>Doanh_thu!AG26</f>
        <v/>
      </c>
      <c r="AH9" s="11">
        <f>Doanh_thu!AH26</f>
        <v/>
      </c>
      <c r="AI9" s="11">
        <f>Doanh_thu!AI26</f>
        <v/>
      </c>
      <c r="AJ9" s="11">
        <f>Doanh_thu!AJ26</f>
        <v/>
      </c>
      <c r="AK9" s="11">
        <f>Doanh_thu!AK26</f>
        <v/>
      </c>
      <c r="AL9" s="11">
        <f>Doanh_thu!AL26</f>
        <v/>
      </c>
      <c r="AM9" s="11">
        <f>Doanh_thu!AM26</f>
        <v/>
      </c>
    </row>
    <row r="10">
      <c r="B10" t="inlineStr">
        <is>
          <t>Hoa hồng affiliate — IP AI</t>
        </is>
      </c>
      <c r="C10" t="inlineStr">
        <is>
          <t>triệu VND</t>
        </is>
      </c>
      <c r="D10" s="11">
        <f>Doanh_thu!D28</f>
        <v/>
      </c>
      <c r="E10" s="11">
        <f>Doanh_thu!E28</f>
        <v/>
      </c>
      <c r="F10" s="11">
        <f>Doanh_thu!F28</f>
        <v/>
      </c>
      <c r="G10" s="11">
        <f>Doanh_thu!G28</f>
        <v/>
      </c>
      <c r="H10" s="11">
        <f>Doanh_thu!H28</f>
        <v/>
      </c>
      <c r="I10" s="11">
        <f>Doanh_thu!I28</f>
        <v/>
      </c>
      <c r="J10" s="11">
        <f>Doanh_thu!J28</f>
        <v/>
      </c>
      <c r="K10" s="11">
        <f>Doanh_thu!K28</f>
        <v/>
      </c>
      <c r="L10" s="11">
        <f>Doanh_thu!L28</f>
        <v/>
      </c>
      <c r="M10" s="11">
        <f>Doanh_thu!M28</f>
        <v/>
      </c>
      <c r="N10" s="11">
        <f>Doanh_thu!N28</f>
        <v/>
      </c>
      <c r="O10" s="11">
        <f>Doanh_thu!O28</f>
        <v/>
      </c>
      <c r="P10" s="11">
        <f>Doanh_thu!P28</f>
        <v/>
      </c>
      <c r="Q10" s="11">
        <f>Doanh_thu!Q28</f>
        <v/>
      </c>
      <c r="R10" s="11">
        <f>Doanh_thu!R28</f>
        <v/>
      </c>
      <c r="S10" s="11">
        <f>Doanh_thu!S28</f>
        <v/>
      </c>
      <c r="T10" s="11">
        <f>Doanh_thu!T28</f>
        <v/>
      </c>
      <c r="U10" s="11">
        <f>Doanh_thu!U28</f>
        <v/>
      </c>
      <c r="V10" s="11">
        <f>Doanh_thu!V28</f>
        <v/>
      </c>
      <c r="W10" s="11">
        <f>Doanh_thu!W28</f>
        <v/>
      </c>
      <c r="X10" s="11">
        <f>Doanh_thu!X28</f>
        <v/>
      </c>
      <c r="Y10" s="11">
        <f>Doanh_thu!Y28</f>
        <v/>
      </c>
      <c r="Z10" s="11">
        <f>Doanh_thu!Z28</f>
        <v/>
      </c>
      <c r="AA10" s="11">
        <f>Doanh_thu!AA28</f>
        <v/>
      </c>
      <c r="AB10" s="11">
        <f>Doanh_thu!AB28</f>
        <v/>
      </c>
      <c r="AC10" s="11">
        <f>Doanh_thu!AC28</f>
        <v/>
      </c>
      <c r="AD10" s="11">
        <f>Doanh_thu!AD28</f>
        <v/>
      </c>
      <c r="AE10" s="11">
        <f>Doanh_thu!AE28</f>
        <v/>
      </c>
      <c r="AF10" s="11">
        <f>Doanh_thu!AF28</f>
        <v/>
      </c>
      <c r="AG10" s="11">
        <f>Doanh_thu!AG28</f>
        <v/>
      </c>
      <c r="AH10" s="11">
        <f>Doanh_thu!AH28</f>
        <v/>
      </c>
      <c r="AI10" s="11">
        <f>Doanh_thu!AI28</f>
        <v/>
      </c>
      <c r="AJ10" s="11">
        <f>Doanh_thu!AJ28</f>
        <v/>
      </c>
      <c r="AK10" s="11">
        <f>Doanh_thu!AK28</f>
        <v/>
      </c>
      <c r="AL10" s="11">
        <f>Doanh_thu!AL28</f>
        <v/>
      </c>
      <c r="AM10" s="11">
        <f>Doanh_thu!AM28</f>
        <v/>
      </c>
    </row>
    <row r="11">
      <c r="B11" s="2" t="inlineStr">
        <is>
          <t>TỔNG DOANH THU</t>
        </is>
      </c>
      <c r="C11" t="inlineStr">
        <is>
          <t>triệu VND</t>
        </is>
      </c>
      <c r="D11" s="34">
        <f>SUM(D7:D10)</f>
        <v/>
      </c>
      <c r="E11" s="34">
        <f>SUM(E7:E10)</f>
        <v/>
      </c>
      <c r="F11" s="34">
        <f>SUM(F7:F10)</f>
        <v/>
      </c>
      <c r="G11" s="34">
        <f>SUM(G7:G10)</f>
        <v/>
      </c>
      <c r="H11" s="34">
        <f>SUM(H7:H10)</f>
        <v/>
      </c>
      <c r="I11" s="34">
        <f>SUM(I7:I10)</f>
        <v/>
      </c>
      <c r="J11" s="34">
        <f>SUM(J7:J10)</f>
        <v/>
      </c>
      <c r="K11" s="34">
        <f>SUM(K7:K10)</f>
        <v/>
      </c>
      <c r="L11" s="34">
        <f>SUM(L7:L10)</f>
        <v/>
      </c>
      <c r="M11" s="34">
        <f>SUM(M7:M10)</f>
        <v/>
      </c>
      <c r="N11" s="34">
        <f>SUM(N7:N10)</f>
        <v/>
      </c>
      <c r="O11" s="34">
        <f>SUM(O7:O10)</f>
        <v/>
      </c>
      <c r="P11" s="34">
        <f>SUM(P7:P10)</f>
        <v/>
      </c>
      <c r="Q11" s="34">
        <f>SUM(Q7:Q10)</f>
        <v/>
      </c>
      <c r="R11" s="34">
        <f>SUM(R7:R10)</f>
        <v/>
      </c>
      <c r="S11" s="34">
        <f>SUM(S7:S10)</f>
        <v/>
      </c>
      <c r="T11" s="34">
        <f>SUM(T7:T10)</f>
        <v/>
      </c>
      <c r="U11" s="34">
        <f>SUM(U7:U10)</f>
        <v/>
      </c>
      <c r="V11" s="34">
        <f>SUM(V7:V10)</f>
        <v/>
      </c>
      <c r="W11" s="34">
        <f>SUM(W7:W10)</f>
        <v/>
      </c>
      <c r="X11" s="34">
        <f>SUM(X7:X10)</f>
        <v/>
      </c>
      <c r="Y11" s="34">
        <f>SUM(Y7:Y10)</f>
        <v/>
      </c>
      <c r="Z11" s="34">
        <f>SUM(Z7:Z10)</f>
        <v/>
      </c>
      <c r="AA11" s="34">
        <f>SUM(AA7:AA10)</f>
        <v/>
      </c>
      <c r="AB11" s="34">
        <f>SUM(AB7:AB10)</f>
        <v/>
      </c>
      <c r="AC11" s="34">
        <f>SUM(AC7:AC10)</f>
        <v/>
      </c>
      <c r="AD11" s="34">
        <f>SUM(AD7:AD10)</f>
        <v/>
      </c>
      <c r="AE11" s="34">
        <f>SUM(AE7:AE10)</f>
        <v/>
      </c>
      <c r="AF11" s="34">
        <f>SUM(AF7:AF10)</f>
        <v/>
      </c>
      <c r="AG11" s="34">
        <f>SUM(AG7:AG10)</f>
        <v/>
      </c>
      <c r="AH11" s="34">
        <f>SUM(AH7:AH10)</f>
        <v/>
      </c>
      <c r="AI11" s="34">
        <f>SUM(AI7:AI10)</f>
        <v/>
      </c>
      <c r="AJ11" s="34">
        <f>SUM(AJ7:AJ10)</f>
        <v/>
      </c>
      <c r="AK11" s="34">
        <f>SUM(AK7:AK10)</f>
        <v/>
      </c>
      <c r="AL11" s="34">
        <f>SUM(AL7:AL10)</f>
        <v/>
      </c>
      <c r="AM11" s="34">
        <f>SUM(AM7:AM10)</f>
        <v/>
      </c>
    </row>
    <row r="13">
      <c r="B13" s="4" t="inlineStr">
        <is>
          <t>GIÁ VỐN (chi phí trực tiếp của IP)</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row>
    <row r="14">
      <c r="B14" t="inlineStr">
        <is>
          <t>Chia hoa hồng cho talent</t>
        </is>
      </c>
      <c r="C14" t="inlineStr">
        <is>
          <t>triệu VND</t>
        </is>
      </c>
      <c r="D14" s="11">
        <f>Chi_phi!D7</f>
        <v/>
      </c>
      <c r="E14" s="11">
        <f>Chi_phi!E7</f>
        <v/>
      </c>
      <c r="F14" s="11">
        <f>Chi_phi!F7</f>
        <v/>
      </c>
      <c r="G14" s="11">
        <f>Chi_phi!G7</f>
        <v/>
      </c>
      <c r="H14" s="11">
        <f>Chi_phi!H7</f>
        <v/>
      </c>
      <c r="I14" s="11">
        <f>Chi_phi!I7</f>
        <v/>
      </c>
      <c r="J14" s="11">
        <f>Chi_phi!J7</f>
        <v/>
      </c>
      <c r="K14" s="11">
        <f>Chi_phi!K7</f>
        <v/>
      </c>
      <c r="L14" s="11">
        <f>Chi_phi!L7</f>
        <v/>
      </c>
      <c r="M14" s="11">
        <f>Chi_phi!M7</f>
        <v/>
      </c>
      <c r="N14" s="11">
        <f>Chi_phi!N7</f>
        <v/>
      </c>
      <c r="O14" s="11">
        <f>Chi_phi!O7</f>
        <v/>
      </c>
      <c r="P14" s="11">
        <f>Chi_phi!P7</f>
        <v/>
      </c>
      <c r="Q14" s="11">
        <f>Chi_phi!Q7</f>
        <v/>
      </c>
      <c r="R14" s="11">
        <f>Chi_phi!R7</f>
        <v/>
      </c>
      <c r="S14" s="11">
        <f>Chi_phi!S7</f>
        <v/>
      </c>
      <c r="T14" s="11">
        <f>Chi_phi!T7</f>
        <v/>
      </c>
      <c r="U14" s="11">
        <f>Chi_phi!U7</f>
        <v/>
      </c>
      <c r="V14" s="11">
        <f>Chi_phi!V7</f>
        <v/>
      </c>
      <c r="W14" s="11">
        <f>Chi_phi!W7</f>
        <v/>
      </c>
      <c r="X14" s="11">
        <f>Chi_phi!X7</f>
        <v/>
      </c>
      <c r="Y14" s="11">
        <f>Chi_phi!Y7</f>
        <v/>
      </c>
      <c r="Z14" s="11">
        <f>Chi_phi!Z7</f>
        <v/>
      </c>
      <c r="AA14" s="11">
        <f>Chi_phi!AA7</f>
        <v/>
      </c>
      <c r="AB14" s="11">
        <f>Chi_phi!AB7</f>
        <v/>
      </c>
      <c r="AC14" s="11">
        <f>Chi_phi!AC7</f>
        <v/>
      </c>
      <c r="AD14" s="11">
        <f>Chi_phi!AD7</f>
        <v/>
      </c>
      <c r="AE14" s="11">
        <f>Chi_phi!AE7</f>
        <v/>
      </c>
      <c r="AF14" s="11">
        <f>Chi_phi!AF7</f>
        <v/>
      </c>
      <c r="AG14" s="11">
        <f>Chi_phi!AG7</f>
        <v/>
      </c>
      <c r="AH14" s="11">
        <f>Chi_phi!AH7</f>
        <v/>
      </c>
      <c r="AI14" s="11">
        <f>Chi_phi!AI7</f>
        <v/>
      </c>
      <c r="AJ14" s="11">
        <f>Chi_phi!AJ7</f>
        <v/>
      </c>
      <c r="AK14" s="11">
        <f>Chi_phi!AK7</f>
        <v/>
      </c>
      <c r="AL14" s="11">
        <f>Chi_phi!AL7</f>
        <v/>
      </c>
      <c r="AM14" s="11">
        <f>Chi_phi!AM7</f>
        <v/>
      </c>
    </row>
    <row r="15">
      <c r="B15" t="inlineStr">
        <is>
          <t>Lương cứng talent</t>
        </is>
      </c>
      <c r="C15" t="inlineStr">
        <is>
          <t>triệu VND</t>
        </is>
      </c>
      <c r="D15" s="11">
        <f>Chi_phi!D8</f>
        <v/>
      </c>
      <c r="E15" s="11">
        <f>Chi_phi!E8</f>
        <v/>
      </c>
      <c r="F15" s="11">
        <f>Chi_phi!F8</f>
        <v/>
      </c>
      <c r="G15" s="11">
        <f>Chi_phi!G8</f>
        <v/>
      </c>
      <c r="H15" s="11">
        <f>Chi_phi!H8</f>
        <v/>
      </c>
      <c r="I15" s="11">
        <f>Chi_phi!I8</f>
        <v/>
      </c>
      <c r="J15" s="11">
        <f>Chi_phi!J8</f>
        <v/>
      </c>
      <c r="K15" s="11">
        <f>Chi_phi!K8</f>
        <v/>
      </c>
      <c r="L15" s="11">
        <f>Chi_phi!L8</f>
        <v/>
      </c>
      <c r="M15" s="11">
        <f>Chi_phi!M8</f>
        <v/>
      </c>
      <c r="N15" s="11">
        <f>Chi_phi!N8</f>
        <v/>
      </c>
      <c r="O15" s="11">
        <f>Chi_phi!O8</f>
        <v/>
      </c>
      <c r="P15" s="11">
        <f>Chi_phi!P8</f>
        <v/>
      </c>
      <c r="Q15" s="11">
        <f>Chi_phi!Q8</f>
        <v/>
      </c>
      <c r="R15" s="11">
        <f>Chi_phi!R8</f>
        <v/>
      </c>
      <c r="S15" s="11">
        <f>Chi_phi!S8</f>
        <v/>
      </c>
      <c r="T15" s="11">
        <f>Chi_phi!T8</f>
        <v/>
      </c>
      <c r="U15" s="11">
        <f>Chi_phi!U8</f>
        <v/>
      </c>
      <c r="V15" s="11">
        <f>Chi_phi!V8</f>
        <v/>
      </c>
      <c r="W15" s="11">
        <f>Chi_phi!W8</f>
        <v/>
      </c>
      <c r="X15" s="11">
        <f>Chi_phi!X8</f>
        <v/>
      </c>
      <c r="Y15" s="11">
        <f>Chi_phi!Y8</f>
        <v/>
      </c>
      <c r="Z15" s="11">
        <f>Chi_phi!Z8</f>
        <v/>
      </c>
      <c r="AA15" s="11">
        <f>Chi_phi!AA8</f>
        <v/>
      </c>
      <c r="AB15" s="11">
        <f>Chi_phi!AB8</f>
        <v/>
      </c>
      <c r="AC15" s="11">
        <f>Chi_phi!AC8</f>
        <v/>
      </c>
      <c r="AD15" s="11">
        <f>Chi_phi!AD8</f>
        <v/>
      </c>
      <c r="AE15" s="11">
        <f>Chi_phi!AE8</f>
        <v/>
      </c>
      <c r="AF15" s="11">
        <f>Chi_phi!AF8</f>
        <v/>
      </c>
      <c r="AG15" s="11">
        <f>Chi_phi!AG8</f>
        <v/>
      </c>
      <c r="AH15" s="11">
        <f>Chi_phi!AH8</f>
        <v/>
      </c>
      <c r="AI15" s="11">
        <f>Chi_phi!AI8</f>
        <v/>
      </c>
      <c r="AJ15" s="11">
        <f>Chi_phi!AJ8</f>
        <v/>
      </c>
      <c r="AK15" s="11">
        <f>Chi_phi!AK8</f>
        <v/>
      </c>
      <c r="AL15" s="11">
        <f>Chi_phi!AL8</f>
        <v/>
      </c>
      <c r="AM15" s="11">
        <f>Chi_phi!AM8</f>
        <v/>
      </c>
    </row>
    <row r="16">
      <c r="B16" t="inlineStr">
        <is>
          <t>Ê-kíp nội dung &amp; live</t>
        </is>
      </c>
      <c r="C16" t="inlineStr">
        <is>
          <t>triệu VND</t>
        </is>
      </c>
      <c r="D16" s="11">
        <f>Chi_phi!D9</f>
        <v/>
      </c>
      <c r="E16" s="11">
        <f>Chi_phi!E9</f>
        <v/>
      </c>
      <c r="F16" s="11">
        <f>Chi_phi!F9</f>
        <v/>
      </c>
      <c r="G16" s="11">
        <f>Chi_phi!G9</f>
        <v/>
      </c>
      <c r="H16" s="11">
        <f>Chi_phi!H9</f>
        <v/>
      </c>
      <c r="I16" s="11">
        <f>Chi_phi!I9</f>
        <v/>
      </c>
      <c r="J16" s="11">
        <f>Chi_phi!J9</f>
        <v/>
      </c>
      <c r="K16" s="11">
        <f>Chi_phi!K9</f>
        <v/>
      </c>
      <c r="L16" s="11">
        <f>Chi_phi!L9</f>
        <v/>
      </c>
      <c r="M16" s="11">
        <f>Chi_phi!M9</f>
        <v/>
      </c>
      <c r="N16" s="11">
        <f>Chi_phi!N9</f>
        <v/>
      </c>
      <c r="O16" s="11">
        <f>Chi_phi!O9</f>
        <v/>
      </c>
      <c r="P16" s="11">
        <f>Chi_phi!P9</f>
        <v/>
      </c>
      <c r="Q16" s="11">
        <f>Chi_phi!Q9</f>
        <v/>
      </c>
      <c r="R16" s="11">
        <f>Chi_phi!R9</f>
        <v/>
      </c>
      <c r="S16" s="11">
        <f>Chi_phi!S9</f>
        <v/>
      </c>
      <c r="T16" s="11">
        <f>Chi_phi!T9</f>
        <v/>
      </c>
      <c r="U16" s="11">
        <f>Chi_phi!U9</f>
        <v/>
      </c>
      <c r="V16" s="11">
        <f>Chi_phi!V9</f>
        <v/>
      </c>
      <c r="W16" s="11">
        <f>Chi_phi!W9</f>
        <v/>
      </c>
      <c r="X16" s="11">
        <f>Chi_phi!X9</f>
        <v/>
      </c>
      <c r="Y16" s="11">
        <f>Chi_phi!Y9</f>
        <v/>
      </c>
      <c r="Z16" s="11">
        <f>Chi_phi!Z9</f>
        <v/>
      </c>
      <c r="AA16" s="11">
        <f>Chi_phi!AA9</f>
        <v/>
      </c>
      <c r="AB16" s="11">
        <f>Chi_phi!AB9</f>
        <v/>
      </c>
      <c r="AC16" s="11">
        <f>Chi_phi!AC9</f>
        <v/>
      </c>
      <c r="AD16" s="11">
        <f>Chi_phi!AD9</f>
        <v/>
      </c>
      <c r="AE16" s="11">
        <f>Chi_phi!AE9</f>
        <v/>
      </c>
      <c r="AF16" s="11">
        <f>Chi_phi!AF9</f>
        <v/>
      </c>
      <c r="AG16" s="11">
        <f>Chi_phi!AG9</f>
        <v/>
      </c>
      <c r="AH16" s="11">
        <f>Chi_phi!AH9</f>
        <v/>
      </c>
      <c r="AI16" s="11">
        <f>Chi_phi!AI9</f>
        <v/>
      </c>
      <c r="AJ16" s="11">
        <f>Chi_phi!AJ9</f>
        <v/>
      </c>
      <c r="AK16" s="11">
        <f>Chi_phi!AK9</f>
        <v/>
      </c>
      <c r="AL16" s="11">
        <f>Chi_phi!AL9</f>
        <v/>
      </c>
      <c r="AM16" s="11">
        <f>Chi_phi!AM9</f>
        <v/>
      </c>
    </row>
    <row r="17">
      <c r="B17" t="inlineStr">
        <is>
          <t>Studio, thiết bị, phần mềm</t>
        </is>
      </c>
      <c r="C17" t="inlineStr">
        <is>
          <t>triệu VND</t>
        </is>
      </c>
      <c r="D17" s="11">
        <f>Chi_phi!D10</f>
        <v/>
      </c>
      <c r="E17" s="11">
        <f>Chi_phi!E10</f>
        <v/>
      </c>
      <c r="F17" s="11">
        <f>Chi_phi!F10</f>
        <v/>
      </c>
      <c r="G17" s="11">
        <f>Chi_phi!G10</f>
        <v/>
      </c>
      <c r="H17" s="11">
        <f>Chi_phi!H10</f>
        <v/>
      </c>
      <c r="I17" s="11">
        <f>Chi_phi!I10</f>
        <v/>
      </c>
      <c r="J17" s="11">
        <f>Chi_phi!J10</f>
        <v/>
      </c>
      <c r="K17" s="11">
        <f>Chi_phi!K10</f>
        <v/>
      </c>
      <c r="L17" s="11">
        <f>Chi_phi!L10</f>
        <v/>
      </c>
      <c r="M17" s="11">
        <f>Chi_phi!M10</f>
        <v/>
      </c>
      <c r="N17" s="11">
        <f>Chi_phi!N10</f>
        <v/>
      </c>
      <c r="O17" s="11">
        <f>Chi_phi!O10</f>
        <v/>
      </c>
      <c r="P17" s="11">
        <f>Chi_phi!P10</f>
        <v/>
      </c>
      <c r="Q17" s="11">
        <f>Chi_phi!Q10</f>
        <v/>
      </c>
      <c r="R17" s="11">
        <f>Chi_phi!R10</f>
        <v/>
      </c>
      <c r="S17" s="11">
        <f>Chi_phi!S10</f>
        <v/>
      </c>
      <c r="T17" s="11">
        <f>Chi_phi!T10</f>
        <v/>
      </c>
      <c r="U17" s="11">
        <f>Chi_phi!U10</f>
        <v/>
      </c>
      <c r="V17" s="11">
        <f>Chi_phi!V10</f>
        <v/>
      </c>
      <c r="W17" s="11">
        <f>Chi_phi!W10</f>
        <v/>
      </c>
      <c r="X17" s="11">
        <f>Chi_phi!X10</f>
        <v/>
      </c>
      <c r="Y17" s="11">
        <f>Chi_phi!Y10</f>
        <v/>
      </c>
      <c r="Z17" s="11">
        <f>Chi_phi!Z10</f>
        <v/>
      </c>
      <c r="AA17" s="11">
        <f>Chi_phi!AA10</f>
        <v/>
      </c>
      <c r="AB17" s="11">
        <f>Chi_phi!AB10</f>
        <v/>
      </c>
      <c r="AC17" s="11">
        <f>Chi_phi!AC10</f>
        <v/>
      </c>
      <c r="AD17" s="11">
        <f>Chi_phi!AD10</f>
        <v/>
      </c>
      <c r="AE17" s="11">
        <f>Chi_phi!AE10</f>
        <v/>
      </c>
      <c r="AF17" s="11">
        <f>Chi_phi!AF10</f>
        <v/>
      </c>
      <c r="AG17" s="11">
        <f>Chi_phi!AG10</f>
        <v/>
      </c>
      <c r="AH17" s="11">
        <f>Chi_phi!AH10</f>
        <v/>
      </c>
      <c r="AI17" s="11">
        <f>Chi_phi!AI10</f>
        <v/>
      </c>
      <c r="AJ17" s="11">
        <f>Chi_phi!AJ10</f>
        <v/>
      </c>
      <c r="AK17" s="11">
        <f>Chi_phi!AK10</f>
        <v/>
      </c>
      <c r="AL17" s="11">
        <f>Chi_phi!AL10</f>
        <v/>
      </c>
      <c r="AM17" s="11">
        <f>Chi_phi!AM10</f>
        <v/>
      </c>
    </row>
    <row r="18">
      <c r="B18" t="inlineStr">
        <is>
          <t>Quảng cáo kéo view (IP thật + IP AI)</t>
        </is>
      </c>
      <c r="C18" t="inlineStr">
        <is>
          <t>triệu VND</t>
        </is>
      </c>
      <c r="D18" s="11">
        <f>Chi_phi!D11+Chi_phi!D19</f>
        <v/>
      </c>
      <c r="E18" s="11">
        <f>Chi_phi!E11+Chi_phi!E19</f>
        <v/>
      </c>
      <c r="F18" s="11">
        <f>Chi_phi!F11+Chi_phi!F19</f>
        <v/>
      </c>
      <c r="G18" s="11">
        <f>Chi_phi!G11+Chi_phi!G19</f>
        <v/>
      </c>
      <c r="H18" s="11">
        <f>Chi_phi!H11+Chi_phi!H19</f>
        <v/>
      </c>
      <c r="I18" s="11">
        <f>Chi_phi!I11+Chi_phi!I19</f>
        <v/>
      </c>
      <c r="J18" s="11">
        <f>Chi_phi!J11+Chi_phi!J19</f>
        <v/>
      </c>
      <c r="K18" s="11">
        <f>Chi_phi!K11+Chi_phi!K19</f>
        <v/>
      </c>
      <c r="L18" s="11">
        <f>Chi_phi!L11+Chi_phi!L19</f>
        <v/>
      </c>
      <c r="M18" s="11">
        <f>Chi_phi!M11+Chi_phi!M19</f>
        <v/>
      </c>
      <c r="N18" s="11">
        <f>Chi_phi!N11+Chi_phi!N19</f>
        <v/>
      </c>
      <c r="O18" s="11">
        <f>Chi_phi!O11+Chi_phi!O19</f>
        <v/>
      </c>
      <c r="P18" s="11">
        <f>Chi_phi!P11+Chi_phi!P19</f>
        <v/>
      </c>
      <c r="Q18" s="11">
        <f>Chi_phi!Q11+Chi_phi!Q19</f>
        <v/>
      </c>
      <c r="R18" s="11">
        <f>Chi_phi!R11+Chi_phi!R19</f>
        <v/>
      </c>
      <c r="S18" s="11">
        <f>Chi_phi!S11+Chi_phi!S19</f>
        <v/>
      </c>
      <c r="T18" s="11">
        <f>Chi_phi!T11+Chi_phi!T19</f>
        <v/>
      </c>
      <c r="U18" s="11">
        <f>Chi_phi!U11+Chi_phi!U19</f>
        <v/>
      </c>
      <c r="V18" s="11">
        <f>Chi_phi!V11+Chi_phi!V19</f>
        <v/>
      </c>
      <c r="W18" s="11">
        <f>Chi_phi!W11+Chi_phi!W19</f>
        <v/>
      </c>
      <c r="X18" s="11">
        <f>Chi_phi!X11+Chi_phi!X19</f>
        <v/>
      </c>
      <c r="Y18" s="11">
        <f>Chi_phi!Y11+Chi_phi!Y19</f>
        <v/>
      </c>
      <c r="Z18" s="11">
        <f>Chi_phi!Z11+Chi_phi!Z19</f>
        <v/>
      </c>
      <c r="AA18" s="11">
        <f>Chi_phi!AA11+Chi_phi!AA19</f>
        <v/>
      </c>
      <c r="AB18" s="11">
        <f>Chi_phi!AB11+Chi_phi!AB19</f>
        <v/>
      </c>
      <c r="AC18" s="11">
        <f>Chi_phi!AC11+Chi_phi!AC19</f>
        <v/>
      </c>
      <c r="AD18" s="11">
        <f>Chi_phi!AD11+Chi_phi!AD19</f>
        <v/>
      </c>
      <c r="AE18" s="11">
        <f>Chi_phi!AE11+Chi_phi!AE19</f>
        <v/>
      </c>
      <c r="AF18" s="11">
        <f>Chi_phi!AF11+Chi_phi!AF19</f>
        <v/>
      </c>
      <c r="AG18" s="11">
        <f>Chi_phi!AG11+Chi_phi!AG19</f>
        <v/>
      </c>
      <c r="AH18" s="11">
        <f>Chi_phi!AH11+Chi_phi!AH19</f>
        <v/>
      </c>
      <c r="AI18" s="11">
        <f>Chi_phi!AI11+Chi_phi!AI19</f>
        <v/>
      </c>
      <c r="AJ18" s="11">
        <f>Chi_phi!AJ11+Chi_phi!AJ19</f>
        <v/>
      </c>
      <c r="AK18" s="11">
        <f>Chi_phi!AK11+Chi_phi!AK19</f>
        <v/>
      </c>
      <c r="AL18" s="11">
        <f>Chi_phi!AL11+Chi_phi!AL19</f>
        <v/>
      </c>
      <c r="AM18" s="11">
        <f>Chi_phi!AM11+Chi_phi!AM19</f>
        <v/>
      </c>
    </row>
    <row r="19">
      <c r="B19" t="inlineStr">
        <is>
          <t>Mẫu sản phẩm, đạo cụ</t>
        </is>
      </c>
      <c r="C19" t="inlineStr">
        <is>
          <t>triệu VND</t>
        </is>
      </c>
      <c r="D19" s="11">
        <f>Chi_phi!D12</f>
        <v/>
      </c>
      <c r="E19" s="11">
        <f>Chi_phi!E12</f>
        <v/>
      </c>
      <c r="F19" s="11">
        <f>Chi_phi!F12</f>
        <v/>
      </c>
      <c r="G19" s="11">
        <f>Chi_phi!G12</f>
        <v/>
      </c>
      <c r="H19" s="11">
        <f>Chi_phi!H12</f>
        <v/>
      </c>
      <c r="I19" s="11">
        <f>Chi_phi!I12</f>
        <v/>
      </c>
      <c r="J19" s="11">
        <f>Chi_phi!J12</f>
        <v/>
      </c>
      <c r="K19" s="11">
        <f>Chi_phi!K12</f>
        <v/>
      </c>
      <c r="L19" s="11">
        <f>Chi_phi!L12</f>
        <v/>
      </c>
      <c r="M19" s="11">
        <f>Chi_phi!M12</f>
        <v/>
      </c>
      <c r="N19" s="11">
        <f>Chi_phi!N12</f>
        <v/>
      </c>
      <c r="O19" s="11">
        <f>Chi_phi!O12</f>
        <v/>
      </c>
      <c r="P19" s="11">
        <f>Chi_phi!P12</f>
        <v/>
      </c>
      <c r="Q19" s="11">
        <f>Chi_phi!Q12</f>
        <v/>
      </c>
      <c r="R19" s="11">
        <f>Chi_phi!R12</f>
        <v/>
      </c>
      <c r="S19" s="11">
        <f>Chi_phi!S12</f>
        <v/>
      </c>
      <c r="T19" s="11">
        <f>Chi_phi!T12</f>
        <v/>
      </c>
      <c r="U19" s="11">
        <f>Chi_phi!U12</f>
        <v/>
      </c>
      <c r="V19" s="11">
        <f>Chi_phi!V12</f>
        <v/>
      </c>
      <c r="W19" s="11">
        <f>Chi_phi!W12</f>
        <v/>
      </c>
      <c r="X19" s="11">
        <f>Chi_phi!X12</f>
        <v/>
      </c>
      <c r="Y19" s="11">
        <f>Chi_phi!Y12</f>
        <v/>
      </c>
      <c r="Z19" s="11">
        <f>Chi_phi!Z12</f>
        <v/>
      </c>
      <c r="AA19" s="11">
        <f>Chi_phi!AA12</f>
        <v/>
      </c>
      <c r="AB19" s="11">
        <f>Chi_phi!AB12</f>
        <v/>
      </c>
      <c r="AC19" s="11">
        <f>Chi_phi!AC12</f>
        <v/>
      </c>
      <c r="AD19" s="11">
        <f>Chi_phi!AD12</f>
        <v/>
      </c>
      <c r="AE19" s="11">
        <f>Chi_phi!AE12</f>
        <v/>
      </c>
      <c r="AF19" s="11">
        <f>Chi_phi!AF12</f>
        <v/>
      </c>
      <c r="AG19" s="11">
        <f>Chi_phi!AG12</f>
        <v/>
      </c>
      <c r="AH19" s="11">
        <f>Chi_phi!AH12</f>
        <v/>
      </c>
      <c r="AI19" s="11">
        <f>Chi_phi!AI12</f>
        <v/>
      </c>
      <c r="AJ19" s="11">
        <f>Chi_phi!AJ12</f>
        <v/>
      </c>
      <c r="AK19" s="11">
        <f>Chi_phi!AK12</f>
        <v/>
      </c>
      <c r="AL19" s="11">
        <f>Chi_phi!AL12</f>
        <v/>
      </c>
      <c r="AM19" s="11">
        <f>Chi_phi!AM12</f>
        <v/>
      </c>
    </row>
    <row r="20">
      <c r="B20" t="inlineStr">
        <is>
          <t>Chi phí dựng IP mới (thật + AI)</t>
        </is>
      </c>
      <c r="C20" t="inlineStr">
        <is>
          <t>triệu VND</t>
        </is>
      </c>
      <c r="D20" s="11">
        <f>Chi_phi!D13+Chi_phi!D21</f>
        <v/>
      </c>
      <c r="E20" s="11">
        <f>Chi_phi!E13+Chi_phi!E21</f>
        <v/>
      </c>
      <c r="F20" s="11">
        <f>Chi_phi!F13+Chi_phi!F21</f>
        <v/>
      </c>
      <c r="G20" s="11">
        <f>Chi_phi!G13+Chi_phi!G21</f>
        <v/>
      </c>
      <c r="H20" s="11">
        <f>Chi_phi!H13+Chi_phi!H21</f>
        <v/>
      </c>
      <c r="I20" s="11">
        <f>Chi_phi!I13+Chi_phi!I21</f>
        <v/>
      </c>
      <c r="J20" s="11">
        <f>Chi_phi!J13+Chi_phi!J21</f>
        <v/>
      </c>
      <c r="K20" s="11">
        <f>Chi_phi!K13+Chi_phi!K21</f>
        <v/>
      </c>
      <c r="L20" s="11">
        <f>Chi_phi!L13+Chi_phi!L21</f>
        <v/>
      </c>
      <c r="M20" s="11">
        <f>Chi_phi!M13+Chi_phi!M21</f>
        <v/>
      </c>
      <c r="N20" s="11">
        <f>Chi_phi!N13+Chi_phi!N21</f>
        <v/>
      </c>
      <c r="O20" s="11">
        <f>Chi_phi!O13+Chi_phi!O21</f>
        <v/>
      </c>
      <c r="P20" s="11">
        <f>Chi_phi!P13+Chi_phi!P21</f>
        <v/>
      </c>
      <c r="Q20" s="11">
        <f>Chi_phi!Q13+Chi_phi!Q21</f>
        <v/>
      </c>
      <c r="R20" s="11">
        <f>Chi_phi!R13+Chi_phi!R21</f>
        <v/>
      </c>
      <c r="S20" s="11">
        <f>Chi_phi!S13+Chi_phi!S21</f>
        <v/>
      </c>
      <c r="T20" s="11">
        <f>Chi_phi!T13+Chi_phi!T21</f>
        <v/>
      </c>
      <c r="U20" s="11">
        <f>Chi_phi!U13+Chi_phi!U21</f>
        <v/>
      </c>
      <c r="V20" s="11">
        <f>Chi_phi!V13+Chi_phi!V21</f>
        <v/>
      </c>
      <c r="W20" s="11">
        <f>Chi_phi!W13+Chi_phi!W21</f>
        <v/>
      </c>
      <c r="X20" s="11">
        <f>Chi_phi!X13+Chi_phi!X21</f>
        <v/>
      </c>
      <c r="Y20" s="11">
        <f>Chi_phi!Y13+Chi_phi!Y21</f>
        <v/>
      </c>
      <c r="Z20" s="11">
        <f>Chi_phi!Z13+Chi_phi!Z21</f>
        <v/>
      </c>
      <c r="AA20" s="11">
        <f>Chi_phi!AA13+Chi_phi!AA21</f>
        <v/>
      </c>
      <c r="AB20" s="11">
        <f>Chi_phi!AB13+Chi_phi!AB21</f>
        <v/>
      </c>
      <c r="AC20" s="11">
        <f>Chi_phi!AC13+Chi_phi!AC21</f>
        <v/>
      </c>
      <c r="AD20" s="11">
        <f>Chi_phi!AD13+Chi_phi!AD21</f>
        <v/>
      </c>
      <c r="AE20" s="11">
        <f>Chi_phi!AE13+Chi_phi!AE21</f>
        <v/>
      </c>
      <c r="AF20" s="11">
        <f>Chi_phi!AF13+Chi_phi!AF21</f>
        <v/>
      </c>
      <c r="AG20" s="11">
        <f>Chi_phi!AG13+Chi_phi!AG21</f>
        <v/>
      </c>
      <c r="AH20" s="11">
        <f>Chi_phi!AH13+Chi_phi!AH21</f>
        <v/>
      </c>
      <c r="AI20" s="11">
        <f>Chi_phi!AI13+Chi_phi!AI21</f>
        <v/>
      </c>
      <c r="AJ20" s="11">
        <f>Chi_phi!AJ13+Chi_phi!AJ21</f>
        <v/>
      </c>
      <c r="AK20" s="11">
        <f>Chi_phi!AK13+Chi_phi!AK21</f>
        <v/>
      </c>
      <c r="AL20" s="11">
        <f>Chi_phi!AL13+Chi_phi!AL21</f>
        <v/>
      </c>
      <c r="AM20" s="11">
        <f>Chi_phi!AM13+Chi_phi!AM21</f>
        <v/>
      </c>
    </row>
    <row r="21">
      <c r="B21" t="inlineStr">
        <is>
          <t>License, compute &amp; vận hành IP AI</t>
        </is>
      </c>
      <c r="C21" t="inlineStr">
        <is>
          <t>triệu VND</t>
        </is>
      </c>
      <c r="D21" s="11">
        <f>Chi_phi!D17+Chi_phi!D18+Chi_phi!D20</f>
        <v/>
      </c>
      <c r="E21" s="11">
        <f>Chi_phi!E17+Chi_phi!E18+Chi_phi!E20</f>
        <v/>
      </c>
      <c r="F21" s="11">
        <f>Chi_phi!F17+Chi_phi!F18+Chi_phi!F20</f>
        <v/>
      </c>
      <c r="G21" s="11">
        <f>Chi_phi!G17+Chi_phi!G18+Chi_phi!G20</f>
        <v/>
      </c>
      <c r="H21" s="11">
        <f>Chi_phi!H17+Chi_phi!H18+Chi_phi!H20</f>
        <v/>
      </c>
      <c r="I21" s="11">
        <f>Chi_phi!I17+Chi_phi!I18+Chi_phi!I20</f>
        <v/>
      </c>
      <c r="J21" s="11">
        <f>Chi_phi!J17+Chi_phi!J18+Chi_phi!J20</f>
        <v/>
      </c>
      <c r="K21" s="11">
        <f>Chi_phi!K17+Chi_phi!K18+Chi_phi!K20</f>
        <v/>
      </c>
      <c r="L21" s="11">
        <f>Chi_phi!L17+Chi_phi!L18+Chi_phi!L20</f>
        <v/>
      </c>
      <c r="M21" s="11">
        <f>Chi_phi!M17+Chi_phi!M18+Chi_phi!M20</f>
        <v/>
      </c>
      <c r="N21" s="11">
        <f>Chi_phi!N17+Chi_phi!N18+Chi_phi!N20</f>
        <v/>
      </c>
      <c r="O21" s="11">
        <f>Chi_phi!O17+Chi_phi!O18+Chi_phi!O20</f>
        <v/>
      </c>
      <c r="P21" s="11">
        <f>Chi_phi!P17+Chi_phi!P18+Chi_phi!P20</f>
        <v/>
      </c>
      <c r="Q21" s="11">
        <f>Chi_phi!Q17+Chi_phi!Q18+Chi_phi!Q20</f>
        <v/>
      </c>
      <c r="R21" s="11">
        <f>Chi_phi!R17+Chi_phi!R18+Chi_phi!R20</f>
        <v/>
      </c>
      <c r="S21" s="11">
        <f>Chi_phi!S17+Chi_phi!S18+Chi_phi!S20</f>
        <v/>
      </c>
      <c r="T21" s="11">
        <f>Chi_phi!T17+Chi_phi!T18+Chi_phi!T20</f>
        <v/>
      </c>
      <c r="U21" s="11">
        <f>Chi_phi!U17+Chi_phi!U18+Chi_phi!U20</f>
        <v/>
      </c>
      <c r="V21" s="11">
        <f>Chi_phi!V17+Chi_phi!V18+Chi_phi!V20</f>
        <v/>
      </c>
      <c r="W21" s="11">
        <f>Chi_phi!W17+Chi_phi!W18+Chi_phi!W20</f>
        <v/>
      </c>
      <c r="X21" s="11">
        <f>Chi_phi!X17+Chi_phi!X18+Chi_phi!X20</f>
        <v/>
      </c>
      <c r="Y21" s="11">
        <f>Chi_phi!Y17+Chi_phi!Y18+Chi_phi!Y20</f>
        <v/>
      </c>
      <c r="Z21" s="11">
        <f>Chi_phi!Z17+Chi_phi!Z18+Chi_phi!Z20</f>
        <v/>
      </c>
      <c r="AA21" s="11">
        <f>Chi_phi!AA17+Chi_phi!AA18+Chi_phi!AA20</f>
        <v/>
      </c>
      <c r="AB21" s="11">
        <f>Chi_phi!AB17+Chi_phi!AB18+Chi_phi!AB20</f>
        <v/>
      </c>
      <c r="AC21" s="11">
        <f>Chi_phi!AC17+Chi_phi!AC18+Chi_phi!AC20</f>
        <v/>
      </c>
      <c r="AD21" s="11">
        <f>Chi_phi!AD17+Chi_phi!AD18+Chi_phi!AD20</f>
        <v/>
      </c>
      <c r="AE21" s="11">
        <f>Chi_phi!AE17+Chi_phi!AE18+Chi_phi!AE20</f>
        <v/>
      </c>
      <c r="AF21" s="11">
        <f>Chi_phi!AF17+Chi_phi!AF18+Chi_phi!AF20</f>
        <v/>
      </c>
      <c r="AG21" s="11">
        <f>Chi_phi!AG17+Chi_phi!AG18+Chi_phi!AG20</f>
        <v/>
      </c>
      <c r="AH21" s="11">
        <f>Chi_phi!AH17+Chi_phi!AH18+Chi_phi!AH20</f>
        <v/>
      </c>
      <c r="AI21" s="11">
        <f>Chi_phi!AI17+Chi_phi!AI18+Chi_phi!AI20</f>
        <v/>
      </c>
      <c r="AJ21" s="11">
        <f>Chi_phi!AJ17+Chi_phi!AJ18+Chi_phi!AJ20</f>
        <v/>
      </c>
      <c r="AK21" s="11">
        <f>Chi_phi!AK17+Chi_phi!AK18+Chi_phi!AK20</f>
        <v/>
      </c>
      <c r="AL21" s="11">
        <f>Chi_phi!AL17+Chi_phi!AL18+Chi_phi!AL20</f>
        <v/>
      </c>
      <c r="AM21" s="11">
        <f>Chi_phi!AM17+Chi_phi!AM18+Chi_phi!AM20</f>
        <v/>
      </c>
    </row>
    <row r="22">
      <c r="B22" s="2" t="inlineStr">
        <is>
          <t>TỔNG GIÁ VỐN</t>
        </is>
      </c>
      <c r="C22" t="inlineStr">
        <is>
          <t>triệu VND</t>
        </is>
      </c>
      <c r="D22" s="34">
        <f>SUM(D14:D21)</f>
        <v/>
      </c>
      <c r="E22" s="34">
        <f>SUM(E14:E21)</f>
        <v/>
      </c>
      <c r="F22" s="34">
        <f>SUM(F14:F21)</f>
        <v/>
      </c>
      <c r="G22" s="34">
        <f>SUM(G14:G21)</f>
        <v/>
      </c>
      <c r="H22" s="34">
        <f>SUM(H14:H21)</f>
        <v/>
      </c>
      <c r="I22" s="34">
        <f>SUM(I14:I21)</f>
        <v/>
      </c>
      <c r="J22" s="34">
        <f>SUM(J14:J21)</f>
        <v/>
      </c>
      <c r="K22" s="34">
        <f>SUM(K14:K21)</f>
        <v/>
      </c>
      <c r="L22" s="34">
        <f>SUM(L14:L21)</f>
        <v/>
      </c>
      <c r="M22" s="34">
        <f>SUM(M14:M21)</f>
        <v/>
      </c>
      <c r="N22" s="34">
        <f>SUM(N14:N21)</f>
        <v/>
      </c>
      <c r="O22" s="34">
        <f>SUM(O14:O21)</f>
        <v/>
      </c>
      <c r="P22" s="34">
        <f>SUM(P14:P21)</f>
        <v/>
      </c>
      <c r="Q22" s="34">
        <f>SUM(Q14:Q21)</f>
        <v/>
      </c>
      <c r="R22" s="34">
        <f>SUM(R14:R21)</f>
        <v/>
      </c>
      <c r="S22" s="34">
        <f>SUM(S14:S21)</f>
        <v/>
      </c>
      <c r="T22" s="34">
        <f>SUM(T14:T21)</f>
        <v/>
      </c>
      <c r="U22" s="34">
        <f>SUM(U14:U21)</f>
        <v/>
      </c>
      <c r="V22" s="34">
        <f>SUM(V14:V21)</f>
        <v/>
      </c>
      <c r="W22" s="34">
        <f>SUM(W14:W21)</f>
        <v/>
      </c>
      <c r="X22" s="34">
        <f>SUM(X14:X21)</f>
        <v/>
      </c>
      <c r="Y22" s="34">
        <f>SUM(Y14:Y21)</f>
        <v/>
      </c>
      <c r="Z22" s="34">
        <f>SUM(Z14:Z21)</f>
        <v/>
      </c>
      <c r="AA22" s="34">
        <f>SUM(AA14:AA21)</f>
        <v/>
      </c>
      <c r="AB22" s="34">
        <f>SUM(AB14:AB21)</f>
        <v/>
      </c>
      <c r="AC22" s="34">
        <f>SUM(AC14:AC21)</f>
        <v/>
      </c>
      <c r="AD22" s="34">
        <f>SUM(AD14:AD21)</f>
        <v/>
      </c>
      <c r="AE22" s="34">
        <f>SUM(AE14:AE21)</f>
        <v/>
      </c>
      <c r="AF22" s="34">
        <f>SUM(AF14:AF21)</f>
        <v/>
      </c>
      <c r="AG22" s="34">
        <f>SUM(AG14:AG21)</f>
        <v/>
      </c>
      <c r="AH22" s="34">
        <f>SUM(AH14:AH21)</f>
        <v/>
      </c>
      <c r="AI22" s="34">
        <f>SUM(AI14:AI21)</f>
        <v/>
      </c>
      <c r="AJ22" s="34">
        <f>SUM(AJ14:AJ21)</f>
        <v/>
      </c>
      <c r="AK22" s="34">
        <f>SUM(AK14:AK21)</f>
        <v/>
      </c>
      <c r="AL22" s="34">
        <f>SUM(AL14:AL21)</f>
        <v/>
      </c>
      <c r="AM22" s="34">
        <f>SUM(AM14:AM21)</f>
        <v/>
      </c>
    </row>
    <row r="23">
      <c r="B23" s="2" t="inlineStr">
        <is>
          <t>LỢI NHUẬN GỘP</t>
        </is>
      </c>
      <c r="C23" t="inlineStr">
        <is>
          <t>triệu VND</t>
        </is>
      </c>
      <c r="D23" s="34">
        <f>D11-D22</f>
        <v/>
      </c>
      <c r="E23" s="34">
        <f>E11-E22</f>
        <v/>
      </c>
      <c r="F23" s="34">
        <f>F11-F22</f>
        <v/>
      </c>
      <c r="G23" s="34">
        <f>G11-G22</f>
        <v/>
      </c>
      <c r="H23" s="34">
        <f>H11-H22</f>
        <v/>
      </c>
      <c r="I23" s="34">
        <f>I11-I22</f>
        <v/>
      </c>
      <c r="J23" s="34">
        <f>J11-J22</f>
        <v/>
      </c>
      <c r="K23" s="34">
        <f>K11-K22</f>
        <v/>
      </c>
      <c r="L23" s="34">
        <f>L11-L22</f>
        <v/>
      </c>
      <c r="M23" s="34">
        <f>M11-M22</f>
        <v/>
      </c>
      <c r="N23" s="34">
        <f>N11-N22</f>
        <v/>
      </c>
      <c r="O23" s="34">
        <f>O11-O22</f>
        <v/>
      </c>
      <c r="P23" s="34">
        <f>P11-P22</f>
        <v/>
      </c>
      <c r="Q23" s="34">
        <f>Q11-Q22</f>
        <v/>
      </c>
      <c r="R23" s="34">
        <f>R11-R22</f>
        <v/>
      </c>
      <c r="S23" s="34">
        <f>S11-S22</f>
        <v/>
      </c>
      <c r="T23" s="34">
        <f>T11-T22</f>
        <v/>
      </c>
      <c r="U23" s="34">
        <f>U11-U22</f>
        <v/>
      </c>
      <c r="V23" s="34">
        <f>V11-V22</f>
        <v/>
      </c>
      <c r="W23" s="34">
        <f>W11-W22</f>
        <v/>
      </c>
      <c r="X23" s="34">
        <f>X11-X22</f>
        <v/>
      </c>
      <c r="Y23" s="34">
        <f>Y11-Y22</f>
        <v/>
      </c>
      <c r="Z23" s="34">
        <f>Z11-Z22</f>
        <v/>
      </c>
      <c r="AA23" s="34">
        <f>AA11-AA22</f>
        <v/>
      </c>
      <c r="AB23" s="34">
        <f>AB11-AB22</f>
        <v/>
      </c>
      <c r="AC23" s="34">
        <f>AC11-AC22</f>
        <v/>
      </c>
      <c r="AD23" s="34">
        <f>AD11-AD22</f>
        <v/>
      </c>
      <c r="AE23" s="34">
        <f>AE11-AE22</f>
        <v/>
      </c>
      <c r="AF23" s="34">
        <f>AF11-AF22</f>
        <v/>
      </c>
      <c r="AG23" s="34">
        <f>AG11-AG22</f>
        <v/>
      </c>
      <c r="AH23" s="34">
        <f>AH11-AH22</f>
        <v/>
      </c>
      <c r="AI23" s="34">
        <f>AI11-AI22</f>
        <v/>
      </c>
      <c r="AJ23" s="34">
        <f>AJ11-AJ22</f>
        <v/>
      </c>
      <c r="AK23" s="34">
        <f>AK11-AK22</f>
        <v/>
      </c>
      <c r="AL23" s="34">
        <f>AL11-AL22</f>
        <v/>
      </c>
      <c r="AM23" s="34">
        <f>AM11-AM22</f>
        <v/>
      </c>
    </row>
    <row r="24">
      <c r="B24" t="inlineStr">
        <is>
          <t>Biên lợi nhuận gộp</t>
        </is>
      </c>
      <c r="C24" t="inlineStr">
        <is>
          <t>%</t>
        </is>
      </c>
      <c r="D24" s="35">
        <f>IFERROR(D23/D11,0)</f>
        <v/>
      </c>
      <c r="E24" s="35">
        <f>IFERROR(E23/E11,0)</f>
        <v/>
      </c>
      <c r="F24" s="35">
        <f>IFERROR(F23/F11,0)</f>
        <v/>
      </c>
      <c r="G24" s="35">
        <f>IFERROR(G23/G11,0)</f>
        <v/>
      </c>
      <c r="H24" s="35">
        <f>IFERROR(H23/H11,0)</f>
        <v/>
      </c>
      <c r="I24" s="35">
        <f>IFERROR(I23/I11,0)</f>
        <v/>
      </c>
      <c r="J24" s="35">
        <f>IFERROR(J23/J11,0)</f>
        <v/>
      </c>
      <c r="K24" s="35">
        <f>IFERROR(K23/K11,0)</f>
        <v/>
      </c>
      <c r="L24" s="35">
        <f>IFERROR(L23/L11,0)</f>
        <v/>
      </c>
      <c r="M24" s="35">
        <f>IFERROR(M23/M11,0)</f>
        <v/>
      </c>
      <c r="N24" s="35">
        <f>IFERROR(N23/N11,0)</f>
        <v/>
      </c>
      <c r="O24" s="35">
        <f>IFERROR(O23/O11,0)</f>
        <v/>
      </c>
      <c r="P24" s="35">
        <f>IFERROR(P23/P11,0)</f>
        <v/>
      </c>
      <c r="Q24" s="35">
        <f>IFERROR(Q23/Q11,0)</f>
        <v/>
      </c>
      <c r="R24" s="35">
        <f>IFERROR(R23/R11,0)</f>
        <v/>
      </c>
      <c r="S24" s="35">
        <f>IFERROR(S23/S11,0)</f>
        <v/>
      </c>
      <c r="T24" s="35">
        <f>IFERROR(T23/T11,0)</f>
        <v/>
      </c>
      <c r="U24" s="35">
        <f>IFERROR(U23/U11,0)</f>
        <v/>
      </c>
      <c r="V24" s="35">
        <f>IFERROR(V23/V11,0)</f>
        <v/>
      </c>
      <c r="W24" s="35">
        <f>IFERROR(W23/W11,0)</f>
        <v/>
      </c>
      <c r="X24" s="35">
        <f>IFERROR(X23/X11,0)</f>
        <v/>
      </c>
      <c r="Y24" s="35">
        <f>IFERROR(Y23/Y11,0)</f>
        <v/>
      </c>
      <c r="Z24" s="35">
        <f>IFERROR(Z23/Z11,0)</f>
        <v/>
      </c>
      <c r="AA24" s="35">
        <f>IFERROR(AA23/AA11,0)</f>
        <v/>
      </c>
      <c r="AB24" s="35">
        <f>IFERROR(AB23/AB11,0)</f>
        <v/>
      </c>
      <c r="AC24" s="35">
        <f>IFERROR(AC23/AC11,0)</f>
        <v/>
      </c>
      <c r="AD24" s="35">
        <f>IFERROR(AD23/AD11,0)</f>
        <v/>
      </c>
      <c r="AE24" s="35">
        <f>IFERROR(AE23/AE11,0)</f>
        <v/>
      </c>
      <c r="AF24" s="35">
        <f>IFERROR(AF23/AF11,0)</f>
        <v/>
      </c>
      <c r="AG24" s="35">
        <f>IFERROR(AG23/AG11,0)</f>
        <v/>
      </c>
      <c r="AH24" s="35">
        <f>IFERROR(AH23/AH11,0)</f>
        <v/>
      </c>
      <c r="AI24" s="35">
        <f>IFERROR(AI23/AI11,0)</f>
        <v/>
      </c>
      <c r="AJ24" s="35">
        <f>IFERROR(AJ23/AJ11,0)</f>
        <v/>
      </c>
      <c r="AK24" s="35">
        <f>IFERROR(AK23/AK11,0)</f>
        <v/>
      </c>
      <c r="AL24" s="35">
        <f>IFERROR(AL23/AL11,0)</f>
        <v/>
      </c>
      <c r="AM24" s="35">
        <f>IFERROR(AM23/AM11,0)</f>
        <v/>
      </c>
    </row>
    <row r="26">
      <c r="B26" s="4" t="inlineStr">
        <is>
          <t>CHI PHÍ TẦNG CÔNG TY</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row>
    <row r="27">
      <c r="B27" t="inlineStr">
        <is>
          <t>Lương &amp; phụ cấp tầng công ty</t>
        </is>
      </c>
      <c r="C27" t="inlineStr">
        <is>
          <t>triệu VND</t>
        </is>
      </c>
      <c r="D27" s="11">
        <f>Chi_phi!D35</f>
        <v/>
      </c>
      <c r="E27" s="11">
        <f>Chi_phi!E35</f>
        <v/>
      </c>
      <c r="F27" s="11">
        <f>Chi_phi!F35</f>
        <v/>
      </c>
      <c r="G27" s="11">
        <f>Chi_phi!G35</f>
        <v/>
      </c>
      <c r="H27" s="11">
        <f>Chi_phi!H35</f>
        <v/>
      </c>
      <c r="I27" s="11">
        <f>Chi_phi!I35</f>
        <v/>
      </c>
      <c r="J27" s="11">
        <f>Chi_phi!J35</f>
        <v/>
      </c>
      <c r="K27" s="11">
        <f>Chi_phi!K35</f>
        <v/>
      </c>
      <c r="L27" s="11">
        <f>Chi_phi!L35</f>
        <v/>
      </c>
      <c r="M27" s="11">
        <f>Chi_phi!M35</f>
        <v/>
      </c>
      <c r="N27" s="11">
        <f>Chi_phi!N35</f>
        <v/>
      </c>
      <c r="O27" s="11">
        <f>Chi_phi!O35</f>
        <v/>
      </c>
      <c r="P27" s="11">
        <f>Chi_phi!P35</f>
        <v/>
      </c>
      <c r="Q27" s="11">
        <f>Chi_phi!Q35</f>
        <v/>
      </c>
      <c r="R27" s="11">
        <f>Chi_phi!R35</f>
        <v/>
      </c>
      <c r="S27" s="11">
        <f>Chi_phi!S35</f>
        <v/>
      </c>
      <c r="T27" s="11">
        <f>Chi_phi!T35</f>
        <v/>
      </c>
      <c r="U27" s="11">
        <f>Chi_phi!U35</f>
        <v/>
      </c>
      <c r="V27" s="11">
        <f>Chi_phi!V35</f>
        <v/>
      </c>
      <c r="W27" s="11">
        <f>Chi_phi!W35</f>
        <v/>
      </c>
      <c r="X27" s="11">
        <f>Chi_phi!X35</f>
        <v/>
      </c>
      <c r="Y27" s="11">
        <f>Chi_phi!Y35</f>
        <v/>
      </c>
      <c r="Z27" s="11">
        <f>Chi_phi!Z35</f>
        <v/>
      </c>
      <c r="AA27" s="11">
        <f>Chi_phi!AA35</f>
        <v/>
      </c>
      <c r="AB27" s="11">
        <f>Chi_phi!AB35</f>
        <v/>
      </c>
      <c r="AC27" s="11">
        <f>Chi_phi!AC35</f>
        <v/>
      </c>
      <c r="AD27" s="11">
        <f>Chi_phi!AD35</f>
        <v/>
      </c>
      <c r="AE27" s="11">
        <f>Chi_phi!AE35</f>
        <v/>
      </c>
      <c r="AF27" s="11">
        <f>Chi_phi!AF35</f>
        <v/>
      </c>
      <c r="AG27" s="11">
        <f>Chi_phi!AG35</f>
        <v/>
      </c>
      <c r="AH27" s="11">
        <f>Chi_phi!AH35</f>
        <v/>
      </c>
      <c r="AI27" s="11">
        <f>Chi_phi!AI35</f>
        <v/>
      </c>
      <c r="AJ27" s="11">
        <f>Chi_phi!AJ35</f>
        <v/>
      </c>
      <c r="AK27" s="11">
        <f>Chi_phi!AK35</f>
        <v/>
      </c>
      <c r="AL27" s="11">
        <f>Chi_phi!AL35</f>
        <v/>
      </c>
      <c r="AM27" s="11">
        <f>Chi_phi!AM35</f>
        <v/>
      </c>
    </row>
    <row r="28">
      <c r="B28" t="inlineStr">
        <is>
          <t>Marketing thương hiệu &amp; tuyển IP</t>
        </is>
      </c>
      <c r="C28" t="inlineStr">
        <is>
          <t>triệu VND</t>
        </is>
      </c>
      <c r="D28" s="11">
        <f>Chi_phi!D36</f>
        <v/>
      </c>
      <c r="E28" s="11">
        <f>Chi_phi!E36</f>
        <v/>
      </c>
      <c r="F28" s="11">
        <f>Chi_phi!F36</f>
        <v/>
      </c>
      <c r="G28" s="11">
        <f>Chi_phi!G36</f>
        <v/>
      </c>
      <c r="H28" s="11">
        <f>Chi_phi!H36</f>
        <v/>
      </c>
      <c r="I28" s="11">
        <f>Chi_phi!I36</f>
        <v/>
      </c>
      <c r="J28" s="11">
        <f>Chi_phi!J36</f>
        <v/>
      </c>
      <c r="K28" s="11">
        <f>Chi_phi!K36</f>
        <v/>
      </c>
      <c r="L28" s="11">
        <f>Chi_phi!L36</f>
        <v/>
      </c>
      <c r="M28" s="11">
        <f>Chi_phi!M36</f>
        <v/>
      </c>
      <c r="N28" s="11">
        <f>Chi_phi!N36</f>
        <v/>
      </c>
      <c r="O28" s="11">
        <f>Chi_phi!O36</f>
        <v/>
      </c>
      <c r="P28" s="11">
        <f>Chi_phi!P36</f>
        <v/>
      </c>
      <c r="Q28" s="11">
        <f>Chi_phi!Q36</f>
        <v/>
      </c>
      <c r="R28" s="11">
        <f>Chi_phi!R36</f>
        <v/>
      </c>
      <c r="S28" s="11">
        <f>Chi_phi!S36</f>
        <v/>
      </c>
      <c r="T28" s="11">
        <f>Chi_phi!T36</f>
        <v/>
      </c>
      <c r="U28" s="11">
        <f>Chi_phi!U36</f>
        <v/>
      </c>
      <c r="V28" s="11">
        <f>Chi_phi!V36</f>
        <v/>
      </c>
      <c r="W28" s="11">
        <f>Chi_phi!W36</f>
        <v/>
      </c>
      <c r="X28" s="11">
        <f>Chi_phi!X36</f>
        <v/>
      </c>
      <c r="Y28" s="11">
        <f>Chi_phi!Y36</f>
        <v/>
      </c>
      <c r="Z28" s="11">
        <f>Chi_phi!Z36</f>
        <v/>
      </c>
      <c r="AA28" s="11">
        <f>Chi_phi!AA36</f>
        <v/>
      </c>
      <c r="AB28" s="11">
        <f>Chi_phi!AB36</f>
        <v/>
      </c>
      <c r="AC28" s="11">
        <f>Chi_phi!AC36</f>
        <v/>
      </c>
      <c r="AD28" s="11">
        <f>Chi_phi!AD36</f>
        <v/>
      </c>
      <c r="AE28" s="11">
        <f>Chi_phi!AE36</f>
        <v/>
      </c>
      <c r="AF28" s="11">
        <f>Chi_phi!AF36</f>
        <v/>
      </c>
      <c r="AG28" s="11">
        <f>Chi_phi!AG36</f>
        <v/>
      </c>
      <c r="AH28" s="11">
        <f>Chi_phi!AH36</f>
        <v/>
      </c>
      <c r="AI28" s="11">
        <f>Chi_phi!AI36</f>
        <v/>
      </c>
      <c r="AJ28" s="11">
        <f>Chi_phi!AJ36</f>
        <v/>
      </c>
      <c r="AK28" s="11">
        <f>Chi_phi!AK36</f>
        <v/>
      </c>
      <c r="AL28" s="11">
        <f>Chi_phi!AL36</f>
        <v/>
      </c>
      <c r="AM28" s="11">
        <f>Chi_phi!AM36</f>
        <v/>
      </c>
    </row>
    <row r="29">
      <c r="B29" t="inlineStr">
        <is>
          <t>Công nghệ &amp; nền tảng dùng chung</t>
        </is>
      </c>
      <c r="C29" t="inlineStr">
        <is>
          <t>triệu VND</t>
        </is>
      </c>
      <c r="D29" s="11">
        <f>Chi_phi!D37</f>
        <v/>
      </c>
      <c r="E29" s="11">
        <f>Chi_phi!E37</f>
        <v/>
      </c>
      <c r="F29" s="11">
        <f>Chi_phi!F37</f>
        <v/>
      </c>
      <c r="G29" s="11">
        <f>Chi_phi!G37</f>
        <v/>
      </c>
      <c r="H29" s="11">
        <f>Chi_phi!H37</f>
        <v/>
      </c>
      <c r="I29" s="11">
        <f>Chi_phi!I37</f>
        <v/>
      </c>
      <c r="J29" s="11">
        <f>Chi_phi!J37</f>
        <v/>
      </c>
      <c r="K29" s="11">
        <f>Chi_phi!K37</f>
        <v/>
      </c>
      <c r="L29" s="11">
        <f>Chi_phi!L37</f>
        <v/>
      </c>
      <c r="M29" s="11">
        <f>Chi_phi!M37</f>
        <v/>
      </c>
      <c r="N29" s="11">
        <f>Chi_phi!N37</f>
        <v/>
      </c>
      <c r="O29" s="11">
        <f>Chi_phi!O37</f>
        <v/>
      </c>
      <c r="P29" s="11">
        <f>Chi_phi!P37</f>
        <v/>
      </c>
      <c r="Q29" s="11">
        <f>Chi_phi!Q37</f>
        <v/>
      </c>
      <c r="R29" s="11">
        <f>Chi_phi!R37</f>
        <v/>
      </c>
      <c r="S29" s="11">
        <f>Chi_phi!S37</f>
        <v/>
      </c>
      <c r="T29" s="11">
        <f>Chi_phi!T37</f>
        <v/>
      </c>
      <c r="U29" s="11">
        <f>Chi_phi!U37</f>
        <v/>
      </c>
      <c r="V29" s="11">
        <f>Chi_phi!V37</f>
        <v/>
      </c>
      <c r="W29" s="11">
        <f>Chi_phi!W37</f>
        <v/>
      </c>
      <c r="X29" s="11">
        <f>Chi_phi!X37</f>
        <v/>
      </c>
      <c r="Y29" s="11">
        <f>Chi_phi!Y37</f>
        <v/>
      </c>
      <c r="Z29" s="11">
        <f>Chi_phi!Z37</f>
        <v/>
      </c>
      <c r="AA29" s="11">
        <f>Chi_phi!AA37</f>
        <v/>
      </c>
      <c r="AB29" s="11">
        <f>Chi_phi!AB37</f>
        <v/>
      </c>
      <c r="AC29" s="11">
        <f>Chi_phi!AC37</f>
        <v/>
      </c>
      <c r="AD29" s="11">
        <f>Chi_phi!AD37</f>
        <v/>
      </c>
      <c r="AE29" s="11">
        <f>Chi_phi!AE37</f>
        <v/>
      </c>
      <c r="AF29" s="11">
        <f>Chi_phi!AF37</f>
        <v/>
      </c>
      <c r="AG29" s="11">
        <f>Chi_phi!AG37</f>
        <v/>
      </c>
      <c r="AH29" s="11">
        <f>Chi_phi!AH37</f>
        <v/>
      </c>
      <c r="AI29" s="11">
        <f>Chi_phi!AI37</f>
        <v/>
      </c>
      <c r="AJ29" s="11">
        <f>Chi_phi!AJ37</f>
        <v/>
      </c>
      <c r="AK29" s="11">
        <f>Chi_phi!AK37</f>
        <v/>
      </c>
      <c r="AL29" s="11">
        <f>Chi_phi!AL37</f>
        <v/>
      </c>
      <c r="AM29" s="11">
        <f>Chi_phi!AM37</f>
        <v/>
      </c>
    </row>
    <row r="30">
      <c r="B30" t="inlineStr">
        <is>
          <t>Văn phòng, pháp lý &amp; chi phí chung</t>
        </is>
      </c>
      <c r="C30" t="inlineStr">
        <is>
          <t>triệu VND</t>
        </is>
      </c>
      <c r="D30" s="11">
        <f>Chi_phi!D38</f>
        <v/>
      </c>
      <c r="E30" s="11">
        <f>Chi_phi!E38</f>
        <v/>
      </c>
      <c r="F30" s="11">
        <f>Chi_phi!F38</f>
        <v/>
      </c>
      <c r="G30" s="11">
        <f>Chi_phi!G38</f>
        <v/>
      </c>
      <c r="H30" s="11">
        <f>Chi_phi!H38</f>
        <v/>
      </c>
      <c r="I30" s="11">
        <f>Chi_phi!I38</f>
        <v/>
      </c>
      <c r="J30" s="11">
        <f>Chi_phi!J38</f>
        <v/>
      </c>
      <c r="K30" s="11">
        <f>Chi_phi!K38</f>
        <v/>
      </c>
      <c r="L30" s="11">
        <f>Chi_phi!L38</f>
        <v/>
      </c>
      <c r="M30" s="11">
        <f>Chi_phi!M38</f>
        <v/>
      </c>
      <c r="N30" s="11">
        <f>Chi_phi!N38</f>
        <v/>
      </c>
      <c r="O30" s="11">
        <f>Chi_phi!O38</f>
        <v/>
      </c>
      <c r="P30" s="11">
        <f>Chi_phi!P38</f>
        <v/>
      </c>
      <c r="Q30" s="11">
        <f>Chi_phi!Q38</f>
        <v/>
      </c>
      <c r="R30" s="11">
        <f>Chi_phi!R38</f>
        <v/>
      </c>
      <c r="S30" s="11">
        <f>Chi_phi!S38</f>
        <v/>
      </c>
      <c r="T30" s="11">
        <f>Chi_phi!T38</f>
        <v/>
      </c>
      <c r="U30" s="11">
        <f>Chi_phi!U38</f>
        <v/>
      </c>
      <c r="V30" s="11">
        <f>Chi_phi!V38</f>
        <v/>
      </c>
      <c r="W30" s="11">
        <f>Chi_phi!W38</f>
        <v/>
      </c>
      <c r="X30" s="11">
        <f>Chi_phi!X38</f>
        <v/>
      </c>
      <c r="Y30" s="11">
        <f>Chi_phi!Y38</f>
        <v/>
      </c>
      <c r="Z30" s="11">
        <f>Chi_phi!Z38</f>
        <v/>
      </c>
      <c r="AA30" s="11">
        <f>Chi_phi!AA38</f>
        <v/>
      </c>
      <c r="AB30" s="11">
        <f>Chi_phi!AB38</f>
        <v/>
      </c>
      <c r="AC30" s="11">
        <f>Chi_phi!AC38</f>
        <v/>
      </c>
      <c r="AD30" s="11">
        <f>Chi_phi!AD38</f>
        <v/>
      </c>
      <c r="AE30" s="11">
        <f>Chi_phi!AE38</f>
        <v/>
      </c>
      <c r="AF30" s="11">
        <f>Chi_phi!AF38</f>
        <v/>
      </c>
      <c r="AG30" s="11">
        <f>Chi_phi!AG38</f>
        <v/>
      </c>
      <c r="AH30" s="11">
        <f>Chi_phi!AH38</f>
        <v/>
      </c>
      <c r="AI30" s="11">
        <f>Chi_phi!AI38</f>
        <v/>
      </c>
      <c r="AJ30" s="11">
        <f>Chi_phi!AJ38</f>
        <v/>
      </c>
      <c r="AK30" s="11">
        <f>Chi_phi!AK38</f>
        <v/>
      </c>
      <c r="AL30" s="11">
        <f>Chi_phi!AL38</f>
        <v/>
      </c>
      <c r="AM30" s="11">
        <f>Chi_phi!AM38</f>
        <v/>
      </c>
    </row>
    <row r="31">
      <c r="B31" s="2" t="inlineStr">
        <is>
          <t>TỔNG CHI PHÍ TẦNG CÔNG TY</t>
        </is>
      </c>
      <c r="C31" t="inlineStr">
        <is>
          <t>triệu VND</t>
        </is>
      </c>
      <c r="D31" s="34">
        <f>SUM(D27:D30)</f>
        <v/>
      </c>
      <c r="E31" s="34">
        <f>SUM(E27:E30)</f>
        <v/>
      </c>
      <c r="F31" s="34">
        <f>SUM(F27:F30)</f>
        <v/>
      </c>
      <c r="G31" s="34">
        <f>SUM(G27:G30)</f>
        <v/>
      </c>
      <c r="H31" s="34">
        <f>SUM(H27:H30)</f>
        <v/>
      </c>
      <c r="I31" s="34">
        <f>SUM(I27:I30)</f>
        <v/>
      </c>
      <c r="J31" s="34">
        <f>SUM(J27:J30)</f>
        <v/>
      </c>
      <c r="K31" s="34">
        <f>SUM(K27:K30)</f>
        <v/>
      </c>
      <c r="L31" s="34">
        <f>SUM(L27:L30)</f>
        <v/>
      </c>
      <c r="M31" s="34">
        <f>SUM(M27:M30)</f>
        <v/>
      </c>
      <c r="N31" s="34">
        <f>SUM(N27:N30)</f>
        <v/>
      </c>
      <c r="O31" s="34">
        <f>SUM(O27:O30)</f>
        <v/>
      </c>
      <c r="P31" s="34">
        <f>SUM(P27:P30)</f>
        <v/>
      </c>
      <c r="Q31" s="34">
        <f>SUM(Q27:Q30)</f>
        <v/>
      </c>
      <c r="R31" s="34">
        <f>SUM(R27:R30)</f>
        <v/>
      </c>
      <c r="S31" s="34">
        <f>SUM(S27:S30)</f>
        <v/>
      </c>
      <c r="T31" s="34">
        <f>SUM(T27:T30)</f>
        <v/>
      </c>
      <c r="U31" s="34">
        <f>SUM(U27:U30)</f>
        <v/>
      </c>
      <c r="V31" s="34">
        <f>SUM(V27:V30)</f>
        <v/>
      </c>
      <c r="W31" s="34">
        <f>SUM(W27:W30)</f>
        <v/>
      </c>
      <c r="X31" s="34">
        <f>SUM(X27:X30)</f>
        <v/>
      </c>
      <c r="Y31" s="34">
        <f>SUM(Y27:Y30)</f>
        <v/>
      </c>
      <c r="Z31" s="34">
        <f>SUM(Z27:Z30)</f>
        <v/>
      </c>
      <c r="AA31" s="34">
        <f>SUM(AA27:AA30)</f>
        <v/>
      </c>
      <c r="AB31" s="34">
        <f>SUM(AB27:AB30)</f>
        <v/>
      </c>
      <c r="AC31" s="34">
        <f>SUM(AC27:AC30)</f>
        <v/>
      </c>
      <c r="AD31" s="34">
        <f>SUM(AD27:AD30)</f>
        <v/>
      </c>
      <c r="AE31" s="34">
        <f>SUM(AE27:AE30)</f>
        <v/>
      </c>
      <c r="AF31" s="34">
        <f>SUM(AF27:AF30)</f>
        <v/>
      </c>
      <c r="AG31" s="34">
        <f>SUM(AG27:AG30)</f>
        <v/>
      </c>
      <c r="AH31" s="34">
        <f>SUM(AH27:AH30)</f>
        <v/>
      </c>
      <c r="AI31" s="34">
        <f>SUM(AI27:AI30)</f>
        <v/>
      </c>
      <c r="AJ31" s="34">
        <f>SUM(AJ27:AJ30)</f>
        <v/>
      </c>
      <c r="AK31" s="34">
        <f>SUM(AK27:AK30)</f>
        <v/>
      </c>
      <c r="AL31" s="34">
        <f>SUM(AL27:AL30)</f>
        <v/>
      </c>
      <c r="AM31" s="34">
        <f>SUM(AM27:AM30)</f>
        <v/>
      </c>
    </row>
    <row r="33">
      <c r="B33" s="2" t="inlineStr">
        <is>
          <t>EBITDA</t>
        </is>
      </c>
      <c r="C33" t="inlineStr">
        <is>
          <t>triệu VND</t>
        </is>
      </c>
      <c r="D33" s="34">
        <f>D23-D31</f>
        <v/>
      </c>
      <c r="E33" s="34">
        <f>E23-E31</f>
        <v/>
      </c>
      <c r="F33" s="34">
        <f>F23-F31</f>
        <v/>
      </c>
      <c r="G33" s="34">
        <f>G23-G31</f>
        <v/>
      </c>
      <c r="H33" s="34">
        <f>H23-H31</f>
        <v/>
      </c>
      <c r="I33" s="34">
        <f>I23-I31</f>
        <v/>
      </c>
      <c r="J33" s="34">
        <f>J23-J31</f>
        <v/>
      </c>
      <c r="K33" s="34">
        <f>K23-K31</f>
        <v/>
      </c>
      <c r="L33" s="34">
        <f>L23-L31</f>
        <v/>
      </c>
      <c r="M33" s="34">
        <f>M23-M31</f>
        <v/>
      </c>
      <c r="N33" s="34">
        <f>N23-N31</f>
        <v/>
      </c>
      <c r="O33" s="34">
        <f>O23-O31</f>
        <v/>
      </c>
      <c r="P33" s="34">
        <f>P23-P31</f>
        <v/>
      </c>
      <c r="Q33" s="34">
        <f>Q23-Q31</f>
        <v/>
      </c>
      <c r="R33" s="34">
        <f>R23-R31</f>
        <v/>
      </c>
      <c r="S33" s="34">
        <f>S23-S31</f>
        <v/>
      </c>
      <c r="T33" s="34">
        <f>T23-T31</f>
        <v/>
      </c>
      <c r="U33" s="34">
        <f>U23-U31</f>
        <v/>
      </c>
      <c r="V33" s="34">
        <f>V23-V31</f>
        <v/>
      </c>
      <c r="W33" s="34">
        <f>W23-W31</f>
        <v/>
      </c>
      <c r="X33" s="34">
        <f>X23-X31</f>
        <v/>
      </c>
      <c r="Y33" s="34">
        <f>Y23-Y31</f>
        <v/>
      </c>
      <c r="Z33" s="34">
        <f>Z23-Z31</f>
        <v/>
      </c>
      <c r="AA33" s="34">
        <f>AA23-AA31</f>
        <v/>
      </c>
      <c r="AB33" s="34">
        <f>AB23-AB31</f>
        <v/>
      </c>
      <c r="AC33" s="34">
        <f>AC23-AC31</f>
        <v/>
      </c>
      <c r="AD33" s="34">
        <f>AD23-AD31</f>
        <v/>
      </c>
      <c r="AE33" s="34">
        <f>AE23-AE31</f>
        <v/>
      </c>
      <c r="AF33" s="34">
        <f>AF23-AF31</f>
        <v/>
      </c>
      <c r="AG33" s="34">
        <f>AG23-AG31</f>
        <v/>
      </c>
      <c r="AH33" s="34">
        <f>AH23-AH31</f>
        <v/>
      </c>
      <c r="AI33" s="34">
        <f>AI23-AI31</f>
        <v/>
      </c>
      <c r="AJ33" s="34">
        <f>AJ23-AJ31</f>
        <v/>
      </c>
      <c r="AK33" s="34">
        <f>AK23-AK31</f>
        <v/>
      </c>
      <c r="AL33" s="34">
        <f>AL23-AL31</f>
        <v/>
      </c>
      <c r="AM33" s="34">
        <f>AM23-AM31</f>
        <v/>
      </c>
    </row>
    <row r="34">
      <c r="B34" t="inlineStr">
        <is>
          <t>Biên EBITDA</t>
        </is>
      </c>
      <c r="C34" t="inlineStr">
        <is>
          <t>%</t>
        </is>
      </c>
      <c r="D34" s="35">
        <f>IFERROR(D33/D11,0)</f>
        <v/>
      </c>
      <c r="E34" s="35">
        <f>IFERROR(E33/E11,0)</f>
        <v/>
      </c>
      <c r="F34" s="35">
        <f>IFERROR(F33/F11,0)</f>
        <v/>
      </c>
      <c r="G34" s="35">
        <f>IFERROR(G33/G11,0)</f>
        <v/>
      </c>
      <c r="H34" s="35">
        <f>IFERROR(H33/H11,0)</f>
        <v/>
      </c>
      <c r="I34" s="35">
        <f>IFERROR(I33/I11,0)</f>
        <v/>
      </c>
      <c r="J34" s="35">
        <f>IFERROR(J33/J11,0)</f>
        <v/>
      </c>
      <c r="K34" s="35">
        <f>IFERROR(K33/K11,0)</f>
        <v/>
      </c>
      <c r="L34" s="35">
        <f>IFERROR(L33/L11,0)</f>
        <v/>
      </c>
      <c r="M34" s="35">
        <f>IFERROR(M33/M11,0)</f>
        <v/>
      </c>
      <c r="N34" s="35">
        <f>IFERROR(N33/N11,0)</f>
        <v/>
      </c>
      <c r="O34" s="35">
        <f>IFERROR(O33/O11,0)</f>
        <v/>
      </c>
      <c r="P34" s="35">
        <f>IFERROR(P33/P11,0)</f>
        <v/>
      </c>
      <c r="Q34" s="35">
        <f>IFERROR(Q33/Q11,0)</f>
        <v/>
      </c>
      <c r="R34" s="35">
        <f>IFERROR(R33/R11,0)</f>
        <v/>
      </c>
      <c r="S34" s="35">
        <f>IFERROR(S33/S11,0)</f>
        <v/>
      </c>
      <c r="T34" s="35">
        <f>IFERROR(T33/T11,0)</f>
        <v/>
      </c>
      <c r="U34" s="35">
        <f>IFERROR(U33/U11,0)</f>
        <v/>
      </c>
      <c r="V34" s="35">
        <f>IFERROR(V33/V11,0)</f>
        <v/>
      </c>
      <c r="W34" s="35">
        <f>IFERROR(W33/W11,0)</f>
        <v/>
      </c>
      <c r="X34" s="35">
        <f>IFERROR(X33/X11,0)</f>
        <v/>
      </c>
      <c r="Y34" s="35">
        <f>IFERROR(Y33/Y11,0)</f>
        <v/>
      </c>
      <c r="Z34" s="35">
        <f>IFERROR(Z33/Z11,0)</f>
        <v/>
      </c>
      <c r="AA34" s="35">
        <f>IFERROR(AA33/AA11,0)</f>
        <v/>
      </c>
      <c r="AB34" s="35">
        <f>IFERROR(AB33/AB11,0)</f>
        <v/>
      </c>
      <c r="AC34" s="35">
        <f>IFERROR(AC33/AC11,0)</f>
        <v/>
      </c>
      <c r="AD34" s="35">
        <f>IFERROR(AD33/AD11,0)</f>
        <v/>
      </c>
      <c r="AE34" s="35">
        <f>IFERROR(AE33/AE11,0)</f>
        <v/>
      </c>
      <c r="AF34" s="35">
        <f>IFERROR(AF33/AF11,0)</f>
        <v/>
      </c>
      <c r="AG34" s="35">
        <f>IFERROR(AG33/AG11,0)</f>
        <v/>
      </c>
      <c r="AH34" s="35">
        <f>IFERROR(AH33/AH11,0)</f>
        <v/>
      </c>
      <c r="AI34" s="35">
        <f>IFERROR(AI33/AI11,0)</f>
        <v/>
      </c>
      <c r="AJ34" s="35">
        <f>IFERROR(AJ33/AJ11,0)</f>
        <v/>
      </c>
      <c r="AK34" s="35">
        <f>IFERROR(AK33/AK11,0)</f>
        <v/>
      </c>
      <c r="AL34" s="35">
        <f>IFERROR(AL33/AL11,0)</f>
        <v/>
      </c>
      <c r="AM34" s="35">
        <f>IFERROR(AM33/AM11,0)</f>
        <v/>
      </c>
    </row>
    <row r="35">
      <c r="B35" t="inlineStr">
        <is>
          <t>Khấu hao</t>
        </is>
      </c>
      <c r="C35" t="inlineStr">
        <is>
          <t>triệu VND</t>
        </is>
      </c>
      <c r="D35" s="11">
        <f>Chi_phi!D43</f>
        <v/>
      </c>
      <c r="E35" s="11">
        <f>Chi_phi!E43</f>
        <v/>
      </c>
      <c r="F35" s="11">
        <f>Chi_phi!F43</f>
        <v/>
      </c>
      <c r="G35" s="11">
        <f>Chi_phi!G43</f>
        <v/>
      </c>
      <c r="H35" s="11">
        <f>Chi_phi!H43</f>
        <v/>
      </c>
      <c r="I35" s="11">
        <f>Chi_phi!I43</f>
        <v/>
      </c>
      <c r="J35" s="11">
        <f>Chi_phi!J43</f>
        <v/>
      </c>
      <c r="K35" s="11">
        <f>Chi_phi!K43</f>
        <v/>
      </c>
      <c r="L35" s="11">
        <f>Chi_phi!L43</f>
        <v/>
      </c>
      <c r="M35" s="11">
        <f>Chi_phi!M43</f>
        <v/>
      </c>
      <c r="N35" s="11">
        <f>Chi_phi!N43</f>
        <v/>
      </c>
      <c r="O35" s="11">
        <f>Chi_phi!O43</f>
        <v/>
      </c>
      <c r="P35" s="11">
        <f>Chi_phi!P43</f>
        <v/>
      </c>
      <c r="Q35" s="11">
        <f>Chi_phi!Q43</f>
        <v/>
      </c>
      <c r="R35" s="11">
        <f>Chi_phi!R43</f>
        <v/>
      </c>
      <c r="S35" s="11">
        <f>Chi_phi!S43</f>
        <v/>
      </c>
      <c r="T35" s="11">
        <f>Chi_phi!T43</f>
        <v/>
      </c>
      <c r="U35" s="11">
        <f>Chi_phi!U43</f>
        <v/>
      </c>
      <c r="V35" s="11">
        <f>Chi_phi!V43</f>
        <v/>
      </c>
      <c r="W35" s="11">
        <f>Chi_phi!W43</f>
        <v/>
      </c>
      <c r="X35" s="11">
        <f>Chi_phi!X43</f>
        <v/>
      </c>
      <c r="Y35" s="11">
        <f>Chi_phi!Y43</f>
        <v/>
      </c>
      <c r="Z35" s="11">
        <f>Chi_phi!Z43</f>
        <v/>
      </c>
      <c r="AA35" s="11">
        <f>Chi_phi!AA43</f>
        <v/>
      </c>
      <c r="AB35" s="11">
        <f>Chi_phi!AB43</f>
        <v/>
      </c>
      <c r="AC35" s="11">
        <f>Chi_phi!AC43</f>
        <v/>
      </c>
      <c r="AD35" s="11">
        <f>Chi_phi!AD43</f>
        <v/>
      </c>
      <c r="AE35" s="11">
        <f>Chi_phi!AE43</f>
        <v/>
      </c>
      <c r="AF35" s="11">
        <f>Chi_phi!AF43</f>
        <v/>
      </c>
      <c r="AG35" s="11">
        <f>Chi_phi!AG43</f>
        <v/>
      </c>
      <c r="AH35" s="11">
        <f>Chi_phi!AH43</f>
        <v/>
      </c>
      <c r="AI35" s="11">
        <f>Chi_phi!AI43</f>
        <v/>
      </c>
      <c r="AJ35" s="11">
        <f>Chi_phi!AJ43</f>
        <v/>
      </c>
      <c r="AK35" s="11">
        <f>Chi_phi!AK43</f>
        <v/>
      </c>
      <c r="AL35" s="11">
        <f>Chi_phi!AL43</f>
        <v/>
      </c>
      <c r="AM35" s="11">
        <f>Chi_phi!AM43</f>
        <v/>
      </c>
    </row>
    <row r="36">
      <c r="B36" s="2" t="inlineStr">
        <is>
          <t>EBIT (lợi nhuận trước thuế)</t>
        </is>
      </c>
      <c r="C36" t="inlineStr">
        <is>
          <t>triệu VND</t>
        </is>
      </c>
      <c r="D36" s="34">
        <f>D33-D35</f>
        <v/>
      </c>
      <c r="E36" s="34">
        <f>E33-E35</f>
        <v/>
      </c>
      <c r="F36" s="34">
        <f>F33-F35</f>
        <v/>
      </c>
      <c r="G36" s="34">
        <f>G33-G35</f>
        <v/>
      </c>
      <c r="H36" s="34">
        <f>H33-H35</f>
        <v/>
      </c>
      <c r="I36" s="34">
        <f>I33-I35</f>
        <v/>
      </c>
      <c r="J36" s="34">
        <f>J33-J35</f>
        <v/>
      </c>
      <c r="K36" s="34">
        <f>K33-K35</f>
        <v/>
      </c>
      <c r="L36" s="34">
        <f>L33-L35</f>
        <v/>
      </c>
      <c r="M36" s="34">
        <f>M33-M35</f>
        <v/>
      </c>
      <c r="N36" s="34">
        <f>N33-N35</f>
        <v/>
      </c>
      <c r="O36" s="34">
        <f>O33-O35</f>
        <v/>
      </c>
      <c r="P36" s="34">
        <f>P33-P35</f>
        <v/>
      </c>
      <c r="Q36" s="34">
        <f>Q33-Q35</f>
        <v/>
      </c>
      <c r="R36" s="34">
        <f>R33-R35</f>
        <v/>
      </c>
      <c r="S36" s="34">
        <f>S33-S35</f>
        <v/>
      </c>
      <c r="T36" s="34">
        <f>T33-T35</f>
        <v/>
      </c>
      <c r="U36" s="34">
        <f>U33-U35</f>
        <v/>
      </c>
      <c r="V36" s="34">
        <f>V33-V35</f>
        <v/>
      </c>
      <c r="W36" s="34">
        <f>W33-W35</f>
        <v/>
      </c>
      <c r="X36" s="34">
        <f>X33-X35</f>
        <v/>
      </c>
      <c r="Y36" s="34">
        <f>Y33-Y35</f>
        <v/>
      </c>
      <c r="Z36" s="34">
        <f>Z33-Z35</f>
        <v/>
      </c>
      <c r="AA36" s="34">
        <f>AA33-AA35</f>
        <v/>
      </c>
      <c r="AB36" s="34">
        <f>AB33-AB35</f>
        <v/>
      </c>
      <c r="AC36" s="34">
        <f>AC33-AC35</f>
        <v/>
      </c>
      <c r="AD36" s="34">
        <f>AD33-AD35</f>
        <v/>
      </c>
      <c r="AE36" s="34">
        <f>AE33-AE35</f>
        <v/>
      </c>
      <c r="AF36" s="34">
        <f>AF33-AF35</f>
        <v/>
      </c>
      <c r="AG36" s="34">
        <f>AG33-AG35</f>
        <v/>
      </c>
      <c r="AH36" s="34">
        <f>AH33-AH35</f>
        <v/>
      </c>
      <c r="AI36" s="34">
        <f>AI33-AI35</f>
        <v/>
      </c>
      <c r="AJ36" s="34">
        <f>AJ33-AJ35</f>
        <v/>
      </c>
      <c r="AK36" s="34">
        <f>AK33-AK35</f>
        <v/>
      </c>
      <c r="AL36" s="34">
        <f>AL33-AL35</f>
        <v/>
      </c>
      <c r="AM36" s="34">
        <f>AM33-AM35</f>
        <v/>
      </c>
    </row>
    <row r="37">
      <c r="B37" t="inlineStr">
        <is>
          <t>Lỗ luỹ kế đầu kỳ</t>
        </is>
      </c>
      <c r="C37" t="inlineStr">
        <is>
          <t>triệu VND</t>
        </is>
      </c>
      <c r="D37" s="11">
        <f>0</f>
        <v/>
      </c>
      <c r="E37" s="11">
        <f>D41</f>
        <v/>
      </c>
      <c r="F37" s="11">
        <f>E41</f>
        <v/>
      </c>
      <c r="G37" s="11">
        <f>F41</f>
        <v/>
      </c>
      <c r="H37" s="11">
        <f>G41</f>
        <v/>
      </c>
      <c r="I37" s="11">
        <f>H41</f>
        <v/>
      </c>
      <c r="J37" s="11">
        <f>I41</f>
        <v/>
      </c>
      <c r="K37" s="11">
        <f>J41</f>
        <v/>
      </c>
      <c r="L37" s="11">
        <f>K41</f>
        <v/>
      </c>
      <c r="M37" s="11">
        <f>L41</f>
        <v/>
      </c>
      <c r="N37" s="11">
        <f>M41</f>
        <v/>
      </c>
      <c r="O37" s="11">
        <f>N41</f>
        <v/>
      </c>
      <c r="P37" s="11">
        <f>O41</f>
        <v/>
      </c>
      <c r="Q37" s="11">
        <f>P41</f>
        <v/>
      </c>
      <c r="R37" s="11">
        <f>Q41</f>
        <v/>
      </c>
      <c r="S37" s="11">
        <f>R41</f>
        <v/>
      </c>
      <c r="T37" s="11">
        <f>S41</f>
        <v/>
      </c>
      <c r="U37" s="11">
        <f>T41</f>
        <v/>
      </c>
      <c r="V37" s="11">
        <f>U41</f>
        <v/>
      </c>
      <c r="W37" s="11">
        <f>V41</f>
        <v/>
      </c>
      <c r="X37" s="11">
        <f>W41</f>
        <v/>
      </c>
      <c r="Y37" s="11">
        <f>X41</f>
        <v/>
      </c>
      <c r="Z37" s="11">
        <f>Y41</f>
        <v/>
      </c>
      <c r="AA37" s="11">
        <f>Z41</f>
        <v/>
      </c>
      <c r="AB37" s="11">
        <f>AA41</f>
        <v/>
      </c>
      <c r="AC37" s="11">
        <f>AB41</f>
        <v/>
      </c>
      <c r="AD37" s="11">
        <f>AC41</f>
        <v/>
      </c>
      <c r="AE37" s="11">
        <f>AD41</f>
        <v/>
      </c>
      <c r="AF37" s="11">
        <f>AE41</f>
        <v/>
      </c>
      <c r="AG37" s="11">
        <f>AF41</f>
        <v/>
      </c>
      <c r="AH37" s="11">
        <f>AG41</f>
        <v/>
      </c>
      <c r="AI37" s="11">
        <f>AH41</f>
        <v/>
      </c>
      <c r="AJ37" s="11">
        <f>AI41</f>
        <v/>
      </c>
      <c r="AK37" s="11">
        <f>AJ41</f>
        <v/>
      </c>
      <c r="AL37" s="11">
        <f>AK41</f>
        <v/>
      </c>
      <c r="AM37" s="11">
        <f>AL41</f>
        <v/>
      </c>
    </row>
    <row r="38">
      <c r="B38" t="inlineStr">
        <is>
          <t>Thu nhập chịu thuế</t>
        </is>
      </c>
      <c r="C38" t="inlineStr">
        <is>
          <t>triệu VND</t>
        </is>
      </c>
      <c r="D38" s="11">
        <f>MAX(0,D36-D37)</f>
        <v/>
      </c>
      <c r="E38" s="11">
        <f>MAX(0,E36-E37)</f>
        <v/>
      </c>
      <c r="F38" s="11">
        <f>MAX(0,F36-F37)</f>
        <v/>
      </c>
      <c r="G38" s="11">
        <f>MAX(0,G36-G37)</f>
        <v/>
      </c>
      <c r="H38" s="11">
        <f>MAX(0,H36-H37)</f>
        <v/>
      </c>
      <c r="I38" s="11">
        <f>MAX(0,I36-I37)</f>
        <v/>
      </c>
      <c r="J38" s="11">
        <f>MAX(0,J36-J37)</f>
        <v/>
      </c>
      <c r="K38" s="11">
        <f>MAX(0,K36-K37)</f>
        <v/>
      </c>
      <c r="L38" s="11">
        <f>MAX(0,L36-L37)</f>
        <v/>
      </c>
      <c r="M38" s="11">
        <f>MAX(0,M36-M37)</f>
        <v/>
      </c>
      <c r="N38" s="11">
        <f>MAX(0,N36-N37)</f>
        <v/>
      </c>
      <c r="O38" s="11">
        <f>MAX(0,O36-O37)</f>
        <v/>
      </c>
      <c r="P38" s="11">
        <f>MAX(0,P36-P37)</f>
        <v/>
      </c>
      <c r="Q38" s="11">
        <f>MAX(0,Q36-Q37)</f>
        <v/>
      </c>
      <c r="R38" s="11">
        <f>MAX(0,R36-R37)</f>
        <v/>
      </c>
      <c r="S38" s="11">
        <f>MAX(0,S36-S37)</f>
        <v/>
      </c>
      <c r="T38" s="11">
        <f>MAX(0,T36-T37)</f>
        <v/>
      </c>
      <c r="U38" s="11">
        <f>MAX(0,U36-U37)</f>
        <v/>
      </c>
      <c r="V38" s="11">
        <f>MAX(0,V36-V37)</f>
        <v/>
      </c>
      <c r="W38" s="11">
        <f>MAX(0,W36-W37)</f>
        <v/>
      </c>
      <c r="X38" s="11">
        <f>MAX(0,X36-X37)</f>
        <v/>
      </c>
      <c r="Y38" s="11">
        <f>MAX(0,Y36-Y37)</f>
        <v/>
      </c>
      <c r="Z38" s="11">
        <f>MAX(0,Z36-Z37)</f>
        <v/>
      </c>
      <c r="AA38" s="11">
        <f>MAX(0,AA36-AA37)</f>
        <v/>
      </c>
      <c r="AB38" s="11">
        <f>MAX(0,AB36-AB37)</f>
        <v/>
      </c>
      <c r="AC38" s="11">
        <f>MAX(0,AC36-AC37)</f>
        <v/>
      </c>
      <c r="AD38" s="11">
        <f>MAX(0,AD36-AD37)</f>
        <v/>
      </c>
      <c r="AE38" s="11">
        <f>MAX(0,AE36-AE37)</f>
        <v/>
      </c>
      <c r="AF38" s="11">
        <f>MAX(0,AF36-AF37)</f>
        <v/>
      </c>
      <c r="AG38" s="11">
        <f>MAX(0,AG36-AG37)</f>
        <v/>
      </c>
      <c r="AH38" s="11">
        <f>MAX(0,AH36-AH37)</f>
        <v/>
      </c>
      <c r="AI38" s="11">
        <f>MAX(0,AI36-AI37)</f>
        <v/>
      </c>
      <c r="AJ38" s="11">
        <f>MAX(0,AJ36-AJ37)</f>
        <v/>
      </c>
      <c r="AK38" s="11">
        <f>MAX(0,AK36-AK37)</f>
        <v/>
      </c>
      <c r="AL38" s="11">
        <f>MAX(0,AL36-AL37)</f>
        <v/>
      </c>
      <c r="AM38" s="11">
        <f>MAX(0,AM36-AM37)</f>
        <v/>
      </c>
    </row>
    <row r="39">
      <c r="B39" t="inlineStr">
        <is>
          <t>Thuế TNDN</t>
        </is>
      </c>
      <c r="C39" t="inlineStr">
        <is>
          <t>triệu VND</t>
        </is>
      </c>
      <c r="D39" s="11">
        <f>D38*Gia_dinh!$F$94</f>
        <v/>
      </c>
      <c r="E39" s="11">
        <f>E38*Gia_dinh!$F$94</f>
        <v/>
      </c>
      <c r="F39" s="11">
        <f>F38*Gia_dinh!$F$94</f>
        <v/>
      </c>
      <c r="G39" s="11">
        <f>G38*Gia_dinh!$F$94</f>
        <v/>
      </c>
      <c r="H39" s="11">
        <f>H38*Gia_dinh!$F$94</f>
        <v/>
      </c>
      <c r="I39" s="11">
        <f>I38*Gia_dinh!$F$94</f>
        <v/>
      </c>
      <c r="J39" s="11">
        <f>J38*Gia_dinh!$F$94</f>
        <v/>
      </c>
      <c r="K39" s="11">
        <f>K38*Gia_dinh!$F$94</f>
        <v/>
      </c>
      <c r="L39" s="11">
        <f>L38*Gia_dinh!$F$94</f>
        <v/>
      </c>
      <c r="M39" s="11">
        <f>M38*Gia_dinh!$F$94</f>
        <v/>
      </c>
      <c r="N39" s="11">
        <f>N38*Gia_dinh!$F$94</f>
        <v/>
      </c>
      <c r="O39" s="11">
        <f>O38*Gia_dinh!$F$94</f>
        <v/>
      </c>
      <c r="P39" s="11">
        <f>P38*Gia_dinh!$F$94</f>
        <v/>
      </c>
      <c r="Q39" s="11">
        <f>Q38*Gia_dinh!$F$94</f>
        <v/>
      </c>
      <c r="R39" s="11">
        <f>R38*Gia_dinh!$F$94</f>
        <v/>
      </c>
      <c r="S39" s="11">
        <f>S38*Gia_dinh!$F$94</f>
        <v/>
      </c>
      <c r="T39" s="11">
        <f>T38*Gia_dinh!$F$94</f>
        <v/>
      </c>
      <c r="U39" s="11">
        <f>U38*Gia_dinh!$F$94</f>
        <v/>
      </c>
      <c r="V39" s="11">
        <f>V38*Gia_dinh!$F$94</f>
        <v/>
      </c>
      <c r="W39" s="11">
        <f>W38*Gia_dinh!$F$94</f>
        <v/>
      </c>
      <c r="X39" s="11">
        <f>X38*Gia_dinh!$F$94</f>
        <v/>
      </c>
      <c r="Y39" s="11">
        <f>Y38*Gia_dinh!$F$94</f>
        <v/>
      </c>
      <c r="Z39" s="11">
        <f>Z38*Gia_dinh!$F$94</f>
        <v/>
      </c>
      <c r="AA39" s="11">
        <f>AA38*Gia_dinh!$F$94</f>
        <v/>
      </c>
      <c r="AB39" s="11">
        <f>AB38*Gia_dinh!$F$94</f>
        <v/>
      </c>
      <c r="AC39" s="11">
        <f>AC38*Gia_dinh!$F$94</f>
        <v/>
      </c>
      <c r="AD39" s="11">
        <f>AD38*Gia_dinh!$F$94</f>
        <v/>
      </c>
      <c r="AE39" s="11">
        <f>AE38*Gia_dinh!$F$94</f>
        <v/>
      </c>
      <c r="AF39" s="11">
        <f>AF38*Gia_dinh!$F$94</f>
        <v/>
      </c>
      <c r="AG39" s="11">
        <f>AG38*Gia_dinh!$F$94</f>
        <v/>
      </c>
      <c r="AH39" s="11">
        <f>AH38*Gia_dinh!$F$94</f>
        <v/>
      </c>
      <c r="AI39" s="11">
        <f>AI38*Gia_dinh!$F$94</f>
        <v/>
      </c>
      <c r="AJ39" s="11">
        <f>AJ38*Gia_dinh!$F$94</f>
        <v/>
      </c>
      <c r="AK39" s="11">
        <f>AK38*Gia_dinh!$F$94</f>
        <v/>
      </c>
      <c r="AL39" s="11">
        <f>AL38*Gia_dinh!$F$94</f>
        <v/>
      </c>
      <c r="AM39" s="11">
        <f>AM38*Gia_dinh!$F$94</f>
        <v/>
      </c>
    </row>
    <row r="40">
      <c r="B40" s="2" t="inlineStr">
        <is>
          <t>LỢI NHUẬN SAU THUẾ</t>
        </is>
      </c>
      <c r="C40" t="inlineStr">
        <is>
          <t>triệu VND</t>
        </is>
      </c>
      <c r="D40" s="34">
        <f>D36-D39</f>
        <v/>
      </c>
      <c r="E40" s="34">
        <f>E36-E39</f>
        <v/>
      </c>
      <c r="F40" s="34">
        <f>F36-F39</f>
        <v/>
      </c>
      <c r="G40" s="34">
        <f>G36-G39</f>
        <v/>
      </c>
      <c r="H40" s="34">
        <f>H36-H39</f>
        <v/>
      </c>
      <c r="I40" s="34">
        <f>I36-I39</f>
        <v/>
      </c>
      <c r="J40" s="34">
        <f>J36-J39</f>
        <v/>
      </c>
      <c r="K40" s="34">
        <f>K36-K39</f>
        <v/>
      </c>
      <c r="L40" s="34">
        <f>L36-L39</f>
        <v/>
      </c>
      <c r="M40" s="34">
        <f>M36-M39</f>
        <v/>
      </c>
      <c r="N40" s="34">
        <f>N36-N39</f>
        <v/>
      </c>
      <c r="O40" s="34">
        <f>O36-O39</f>
        <v/>
      </c>
      <c r="P40" s="34">
        <f>P36-P39</f>
        <v/>
      </c>
      <c r="Q40" s="34">
        <f>Q36-Q39</f>
        <v/>
      </c>
      <c r="R40" s="34">
        <f>R36-R39</f>
        <v/>
      </c>
      <c r="S40" s="34">
        <f>S36-S39</f>
        <v/>
      </c>
      <c r="T40" s="34">
        <f>T36-T39</f>
        <v/>
      </c>
      <c r="U40" s="34">
        <f>U36-U39</f>
        <v/>
      </c>
      <c r="V40" s="34">
        <f>V36-V39</f>
        <v/>
      </c>
      <c r="W40" s="34">
        <f>W36-W39</f>
        <v/>
      </c>
      <c r="X40" s="34">
        <f>X36-X39</f>
        <v/>
      </c>
      <c r="Y40" s="34">
        <f>Y36-Y39</f>
        <v/>
      </c>
      <c r="Z40" s="34">
        <f>Z36-Z39</f>
        <v/>
      </c>
      <c r="AA40" s="34">
        <f>AA36-AA39</f>
        <v/>
      </c>
      <c r="AB40" s="34">
        <f>AB36-AB39</f>
        <v/>
      </c>
      <c r="AC40" s="34">
        <f>AC36-AC39</f>
        <v/>
      </c>
      <c r="AD40" s="34">
        <f>AD36-AD39</f>
        <v/>
      </c>
      <c r="AE40" s="34">
        <f>AE36-AE39</f>
        <v/>
      </c>
      <c r="AF40" s="34">
        <f>AF36-AF39</f>
        <v/>
      </c>
      <c r="AG40" s="34">
        <f>AG36-AG39</f>
        <v/>
      </c>
      <c r="AH40" s="34">
        <f>AH36-AH39</f>
        <v/>
      </c>
      <c r="AI40" s="34">
        <f>AI36-AI39</f>
        <v/>
      </c>
      <c r="AJ40" s="34">
        <f>AJ36-AJ39</f>
        <v/>
      </c>
      <c r="AK40" s="34">
        <f>AK36-AK39</f>
        <v/>
      </c>
      <c r="AL40" s="34">
        <f>AL36-AL39</f>
        <v/>
      </c>
      <c r="AM40" s="34">
        <f>AM36-AM39</f>
        <v/>
      </c>
    </row>
    <row r="41">
      <c r="B41" t="inlineStr">
        <is>
          <t>Lỗ luỹ kế cuối kỳ</t>
        </is>
      </c>
      <c r="C41" t="inlineStr">
        <is>
          <t>triệu VND</t>
        </is>
      </c>
      <c r="D41" s="11">
        <f>MAX(0,D37-D36)</f>
        <v/>
      </c>
      <c r="E41" s="11">
        <f>MAX(0,E37-E36)</f>
        <v/>
      </c>
      <c r="F41" s="11">
        <f>MAX(0,F37-F36)</f>
        <v/>
      </c>
      <c r="G41" s="11">
        <f>MAX(0,G37-G36)</f>
        <v/>
      </c>
      <c r="H41" s="11">
        <f>MAX(0,H37-H36)</f>
        <v/>
      </c>
      <c r="I41" s="11">
        <f>MAX(0,I37-I36)</f>
        <v/>
      </c>
      <c r="J41" s="11">
        <f>MAX(0,J37-J36)</f>
        <v/>
      </c>
      <c r="K41" s="11">
        <f>MAX(0,K37-K36)</f>
        <v/>
      </c>
      <c r="L41" s="11">
        <f>MAX(0,L37-L36)</f>
        <v/>
      </c>
      <c r="M41" s="11">
        <f>MAX(0,M37-M36)</f>
        <v/>
      </c>
      <c r="N41" s="11">
        <f>MAX(0,N37-N36)</f>
        <v/>
      </c>
      <c r="O41" s="11">
        <f>MAX(0,O37-O36)</f>
        <v/>
      </c>
      <c r="P41" s="11">
        <f>MAX(0,P37-P36)</f>
        <v/>
      </c>
      <c r="Q41" s="11">
        <f>MAX(0,Q37-Q36)</f>
        <v/>
      </c>
      <c r="R41" s="11">
        <f>MAX(0,R37-R36)</f>
        <v/>
      </c>
      <c r="S41" s="11">
        <f>MAX(0,S37-S36)</f>
        <v/>
      </c>
      <c r="T41" s="11">
        <f>MAX(0,T37-T36)</f>
        <v/>
      </c>
      <c r="U41" s="11">
        <f>MAX(0,U37-U36)</f>
        <v/>
      </c>
      <c r="V41" s="11">
        <f>MAX(0,V37-V36)</f>
        <v/>
      </c>
      <c r="W41" s="11">
        <f>MAX(0,W37-W36)</f>
        <v/>
      </c>
      <c r="X41" s="11">
        <f>MAX(0,X37-X36)</f>
        <v/>
      </c>
      <c r="Y41" s="11">
        <f>MAX(0,Y37-Y36)</f>
        <v/>
      </c>
      <c r="Z41" s="11">
        <f>MAX(0,Z37-Z36)</f>
        <v/>
      </c>
      <c r="AA41" s="11">
        <f>MAX(0,AA37-AA36)</f>
        <v/>
      </c>
      <c r="AB41" s="11">
        <f>MAX(0,AB37-AB36)</f>
        <v/>
      </c>
      <c r="AC41" s="11">
        <f>MAX(0,AC37-AC36)</f>
        <v/>
      </c>
      <c r="AD41" s="11">
        <f>MAX(0,AD37-AD36)</f>
        <v/>
      </c>
      <c r="AE41" s="11">
        <f>MAX(0,AE37-AE36)</f>
        <v/>
      </c>
      <c r="AF41" s="11">
        <f>MAX(0,AF37-AF36)</f>
        <v/>
      </c>
      <c r="AG41" s="11">
        <f>MAX(0,AG37-AG36)</f>
        <v/>
      </c>
      <c r="AH41" s="11">
        <f>MAX(0,AH37-AH36)</f>
        <v/>
      </c>
      <c r="AI41" s="11">
        <f>MAX(0,AI37-AI36)</f>
        <v/>
      </c>
      <c r="AJ41" s="11">
        <f>MAX(0,AJ37-AJ36)</f>
        <v/>
      </c>
      <c r="AK41" s="11">
        <f>MAX(0,AK37-AK36)</f>
        <v/>
      </c>
      <c r="AL41" s="11">
        <f>MAX(0,AL37-AL36)</f>
        <v/>
      </c>
      <c r="AM41" s="11">
        <f>MAX(0,AM37-AM36)</f>
        <v/>
      </c>
    </row>
    <row r="42">
      <c r="B42" t="inlineStr">
        <is>
          <t>Lợi nhuận sau thuế luỹ kế</t>
        </is>
      </c>
      <c r="C42" t="inlineStr">
        <is>
          <t>triệu VND</t>
        </is>
      </c>
      <c r="D42" s="11">
        <f>D40</f>
        <v/>
      </c>
      <c r="E42" s="11">
        <f>D42+E40</f>
        <v/>
      </c>
      <c r="F42" s="11">
        <f>E42+F40</f>
        <v/>
      </c>
      <c r="G42" s="11">
        <f>F42+G40</f>
        <v/>
      </c>
      <c r="H42" s="11">
        <f>G42+H40</f>
        <v/>
      </c>
      <c r="I42" s="11">
        <f>H42+I40</f>
        <v/>
      </c>
      <c r="J42" s="11">
        <f>I42+J40</f>
        <v/>
      </c>
      <c r="K42" s="11">
        <f>J42+K40</f>
        <v/>
      </c>
      <c r="L42" s="11">
        <f>K42+L40</f>
        <v/>
      </c>
      <c r="M42" s="11">
        <f>L42+M40</f>
        <v/>
      </c>
      <c r="N42" s="11">
        <f>M42+N40</f>
        <v/>
      </c>
      <c r="O42" s="11">
        <f>N42+O40</f>
        <v/>
      </c>
      <c r="P42" s="11">
        <f>O42+P40</f>
        <v/>
      </c>
      <c r="Q42" s="11">
        <f>P42+Q40</f>
        <v/>
      </c>
      <c r="R42" s="11">
        <f>Q42+R40</f>
        <v/>
      </c>
      <c r="S42" s="11">
        <f>R42+S40</f>
        <v/>
      </c>
      <c r="T42" s="11">
        <f>S42+T40</f>
        <v/>
      </c>
      <c r="U42" s="11">
        <f>T42+U40</f>
        <v/>
      </c>
      <c r="V42" s="11">
        <f>U42+V40</f>
        <v/>
      </c>
      <c r="W42" s="11">
        <f>V42+W40</f>
        <v/>
      </c>
      <c r="X42" s="11">
        <f>W42+X40</f>
        <v/>
      </c>
      <c r="Y42" s="11">
        <f>X42+Y40</f>
        <v/>
      </c>
      <c r="Z42" s="11">
        <f>Y42+Z40</f>
        <v/>
      </c>
      <c r="AA42" s="11">
        <f>Z42+AA40</f>
        <v/>
      </c>
      <c r="AB42" s="11">
        <f>AA42+AB40</f>
        <v/>
      </c>
      <c r="AC42" s="11">
        <f>AB42+AC40</f>
        <v/>
      </c>
      <c r="AD42" s="11">
        <f>AC42+AD40</f>
        <v/>
      </c>
      <c r="AE42" s="11">
        <f>AD42+AE40</f>
        <v/>
      </c>
      <c r="AF42" s="11">
        <f>AE42+AF40</f>
        <v/>
      </c>
      <c r="AG42" s="11">
        <f>AF42+AG40</f>
        <v/>
      </c>
      <c r="AH42" s="11">
        <f>AG42+AH40</f>
        <v/>
      </c>
      <c r="AI42" s="11">
        <f>AH42+AI40</f>
        <v/>
      </c>
      <c r="AJ42" s="11">
        <f>AI42+AJ40</f>
        <v/>
      </c>
      <c r="AK42" s="11">
        <f>AJ42+AK40</f>
        <v/>
      </c>
      <c r="AL42" s="11">
        <f>AK42+AL40</f>
        <v/>
      </c>
      <c r="AM42" s="11">
        <f>AL42+AM40</f>
        <v/>
      </c>
    </row>
    <row r="45">
      <c r="B45" s="7" t="inlineStr">
        <is>
          <t>TỔNG HỢP THEO NĂM (triệu VND)</t>
        </is>
      </c>
    </row>
    <row r="46">
      <c r="B46" s="8" t="inlineStr">
        <is>
          <t>Chỉ tiêu</t>
        </is>
      </c>
      <c r="C46" s="8" t="inlineStr">
        <is>
          <t>Năm 1</t>
        </is>
      </c>
      <c r="D46" s="8" t="inlineStr">
        <is>
          <t>Năm 2</t>
        </is>
      </c>
      <c r="E46" s="8" t="inlineStr">
        <is>
          <t>Năm 3</t>
        </is>
      </c>
      <c r="F46" s="8" t="inlineStr">
        <is>
          <t>Cộng 3 năm</t>
        </is>
      </c>
    </row>
    <row r="47">
      <c r="B47" t="inlineStr">
        <is>
          <t>Tổng GMV gộp</t>
        </is>
      </c>
      <c r="C47" s="11">
        <f>SUM(Doanh_thu!D18:O18)</f>
        <v/>
      </c>
      <c r="D47" s="11">
        <f>SUM(Doanh_thu!P18:AA18)</f>
        <v/>
      </c>
      <c r="E47" s="11">
        <f>SUM(Doanh_thu!AB18:AM18)</f>
        <v/>
      </c>
      <c r="F47" s="34">
        <f>SUM(C47:E47)</f>
        <v/>
      </c>
    </row>
    <row r="48">
      <c r="B48" t="inlineStr">
        <is>
          <t>Tổng GMV ròng</t>
        </is>
      </c>
      <c r="C48" s="11">
        <f>SUM(Doanh_thu!D21:O21)</f>
        <v/>
      </c>
      <c r="D48" s="11">
        <f>SUM(Doanh_thu!P21:AA21)</f>
        <v/>
      </c>
      <c r="E48" s="11">
        <f>SUM(Doanh_thu!AB21:AM21)</f>
        <v/>
      </c>
      <c r="F48" s="34">
        <f>SUM(C48:E48)</f>
        <v/>
      </c>
    </row>
    <row r="49">
      <c r="B49" t="inlineStr">
        <is>
          <t>Tổng doanh thu</t>
        </is>
      </c>
      <c r="C49" s="11">
        <f>SUM(D11:O11)</f>
        <v/>
      </c>
      <c r="D49" s="11">
        <f>SUM(P11:AA11)</f>
        <v/>
      </c>
      <c r="E49" s="11">
        <f>SUM(AB11:AM11)</f>
        <v/>
      </c>
      <c r="F49" s="34">
        <f>SUM(C49:E49)</f>
        <v/>
      </c>
    </row>
    <row r="50">
      <c r="B50" t="inlineStr">
        <is>
          <t xml:space="preserve">  — từ IP người thật</t>
        </is>
      </c>
      <c r="C50" s="11">
        <f>SUM(Doanh_thu!D27:O27)</f>
        <v/>
      </c>
      <c r="D50" s="11">
        <f>SUM(Doanh_thu!P27:AA27)</f>
        <v/>
      </c>
      <c r="E50" s="11">
        <f>SUM(Doanh_thu!AB27:AM27)</f>
        <v/>
      </c>
      <c r="F50" s="34">
        <f>SUM(C50:E50)</f>
        <v/>
      </c>
    </row>
    <row r="51">
      <c r="B51" t="inlineStr">
        <is>
          <t xml:space="preserve">  — từ IP AI</t>
        </is>
      </c>
      <c r="C51" s="11">
        <f>SUM(D10:O10)</f>
        <v/>
      </c>
      <c r="D51" s="11">
        <f>SUM(P10:AA10)</f>
        <v/>
      </c>
      <c r="E51" s="11">
        <f>SUM(AB10:AM10)</f>
        <v/>
      </c>
      <c r="F51" s="34">
        <f>SUM(C51:E51)</f>
        <v/>
      </c>
    </row>
    <row r="52">
      <c r="B52" t="inlineStr">
        <is>
          <t>Tổng giá vốn</t>
        </is>
      </c>
      <c r="C52" s="11">
        <f>SUM(D22:O22)</f>
        <v/>
      </c>
      <c r="D52" s="11">
        <f>SUM(P22:AA22)</f>
        <v/>
      </c>
      <c r="E52" s="11">
        <f>SUM(AB22:AM22)</f>
        <v/>
      </c>
      <c r="F52" s="34">
        <f>SUM(C52:E52)</f>
        <v/>
      </c>
    </row>
    <row r="53">
      <c r="B53" t="inlineStr">
        <is>
          <t>Lợi nhuận gộp</t>
        </is>
      </c>
      <c r="C53" s="11">
        <f>SUM(D23:O23)</f>
        <v/>
      </c>
      <c r="D53" s="11">
        <f>SUM(P23:AA23)</f>
        <v/>
      </c>
      <c r="E53" s="11">
        <f>SUM(AB23:AM23)</f>
        <v/>
      </c>
      <c r="F53" s="34">
        <f>SUM(C53:E53)</f>
        <v/>
      </c>
    </row>
    <row r="54">
      <c r="B54" t="inlineStr">
        <is>
          <t>Tổng chi phí tầng công ty</t>
        </is>
      </c>
      <c r="C54" s="11">
        <f>SUM(D31:O31)</f>
        <v/>
      </c>
      <c r="D54" s="11">
        <f>SUM(P31:AA31)</f>
        <v/>
      </c>
      <c r="E54" s="11">
        <f>SUM(AB31:AM31)</f>
        <v/>
      </c>
      <c r="F54" s="34">
        <f>SUM(C54:E54)</f>
        <v/>
      </c>
    </row>
    <row r="55">
      <c r="B55" s="2" t="inlineStr">
        <is>
          <t>EBITDA</t>
        </is>
      </c>
      <c r="C55" s="11">
        <f>SUM(D33:O33)</f>
        <v/>
      </c>
      <c r="D55" s="11">
        <f>SUM(P33:AA33)</f>
        <v/>
      </c>
      <c r="E55" s="11">
        <f>SUM(AB33:AM33)</f>
        <v/>
      </c>
      <c r="F55" s="34">
        <f>SUM(C55:E55)</f>
        <v/>
      </c>
    </row>
    <row r="56">
      <c r="B56" t="inlineStr">
        <is>
          <t>Khấu hao</t>
        </is>
      </c>
      <c r="C56" s="11">
        <f>SUM(D35:O35)</f>
        <v/>
      </c>
      <c r="D56" s="11">
        <f>SUM(P35:AA35)</f>
        <v/>
      </c>
      <c r="E56" s="11">
        <f>SUM(AB35:AM35)</f>
        <v/>
      </c>
      <c r="F56" s="34">
        <f>SUM(C56:E56)</f>
        <v/>
      </c>
    </row>
    <row r="57">
      <c r="B57" t="inlineStr">
        <is>
          <t>EBIT</t>
        </is>
      </c>
      <c r="C57" s="11">
        <f>SUM(D36:O36)</f>
        <v/>
      </c>
      <c r="D57" s="11">
        <f>SUM(P36:AA36)</f>
        <v/>
      </c>
      <c r="E57" s="11">
        <f>SUM(AB36:AM36)</f>
        <v/>
      </c>
      <c r="F57" s="34">
        <f>SUM(C57:E57)</f>
        <v/>
      </c>
    </row>
    <row r="58">
      <c r="B58" t="inlineStr">
        <is>
          <t>Thuế TNDN</t>
        </is>
      </c>
      <c r="C58" s="11">
        <f>SUM(D39:O39)</f>
        <v/>
      </c>
      <c r="D58" s="11">
        <f>SUM(P39:AA39)</f>
        <v/>
      </c>
      <c r="E58" s="11">
        <f>SUM(AB39:AM39)</f>
        <v/>
      </c>
      <c r="F58" s="34">
        <f>SUM(C58:E58)</f>
        <v/>
      </c>
    </row>
    <row r="59">
      <c r="B59" s="2" t="inlineStr">
        <is>
          <t>Lợi nhuận sau thuế</t>
        </is>
      </c>
      <c r="C59" s="11">
        <f>SUM(D40:O40)</f>
        <v/>
      </c>
      <c r="D59" s="11">
        <f>SUM(P40:AA40)</f>
        <v/>
      </c>
      <c r="E59" s="11">
        <f>SUM(AB40:AM40)</f>
        <v/>
      </c>
      <c r="F59" s="34">
        <f>SUM(C59:E59)</f>
        <v/>
      </c>
    </row>
    <row r="60">
      <c r="B60" t="inlineStr">
        <is>
          <t>Biên lợi nhuận gộp</t>
        </is>
      </c>
      <c r="C60" s="12">
        <f>IFERROR(C53/C49,0)</f>
        <v/>
      </c>
      <c r="D60" s="12">
        <f>IFERROR(D53/D49,0)</f>
        <v/>
      </c>
      <c r="E60" s="12">
        <f>IFERROR(E53/E49,0)</f>
        <v/>
      </c>
      <c r="F60" s="12">
        <f>IFERROR(F53/F49,0)</f>
        <v/>
      </c>
    </row>
    <row r="61">
      <c r="B61" t="inlineStr">
        <is>
          <t>Biên EBITDA</t>
        </is>
      </c>
      <c r="C61" s="12">
        <f>IFERROR(C55/C49,0)</f>
        <v/>
      </c>
      <c r="D61" s="12">
        <f>IFERROR(D55/D49,0)</f>
        <v/>
      </c>
      <c r="E61" s="12">
        <f>IFERROR(E55/E49,0)</f>
        <v/>
      </c>
      <c r="F61" s="12">
        <f>IFERROR(F55/F49,0)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2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48"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c r="A1" s="7" t="inlineStr">
        <is>
          <t>DỰ BÁO DÒNG TIỀN THEO THÁNG (triệu VND)</t>
        </is>
      </c>
    </row>
    <row r="2">
      <c r="A2" t="inlineStr">
        <is>
          <t>Tiền hoa hồng về theo DSO; chia sẻ cho talent trả theo DPO; các khoản còn lại trả trong tháng.</t>
        </is>
      </c>
    </row>
    <row r="3">
      <c r="A3" s="28" t="n"/>
      <c r="B3" s="8" t="inlineStr">
        <is>
          <t>Thang</t>
        </is>
      </c>
      <c r="C3" s="8" t="inlineStr">
        <is>
          <t>Đơn vị</t>
        </is>
      </c>
      <c r="D3" s="29" t="n">
        <v>1</v>
      </c>
      <c r="E3" s="29" t="n">
        <v>2</v>
      </c>
      <c r="F3" s="29" t="n">
        <v>3</v>
      </c>
      <c r="G3" s="29" t="n">
        <v>4</v>
      </c>
      <c r="H3" s="29" t="n">
        <v>5</v>
      </c>
      <c r="I3" s="29" t="n">
        <v>6</v>
      </c>
      <c r="J3" s="29" t="n">
        <v>7</v>
      </c>
      <c r="K3" s="29" t="n">
        <v>8</v>
      </c>
      <c r="L3" s="29" t="n">
        <v>9</v>
      </c>
      <c r="M3" s="29" t="n">
        <v>10</v>
      </c>
      <c r="N3" s="29" t="n">
        <v>11</v>
      </c>
      <c r="O3" s="29" t="n">
        <v>12</v>
      </c>
      <c r="P3" s="29" t="n">
        <v>13</v>
      </c>
      <c r="Q3" s="29" t="n">
        <v>14</v>
      </c>
      <c r="R3" s="29" t="n">
        <v>15</v>
      </c>
      <c r="S3" s="29" t="n">
        <v>16</v>
      </c>
      <c r="T3" s="29" t="n">
        <v>17</v>
      </c>
      <c r="U3" s="29" t="n">
        <v>18</v>
      </c>
      <c r="V3" s="29" t="n">
        <v>19</v>
      </c>
      <c r="W3" s="29" t="n">
        <v>20</v>
      </c>
      <c r="X3" s="29" t="n">
        <v>21</v>
      </c>
      <c r="Y3" s="29" t="n">
        <v>22</v>
      </c>
      <c r="Z3" s="29" t="n">
        <v>23</v>
      </c>
      <c r="AA3" s="29" t="n">
        <v>24</v>
      </c>
      <c r="AB3" s="29" t="n">
        <v>25</v>
      </c>
      <c r="AC3" s="29" t="n">
        <v>26</v>
      </c>
      <c r="AD3" s="29" t="n">
        <v>27</v>
      </c>
      <c r="AE3" s="29" t="n">
        <v>28</v>
      </c>
      <c r="AF3" s="29" t="n">
        <v>29</v>
      </c>
      <c r="AG3" s="29" t="n">
        <v>30</v>
      </c>
      <c r="AH3" s="29" t="n">
        <v>31</v>
      </c>
      <c r="AI3" s="29" t="n">
        <v>32</v>
      </c>
      <c r="AJ3" s="29" t="n">
        <v>33</v>
      </c>
      <c r="AK3" s="29" t="n">
        <v>34</v>
      </c>
      <c r="AL3" s="29" t="n">
        <v>35</v>
      </c>
      <c r="AM3" s="29" t="n">
        <v>36</v>
      </c>
    </row>
    <row r="4">
      <c r="A4" s="28" t="n"/>
      <c r="B4" s="8" t="inlineStr">
        <is>
          <t>Ky</t>
        </is>
      </c>
      <c r="C4" s="28" t="n"/>
      <c r="D4" s="30">
        <f>EDATE(Gia_dinh!$B$5,1-1)</f>
        <v/>
      </c>
      <c r="E4" s="30">
        <f>EDATE(Gia_dinh!$B$5,2-1)</f>
        <v/>
      </c>
      <c r="F4" s="30">
        <f>EDATE(Gia_dinh!$B$5,3-1)</f>
        <v/>
      </c>
      <c r="G4" s="30">
        <f>EDATE(Gia_dinh!$B$5,4-1)</f>
        <v/>
      </c>
      <c r="H4" s="30">
        <f>EDATE(Gia_dinh!$B$5,5-1)</f>
        <v/>
      </c>
      <c r="I4" s="30">
        <f>EDATE(Gia_dinh!$B$5,6-1)</f>
        <v/>
      </c>
      <c r="J4" s="30">
        <f>EDATE(Gia_dinh!$B$5,7-1)</f>
        <v/>
      </c>
      <c r="K4" s="30">
        <f>EDATE(Gia_dinh!$B$5,8-1)</f>
        <v/>
      </c>
      <c r="L4" s="30">
        <f>EDATE(Gia_dinh!$B$5,9-1)</f>
        <v/>
      </c>
      <c r="M4" s="30">
        <f>EDATE(Gia_dinh!$B$5,10-1)</f>
        <v/>
      </c>
      <c r="N4" s="30">
        <f>EDATE(Gia_dinh!$B$5,11-1)</f>
        <v/>
      </c>
      <c r="O4" s="30">
        <f>EDATE(Gia_dinh!$B$5,12-1)</f>
        <v/>
      </c>
      <c r="P4" s="30">
        <f>EDATE(Gia_dinh!$B$5,13-1)</f>
        <v/>
      </c>
      <c r="Q4" s="30">
        <f>EDATE(Gia_dinh!$B$5,14-1)</f>
        <v/>
      </c>
      <c r="R4" s="30">
        <f>EDATE(Gia_dinh!$B$5,15-1)</f>
        <v/>
      </c>
      <c r="S4" s="30">
        <f>EDATE(Gia_dinh!$B$5,16-1)</f>
        <v/>
      </c>
      <c r="T4" s="30">
        <f>EDATE(Gia_dinh!$B$5,17-1)</f>
        <v/>
      </c>
      <c r="U4" s="30">
        <f>EDATE(Gia_dinh!$B$5,18-1)</f>
        <v/>
      </c>
      <c r="V4" s="30">
        <f>EDATE(Gia_dinh!$B$5,19-1)</f>
        <v/>
      </c>
      <c r="W4" s="30">
        <f>EDATE(Gia_dinh!$B$5,20-1)</f>
        <v/>
      </c>
      <c r="X4" s="30">
        <f>EDATE(Gia_dinh!$B$5,21-1)</f>
        <v/>
      </c>
      <c r="Y4" s="30">
        <f>EDATE(Gia_dinh!$B$5,22-1)</f>
        <v/>
      </c>
      <c r="Z4" s="30">
        <f>EDATE(Gia_dinh!$B$5,23-1)</f>
        <v/>
      </c>
      <c r="AA4" s="30">
        <f>EDATE(Gia_dinh!$B$5,24-1)</f>
        <v/>
      </c>
      <c r="AB4" s="30">
        <f>EDATE(Gia_dinh!$B$5,25-1)</f>
        <v/>
      </c>
      <c r="AC4" s="30">
        <f>EDATE(Gia_dinh!$B$5,26-1)</f>
        <v/>
      </c>
      <c r="AD4" s="30">
        <f>EDATE(Gia_dinh!$B$5,27-1)</f>
        <v/>
      </c>
      <c r="AE4" s="30">
        <f>EDATE(Gia_dinh!$B$5,28-1)</f>
        <v/>
      </c>
      <c r="AF4" s="30">
        <f>EDATE(Gia_dinh!$B$5,29-1)</f>
        <v/>
      </c>
      <c r="AG4" s="30">
        <f>EDATE(Gia_dinh!$B$5,30-1)</f>
        <v/>
      </c>
      <c r="AH4" s="30">
        <f>EDATE(Gia_dinh!$B$5,31-1)</f>
        <v/>
      </c>
      <c r="AI4" s="30">
        <f>EDATE(Gia_dinh!$B$5,32-1)</f>
        <v/>
      </c>
      <c r="AJ4" s="30">
        <f>EDATE(Gia_dinh!$B$5,33-1)</f>
        <v/>
      </c>
      <c r="AK4" s="30">
        <f>EDATE(Gia_dinh!$B$5,34-1)</f>
        <v/>
      </c>
      <c r="AL4" s="30">
        <f>EDATE(Gia_dinh!$B$5,35-1)</f>
        <v/>
      </c>
      <c r="AM4" s="30">
        <f>EDATE(Gia_dinh!$B$5,36-1)</f>
        <v/>
      </c>
    </row>
    <row r="5">
      <c r="A5" s="28" t="n"/>
      <c r="B5" s="8" t="inlineStr">
        <is>
          <t>Nam</t>
        </is>
      </c>
      <c r="C5" s="28" t="n"/>
      <c r="D5" s="31" t="inlineStr">
        <is>
          <t>Nam 1</t>
        </is>
      </c>
      <c r="E5" s="31" t="inlineStr">
        <is>
          <t>Nam 1</t>
        </is>
      </c>
      <c r="F5" s="31" t="inlineStr">
        <is>
          <t>Nam 1</t>
        </is>
      </c>
      <c r="G5" s="31" t="inlineStr">
        <is>
          <t>Nam 1</t>
        </is>
      </c>
      <c r="H5" s="31" t="inlineStr">
        <is>
          <t>Nam 1</t>
        </is>
      </c>
      <c r="I5" s="31" t="inlineStr">
        <is>
          <t>Nam 1</t>
        </is>
      </c>
      <c r="J5" s="31" t="inlineStr">
        <is>
          <t>Nam 1</t>
        </is>
      </c>
      <c r="K5" s="31" t="inlineStr">
        <is>
          <t>Nam 1</t>
        </is>
      </c>
      <c r="L5" s="31" t="inlineStr">
        <is>
          <t>Nam 1</t>
        </is>
      </c>
      <c r="M5" s="31" t="inlineStr">
        <is>
          <t>Nam 1</t>
        </is>
      </c>
      <c r="N5" s="31" t="inlineStr">
        <is>
          <t>Nam 1</t>
        </is>
      </c>
      <c r="O5" s="31" t="inlineStr">
        <is>
          <t>Nam 1</t>
        </is>
      </c>
      <c r="P5" s="31" t="inlineStr">
        <is>
          <t>Nam 2</t>
        </is>
      </c>
      <c r="Q5" s="31" t="inlineStr">
        <is>
          <t>Nam 2</t>
        </is>
      </c>
      <c r="R5" s="31" t="inlineStr">
        <is>
          <t>Nam 2</t>
        </is>
      </c>
      <c r="S5" s="31" t="inlineStr">
        <is>
          <t>Nam 2</t>
        </is>
      </c>
      <c r="T5" s="31" t="inlineStr">
        <is>
          <t>Nam 2</t>
        </is>
      </c>
      <c r="U5" s="31" t="inlineStr">
        <is>
          <t>Nam 2</t>
        </is>
      </c>
      <c r="V5" s="31" t="inlineStr">
        <is>
          <t>Nam 2</t>
        </is>
      </c>
      <c r="W5" s="31" t="inlineStr">
        <is>
          <t>Nam 2</t>
        </is>
      </c>
      <c r="X5" s="31" t="inlineStr">
        <is>
          <t>Nam 2</t>
        </is>
      </c>
      <c r="Y5" s="31" t="inlineStr">
        <is>
          <t>Nam 2</t>
        </is>
      </c>
      <c r="Z5" s="31" t="inlineStr">
        <is>
          <t>Nam 2</t>
        </is>
      </c>
      <c r="AA5" s="31" t="inlineStr">
        <is>
          <t>Nam 2</t>
        </is>
      </c>
      <c r="AB5" s="31" t="inlineStr">
        <is>
          <t>Nam 3</t>
        </is>
      </c>
      <c r="AC5" s="31" t="inlineStr">
        <is>
          <t>Nam 3</t>
        </is>
      </c>
      <c r="AD5" s="31" t="inlineStr">
        <is>
          <t>Nam 3</t>
        </is>
      </c>
      <c r="AE5" s="31" t="inlineStr">
        <is>
          <t>Nam 3</t>
        </is>
      </c>
      <c r="AF5" s="31" t="inlineStr">
        <is>
          <t>Nam 3</t>
        </is>
      </c>
      <c r="AG5" s="31" t="inlineStr">
        <is>
          <t>Nam 3</t>
        </is>
      </c>
      <c r="AH5" s="31" t="inlineStr">
        <is>
          <t>Nam 3</t>
        </is>
      </c>
      <c r="AI5" s="31" t="inlineStr">
        <is>
          <t>Nam 3</t>
        </is>
      </c>
      <c r="AJ5" s="31" t="inlineStr">
        <is>
          <t>Nam 3</t>
        </is>
      </c>
      <c r="AK5" s="31" t="inlineStr">
        <is>
          <t>Nam 3</t>
        </is>
      </c>
      <c r="AL5" s="31" t="inlineStr">
        <is>
          <t>Nam 3</t>
        </is>
      </c>
      <c r="AM5" s="31" t="inlineStr">
        <is>
          <t>Nam 3</t>
        </is>
      </c>
    </row>
    <row r="6">
      <c r="B6" s="4" t="inlineStr">
        <is>
          <t>DÒNG TIỀN VÀO</t>
        </is>
      </c>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row>
    <row r="7">
      <c r="B7" s="2" t="inlineStr">
        <is>
          <t>Thu tiền hoa hồng, booking &amp; thưởng</t>
        </is>
      </c>
      <c r="C7" t="inlineStr">
        <is>
          <t>triệu VND</t>
        </is>
      </c>
      <c r="D7" s="34">
        <f>PnL!D11*Gia_dinh!$F$109</f>
        <v/>
      </c>
      <c r="E7" s="34">
        <f>PnL!E11*Gia_dinh!$F$109+PnL!D11*Gia_dinh!$F$110</f>
        <v/>
      </c>
      <c r="F7" s="34">
        <f>PnL!F11*Gia_dinh!$F$109+PnL!E11*Gia_dinh!$F$110+PnL!D11*Gia_dinh!$F$111</f>
        <v/>
      </c>
      <c r="G7" s="34">
        <f>PnL!G11*Gia_dinh!$F$109+PnL!F11*Gia_dinh!$F$110+PnL!E11*Gia_dinh!$F$111</f>
        <v/>
      </c>
      <c r="H7" s="34">
        <f>PnL!H11*Gia_dinh!$F$109+PnL!G11*Gia_dinh!$F$110+PnL!F11*Gia_dinh!$F$111</f>
        <v/>
      </c>
      <c r="I7" s="34">
        <f>PnL!I11*Gia_dinh!$F$109+PnL!H11*Gia_dinh!$F$110+PnL!G11*Gia_dinh!$F$111</f>
        <v/>
      </c>
      <c r="J7" s="34">
        <f>PnL!J11*Gia_dinh!$F$109+PnL!I11*Gia_dinh!$F$110+PnL!H11*Gia_dinh!$F$111</f>
        <v/>
      </c>
      <c r="K7" s="34">
        <f>PnL!K11*Gia_dinh!$F$109+PnL!J11*Gia_dinh!$F$110+PnL!I11*Gia_dinh!$F$111</f>
        <v/>
      </c>
      <c r="L7" s="34">
        <f>PnL!L11*Gia_dinh!$F$109+PnL!K11*Gia_dinh!$F$110+PnL!J11*Gia_dinh!$F$111</f>
        <v/>
      </c>
      <c r="M7" s="34">
        <f>PnL!M11*Gia_dinh!$F$109+PnL!L11*Gia_dinh!$F$110+PnL!K11*Gia_dinh!$F$111</f>
        <v/>
      </c>
      <c r="N7" s="34">
        <f>PnL!N11*Gia_dinh!$F$109+PnL!M11*Gia_dinh!$F$110+PnL!L11*Gia_dinh!$F$111</f>
        <v/>
      </c>
      <c r="O7" s="34">
        <f>PnL!O11*Gia_dinh!$F$109+PnL!N11*Gia_dinh!$F$110+PnL!M11*Gia_dinh!$F$111</f>
        <v/>
      </c>
      <c r="P7" s="34">
        <f>PnL!P11*Gia_dinh!$F$109+PnL!O11*Gia_dinh!$F$110+PnL!N11*Gia_dinh!$F$111</f>
        <v/>
      </c>
      <c r="Q7" s="34">
        <f>PnL!Q11*Gia_dinh!$F$109+PnL!P11*Gia_dinh!$F$110+PnL!O11*Gia_dinh!$F$111</f>
        <v/>
      </c>
      <c r="R7" s="34">
        <f>PnL!R11*Gia_dinh!$F$109+PnL!Q11*Gia_dinh!$F$110+PnL!P11*Gia_dinh!$F$111</f>
        <v/>
      </c>
      <c r="S7" s="34">
        <f>PnL!S11*Gia_dinh!$F$109+PnL!R11*Gia_dinh!$F$110+PnL!Q11*Gia_dinh!$F$111</f>
        <v/>
      </c>
      <c r="T7" s="34">
        <f>PnL!T11*Gia_dinh!$F$109+PnL!S11*Gia_dinh!$F$110+PnL!R11*Gia_dinh!$F$111</f>
        <v/>
      </c>
      <c r="U7" s="34">
        <f>PnL!U11*Gia_dinh!$F$109+PnL!T11*Gia_dinh!$F$110+PnL!S11*Gia_dinh!$F$111</f>
        <v/>
      </c>
      <c r="V7" s="34">
        <f>PnL!V11*Gia_dinh!$F$109+PnL!U11*Gia_dinh!$F$110+PnL!T11*Gia_dinh!$F$111</f>
        <v/>
      </c>
      <c r="W7" s="34">
        <f>PnL!W11*Gia_dinh!$F$109+PnL!V11*Gia_dinh!$F$110+PnL!U11*Gia_dinh!$F$111</f>
        <v/>
      </c>
      <c r="X7" s="34">
        <f>PnL!X11*Gia_dinh!$F$109+PnL!W11*Gia_dinh!$F$110+PnL!V11*Gia_dinh!$F$111</f>
        <v/>
      </c>
      <c r="Y7" s="34">
        <f>PnL!Y11*Gia_dinh!$F$109+PnL!X11*Gia_dinh!$F$110+PnL!W11*Gia_dinh!$F$111</f>
        <v/>
      </c>
      <c r="Z7" s="34">
        <f>PnL!Z11*Gia_dinh!$F$109+PnL!Y11*Gia_dinh!$F$110+PnL!X11*Gia_dinh!$F$111</f>
        <v/>
      </c>
      <c r="AA7" s="34">
        <f>PnL!AA11*Gia_dinh!$F$109+PnL!Z11*Gia_dinh!$F$110+PnL!Y11*Gia_dinh!$F$111</f>
        <v/>
      </c>
      <c r="AB7" s="34">
        <f>PnL!AB11*Gia_dinh!$F$109+PnL!AA11*Gia_dinh!$F$110+PnL!Z11*Gia_dinh!$F$111</f>
        <v/>
      </c>
      <c r="AC7" s="34">
        <f>PnL!AC11*Gia_dinh!$F$109+PnL!AB11*Gia_dinh!$F$110+PnL!AA11*Gia_dinh!$F$111</f>
        <v/>
      </c>
      <c r="AD7" s="34">
        <f>PnL!AD11*Gia_dinh!$F$109+PnL!AC11*Gia_dinh!$F$110+PnL!AB11*Gia_dinh!$F$111</f>
        <v/>
      </c>
      <c r="AE7" s="34">
        <f>PnL!AE11*Gia_dinh!$F$109+PnL!AD11*Gia_dinh!$F$110+PnL!AC11*Gia_dinh!$F$111</f>
        <v/>
      </c>
      <c r="AF7" s="34">
        <f>PnL!AF11*Gia_dinh!$F$109+PnL!AE11*Gia_dinh!$F$110+PnL!AD11*Gia_dinh!$F$111</f>
        <v/>
      </c>
      <c r="AG7" s="34">
        <f>PnL!AG11*Gia_dinh!$F$109+PnL!AF11*Gia_dinh!$F$110+PnL!AE11*Gia_dinh!$F$111</f>
        <v/>
      </c>
      <c r="AH7" s="34">
        <f>PnL!AH11*Gia_dinh!$F$109+PnL!AG11*Gia_dinh!$F$110+PnL!AF11*Gia_dinh!$F$111</f>
        <v/>
      </c>
      <c r="AI7" s="34">
        <f>PnL!AI11*Gia_dinh!$F$109+PnL!AH11*Gia_dinh!$F$110+PnL!AG11*Gia_dinh!$F$111</f>
        <v/>
      </c>
      <c r="AJ7" s="34">
        <f>PnL!AJ11*Gia_dinh!$F$109+PnL!AI11*Gia_dinh!$F$110+PnL!AH11*Gia_dinh!$F$111</f>
        <v/>
      </c>
      <c r="AK7" s="34">
        <f>PnL!AK11*Gia_dinh!$F$109+PnL!AJ11*Gia_dinh!$F$110+PnL!AI11*Gia_dinh!$F$111</f>
        <v/>
      </c>
      <c r="AL7" s="34">
        <f>PnL!AL11*Gia_dinh!$F$109+PnL!AK11*Gia_dinh!$F$110+PnL!AJ11*Gia_dinh!$F$111</f>
        <v/>
      </c>
      <c r="AM7" s="34">
        <f>PnL!AM11*Gia_dinh!$F$109+PnL!AL11*Gia_dinh!$F$110+PnL!AK11*Gia_dinh!$F$111</f>
        <v/>
      </c>
    </row>
    <row r="9">
      <c r="B9" s="4" t="inlineStr">
        <is>
          <t>DÒNG TIỀN RA</t>
        </is>
      </c>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row>
    <row r="10">
      <c r="B10" t="inlineStr">
        <is>
          <t>Trả chia sẻ hoa hồng cho talent</t>
        </is>
      </c>
      <c r="C10" t="inlineStr">
        <is>
          <t>triệu VND</t>
        </is>
      </c>
      <c r="D10" s="11">
        <f>PnL!D14*Gia_dinh!$F$112</f>
        <v/>
      </c>
      <c r="E10" s="11">
        <f>PnL!E14*Gia_dinh!$F$112+PnL!D14*Gia_dinh!$F$113</f>
        <v/>
      </c>
      <c r="F10" s="11">
        <f>PnL!F14*Gia_dinh!$F$112+PnL!E14*Gia_dinh!$F$113+PnL!D14*Gia_dinh!$F$114</f>
        <v/>
      </c>
      <c r="G10" s="11">
        <f>PnL!G14*Gia_dinh!$F$112+PnL!F14*Gia_dinh!$F$113+PnL!E14*Gia_dinh!$F$114</f>
        <v/>
      </c>
      <c r="H10" s="11">
        <f>PnL!H14*Gia_dinh!$F$112+PnL!G14*Gia_dinh!$F$113+PnL!F14*Gia_dinh!$F$114</f>
        <v/>
      </c>
      <c r="I10" s="11">
        <f>PnL!I14*Gia_dinh!$F$112+PnL!H14*Gia_dinh!$F$113+PnL!G14*Gia_dinh!$F$114</f>
        <v/>
      </c>
      <c r="J10" s="11">
        <f>PnL!J14*Gia_dinh!$F$112+PnL!I14*Gia_dinh!$F$113+PnL!H14*Gia_dinh!$F$114</f>
        <v/>
      </c>
      <c r="K10" s="11">
        <f>PnL!K14*Gia_dinh!$F$112+PnL!J14*Gia_dinh!$F$113+PnL!I14*Gia_dinh!$F$114</f>
        <v/>
      </c>
      <c r="L10" s="11">
        <f>PnL!L14*Gia_dinh!$F$112+PnL!K14*Gia_dinh!$F$113+PnL!J14*Gia_dinh!$F$114</f>
        <v/>
      </c>
      <c r="M10" s="11">
        <f>PnL!M14*Gia_dinh!$F$112+PnL!L14*Gia_dinh!$F$113+PnL!K14*Gia_dinh!$F$114</f>
        <v/>
      </c>
      <c r="N10" s="11">
        <f>PnL!N14*Gia_dinh!$F$112+PnL!M14*Gia_dinh!$F$113+PnL!L14*Gia_dinh!$F$114</f>
        <v/>
      </c>
      <c r="O10" s="11">
        <f>PnL!O14*Gia_dinh!$F$112+PnL!N14*Gia_dinh!$F$113+PnL!M14*Gia_dinh!$F$114</f>
        <v/>
      </c>
      <c r="P10" s="11">
        <f>PnL!P14*Gia_dinh!$F$112+PnL!O14*Gia_dinh!$F$113+PnL!N14*Gia_dinh!$F$114</f>
        <v/>
      </c>
      <c r="Q10" s="11">
        <f>PnL!Q14*Gia_dinh!$F$112+PnL!P14*Gia_dinh!$F$113+PnL!O14*Gia_dinh!$F$114</f>
        <v/>
      </c>
      <c r="R10" s="11">
        <f>PnL!R14*Gia_dinh!$F$112+PnL!Q14*Gia_dinh!$F$113+PnL!P14*Gia_dinh!$F$114</f>
        <v/>
      </c>
      <c r="S10" s="11">
        <f>PnL!S14*Gia_dinh!$F$112+PnL!R14*Gia_dinh!$F$113+PnL!Q14*Gia_dinh!$F$114</f>
        <v/>
      </c>
      <c r="T10" s="11">
        <f>PnL!T14*Gia_dinh!$F$112+PnL!S14*Gia_dinh!$F$113+PnL!R14*Gia_dinh!$F$114</f>
        <v/>
      </c>
      <c r="U10" s="11">
        <f>PnL!U14*Gia_dinh!$F$112+PnL!T14*Gia_dinh!$F$113+PnL!S14*Gia_dinh!$F$114</f>
        <v/>
      </c>
      <c r="V10" s="11">
        <f>PnL!V14*Gia_dinh!$F$112+PnL!U14*Gia_dinh!$F$113+PnL!T14*Gia_dinh!$F$114</f>
        <v/>
      </c>
      <c r="W10" s="11">
        <f>PnL!W14*Gia_dinh!$F$112+PnL!V14*Gia_dinh!$F$113+PnL!U14*Gia_dinh!$F$114</f>
        <v/>
      </c>
      <c r="X10" s="11">
        <f>PnL!X14*Gia_dinh!$F$112+PnL!W14*Gia_dinh!$F$113+PnL!V14*Gia_dinh!$F$114</f>
        <v/>
      </c>
      <c r="Y10" s="11">
        <f>PnL!Y14*Gia_dinh!$F$112+PnL!X14*Gia_dinh!$F$113+PnL!W14*Gia_dinh!$F$114</f>
        <v/>
      </c>
      <c r="Z10" s="11">
        <f>PnL!Z14*Gia_dinh!$F$112+PnL!Y14*Gia_dinh!$F$113+PnL!X14*Gia_dinh!$F$114</f>
        <v/>
      </c>
      <c r="AA10" s="11">
        <f>PnL!AA14*Gia_dinh!$F$112+PnL!Z14*Gia_dinh!$F$113+PnL!Y14*Gia_dinh!$F$114</f>
        <v/>
      </c>
      <c r="AB10" s="11">
        <f>PnL!AB14*Gia_dinh!$F$112+PnL!AA14*Gia_dinh!$F$113+PnL!Z14*Gia_dinh!$F$114</f>
        <v/>
      </c>
      <c r="AC10" s="11">
        <f>PnL!AC14*Gia_dinh!$F$112+PnL!AB14*Gia_dinh!$F$113+PnL!AA14*Gia_dinh!$F$114</f>
        <v/>
      </c>
      <c r="AD10" s="11">
        <f>PnL!AD14*Gia_dinh!$F$112+PnL!AC14*Gia_dinh!$F$113+PnL!AB14*Gia_dinh!$F$114</f>
        <v/>
      </c>
      <c r="AE10" s="11">
        <f>PnL!AE14*Gia_dinh!$F$112+PnL!AD14*Gia_dinh!$F$113+PnL!AC14*Gia_dinh!$F$114</f>
        <v/>
      </c>
      <c r="AF10" s="11">
        <f>PnL!AF14*Gia_dinh!$F$112+PnL!AE14*Gia_dinh!$F$113+PnL!AD14*Gia_dinh!$F$114</f>
        <v/>
      </c>
      <c r="AG10" s="11">
        <f>PnL!AG14*Gia_dinh!$F$112+PnL!AF14*Gia_dinh!$F$113+PnL!AE14*Gia_dinh!$F$114</f>
        <v/>
      </c>
      <c r="AH10" s="11">
        <f>PnL!AH14*Gia_dinh!$F$112+PnL!AG14*Gia_dinh!$F$113+PnL!AF14*Gia_dinh!$F$114</f>
        <v/>
      </c>
      <c r="AI10" s="11">
        <f>PnL!AI14*Gia_dinh!$F$112+PnL!AH14*Gia_dinh!$F$113+PnL!AG14*Gia_dinh!$F$114</f>
        <v/>
      </c>
      <c r="AJ10" s="11">
        <f>PnL!AJ14*Gia_dinh!$F$112+PnL!AI14*Gia_dinh!$F$113+PnL!AH14*Gia_dinh!$F$114</f>
        <v/>
      </c>
      <c r="AK10" s="11">
        <f>PnL!AK14*Gia_dinh!$F$112+PnL!AJ14*Gia_dinh!$F$113+PnL!AI14*Gia_dinh!$F$114</f>
        <v/>
      </c>
      <c r="AL10" s="11">
        <f>PnL!AL14*Gia_dinh!$F$112+PnL!AK14*Gia_dinh!$F$113+PnL!AJ14*Gia_dinh!$F$114</f>
        <v/>
      </c>
      <c r="AM10" s="11">
        <f>PnL!AM14*Gia_dinh!$F$112+PnL!AL14*Gia_dinh!$F$113+PnL!AK14*Gia_dinh!$F$114</f>
        <v/>
      </c>
    </row>
    <row r="11">
      <c r="B11" t="inlineStr">
        <is>
          <t>Chi phí trực tiếp khác (lương talent, ê-kíp, studio, ads, dựng IP)</t>
        </is>
      </c>
      <c r="C11" t="inlineStr">
        <is>
          <t>triệu VND</t>
        </is>
      </c>
      <c r="D11" s="11">
        <f>PnL!D22-PnL!D14</f>
        <v/>
      </c>
      <c r="E11" s="11">
        <f>PnL!E22-PnL!E14</f>
        <v/>
      </c>
      <c r="F11" s="11">
        <f>PnL!F22-PnL!F14</f>
        <v/>
      </c>
      <c r="G11" s="11">
        <f>PnL!G22-PnL!G14</f>
        <v/>
      </c>
      <c r="H11" s="11">
        <f>PnL!H22-PnL!H14</f>
        <v/>
      </c>
      <c r="I11" s="11">
        <f>PnL!I22-PnL!I14</f>
        <v/>
      </c>
      <c r="J11" s="11">
        <f>PnL!J22-PnL!J14</f>
        <v/>
      </c>
      <c r="K11" s="11">
        <f>PnL!K22-PnL!K14</f>
        <v/>
      </c>
      <c r="L11" s="11">
        <f>PnL!L22-PnL!L14</f>
        <v/>
      </c>
      <c r="M11" s="11">
        <f>PnL!M22-PnL!M14</f>
        <v/>
      </c>
      <c r="N11" s="11">
        <f>PnL!N22-PnL!N14</f>
        <v/>
      </c>
      <c r="O11" s="11">
        <f>PnL!O22-PnL!O14</f>
        <v/>
      </c>
      <c r="P11" s="11">
        <f>PnL!P22-PnL!P14</f>
        <v/>
      </c>
      <c r="Q11" s="11">
        <f>PnL!Q22-PnL!Q14</f>
        <v/>
      </c>
      <c r="R11" s="11">
        <f>PnL!R22-PnL!R14</f>
        <v/>
      </c>
      <c r="S11" s="11">
        <f>PnL!S22-PnL!S14</f>
        <v/>
      </c>
      <c r="T11" s="11">
        <f>PnL!T22-PnL!T14</f>
        <v/>
      </c>
      <c r="U11" s="11">
        <f>PnL!U22-PnL!U14</f>
        <v/>
      </c>
      <c r="V11" s="11">
        <f>PnL!V22-PnL!V14</f>
        <v/>
      </c>
      <c r="W11" s="11">
        <f>PnL!W22-PnL!W14</f>
        <v/>
      </c>
      <c r="X11" s="11">
        <f>PnL!X22-PnL!X14</f>
        <v/>
      </c>
      <c r="Y11" s="11">
        <f>PnL!Y22-PnL!Y14</f>
        <v/>
      </c>
      <c r="Z11" s="11">
        <f>PnL!Z22-PnL!Z14</f>
        <v/>
      </c>
      <c r="AA11" s="11">
        <f>PnL!AA22-PnL!AA14</f>
        <v/>
      </c>
      <c r="AB11" s="11">
        <f>PnL!AB22-PnL!AB14</f>
        <v/>
      </c>
      <c r="AC11" s="11">
        <f>PnL!AC22-PnL!AC14</f>
        <v/>
      </c>
      <c r="AD11" s="11">
        <f>PnL!AD22-PnL!AD14</f>
        <v/>
      </c>
      <c r="AE11" s="11">
        <f>PnL!AE22-PnL!AE14</f>
        <v/>
      </c>
      <c r="AF11" s="11">
        <f>PnL!AF22-PnL!AF14</f>
        <v/>
      </c>
      <c r="AG11" s="11">
        <f>PnL!AG22-PnL!AG14</f>
        <v/>
      </c>
      <c r="AH11" s="11">
        <f>PnL!AH22-PnL!AH14</f>
        <v/>
      </c>
      <c r="AI11" s="11">
        <f>PnL!AI22-PnL!AI14</f>
        <v/>
      </c>
      <c r="AJ11" s="11">
        <f>PnL!AJ22-PnL!AJ14</f>
        <v/>
      </c>
      <c r="AK11" s="11">
        <f>PnL!AK22-PnL!AK14</f>
        <v/>
      </c>
      <c r="AL11" s="11">
        <f>PnL!AL22-PnL!AL14</f>
        <v/>
      </c>
      <c r="AM11" s="11">
        <f>PnL!AM22-PnL!AM14</f>
        <v/>
      </c>
    </row>
    <row r="12">
      <c r="B12" t="inlineStr">
        <is>
          <t>Chi phí tầng công ty</t>
        </is>
      </c>
      <c r="C12" t="inlineStr">
        <is>
          <t>triệu VND</t>
        </is>
      </c>
      <c r="D12" s="11">
        <f>PnL!D31</f>
        <v/>
      </c>
      <c r="E12" s="11">
        <f>PnL!E31</f>
        <v/>
      </c>
      <c r="F12" s="11">
        <f>PnL!F31</f>
        <v/>
      </c>
      <c r="G12" s="11">
        <f>PnL!G31</f>
        <v/>
      </c>
      <c r="H12" s="11">
        <f>PnL!H31</f>
        <v/>
      </c>
      <c r="I12" s="11">
        <f>PnL!I31</f>
        <v/>
      </c>
      <c r="J12" s="11">
        <f>PnL!J31</f>
        <v/>
      </c>
      <c r="K12" s="11">
        <f>PnL!K31</f>
        <v/>
      </c>
      <c r="L12" s="11">
        <f>PnL!L31</f>
        <v/>
      </c>
      <c r="M12" s="11">
        <f>PnL!M31</f>
        <v/>
      </c>
      <c r="N12" s="11">
        <f>PnL!N31</f>
        <v/>
      </c>
      <c r="O12" s="11">
        <f>PnL!O31</f>
        <v/>
      </c>
      <c r="P12" s="11">
        <f>PnL!P31</f>
        <v/>
      </c>
      <c r="Q12" s="11">
        <f>PnL!Q31</f>
        <v/>
      </c>
      <c r="R12" s="11">
        <f>PnL!R31</f>
        <v/>
      </c>
      <c r="S12" s="11">
        <f>PnL!S31</f>
        <v/>
      </c>
      <c r="T12" s="11">
        <f>PnL!T31</f>
        <v/>
      </c>
      <c r="U12" s="11">
        <f>PnL!U31</f>
        <v/>
      </c>
      <c r="V12" s="11">
        <f>PnL!V31</f>
        <v/>
      </c>
      <c r="W12" s="11">
        <f>PnL!W31</f>
        <v/>
      </c>
      <c r="X12" s="11">
        <f>PnL!X31</f>
        <v/>
      </c>
      <c r="Y12" s="11">
        <f>PnL!Y31</f>
        <v/>
      </c>
      <c r="Z12" s="11">
        <f>PnL!Z31</f>
        <v/>
      </c>
      <c r="AA12" s="11">
        <f>PnL!AA31</f>
        <v/>
      </c>
      <c r="AB12" s="11">
        <f>PnL!AB31</f>
        <v/>
      </c>
      <c r="AC12" s="11">
        <f>PnL!AC31</f>
        <v/>
      </c>
      <c r="AD12" s="11">
        <f>PnL!AD31</f>
        <v/>
      </c>
      <c r="AE12" s="11">
        <f>PnL!AE31</f>
        <v/>
      </c>
      <c r="AF12" s="11">
        <f>PnL!AF31</f>
        <v/>
      </c>
      <c r="AG12" s="11">
        <f>PnL!AG31</f>
        <v/>
      </c>
      <c r="AH12" s="11">
        <f>PnL!AH31</f>
        <v/>
      </c>
      <c r="AI12" s="11">
        <f>PnL!AI31</f>
        <v/>
      </c>
      <c r="AJ12" s="11">
        <f>PnL!AJ31</f>
        <v/>
      </c>
      <c r="AK12" s="11">
        <f>PnL!AK31</f>
        <v/>
      </c>
      <c r="AL12" s="11">
        <f>PnL!AL31</f>
        <v/>
      </c>
      <c r="AM12" s="11">
        <f>PnL!AM31</f>
        <v/>
      </c>
    </row>
    <row r="13">
      <c r="B13" t="inlineStr">
        <is>
          <t>Nộp thuế TNDN</t>
        </is>
      </c>
      <c r="C13" t="inlineStr">
        <is>
          <t>triệu VND</t>
        </is>
      </c>
      <c r="D13" s="11">
        <f>PnL!D39</f>
        <v/>
      </c>
      <c r="E13" s="11">
        <f>PnL!E39</f>
        <v/>
      </c>
      <c r="F13" s="11">
        <f>PnL!F39</f>
        <v/>
      </c>
      <c r="G13" s="11">
        <f>PnL!G39</f>
        <v/>
      </c>
      <c r="H13" s="11">
        <f>PnL!H39</f>
        <v/>
      </c>
      <c r="I13" s="11">
        <f>PnL!I39</f>
        <v/>
      </c>
      <c r="J13" s="11">
        <f>PnL!J39</f>
        <v/>
      </c>
      <c r="K13" s="11">
        <f>PnL!K39</f>
        <v/>
      </c>
      <c r="L13" s="11">
        <f>PnL!L39</f>
        <v/>
      </c>
      <c r="M13" s="11">
        <f>PnL!M39</f>
        <v/>
      </c>
      <c r="N13" s="11">
        <f>PnL!N39</f>
        <v/>
      </c>
      <c r="O13" s="11">
        <f>PnL!O39</f>
        <v/>
      </c>
      <c r="P13" s="11">
        <f>PnL!P39</f>
        <v/>
      </c>
      <c r="Q13" s="11">
        <f>PnL!Q39</f>
        <v/>
      </c>
      <c r="R13" s="11">
        <f>PnL!R39</f>
        <v/>
      </c>
      <c r="S13" s="11">
        <f>PnL!S39</f>
        <v/>
      </c>
      <c r="T13" s="11">
        <f>PnL!T39</f>
        <v/>
      </c>
      <c r="U13" s="11">
        <f>PnL!U39</f>
        <v/>
      </c>
      <c r="V13" s="11">
        <f>PnL!V39</f>
        <v/>
      </c>
      <c r="W13" s="11">
        <f>PnL!W39</f>
        <v/>
      </c>
      <c r="X13" s="11">
        <f>PnL!X39</f>
        <v/>
      </c>
      <c r="Y13" s="11">
        <f>PnL!Y39</f>
        <v/>
      </c>
      <c r="Z13" s="11">
        <f>PnL!Z39</f>
        <v/>
      </c>
      <c r="AA13" s="11">
        <f>PnL!AA39</f>
        <v/>
      </c>
      <c r="AB13" s="11">
        <f>PnL!AB39</f>
        <v/>
      </c>
      <c r="AC13" s="11">
        <f>PnL!AC39</f>
        <v/>
      </c>
      <c r="AD13" s="11">
        <f>PnL!AD39</f>
        <v/>
      </c>
      <c r="AE13" s="11">
        <f>PnL!AE39</f>
        <v/>
      </c>
      <c r="AF13" s="11">
        <f>PnL!AF39</f>
        <v/>
      </c>
      <c r="AG13" s="11">
        <f>PnL!AG39</f>
        <v/>
      </c>
      <c r="AH13" s="11">
        <f>PnL!AH39</f>
        <v/>
      </c>
      <c r="AI13" s="11">
        <f>PnL!AI39</f>
        <v/>
      </c>
      <c r="AJ13" s="11">
        <f>PnL!AJ39</f>
        <v/>
      </c>
      <c r="AK13" s="11">
        <f>PnL!AK39</f>
        <v/>
      </c>
      <c r="AL13" s="11">
        <f>PnL!AL39</f>
        <v/>
      </c>
      <c r="AM13" s="11">
        <f>PnL!AM39</f>
        <v/>
      </c>
    </row>
    <row r="14">
      <c r="B14" t="inlineStr">
        <is>
          <t>Đầu tư tài sản (capex)</t>
        </is>
      </c>
      <c r="C14" t="inlineStr">
        <is>
          <t>triệu VND</t>
        </is>
      </c>
      <c r="D14" s="11">
        <f>Chi_phi!D42</f>
        <v/>
      </c>
      <c r="E14" s="11">
        <f>Chi_phi!E42</f>
        <v/>
      </c>
      <c r="F14" s="11">
        <f>Chi_phi!F42</f>
        <v/>
      </c>
      <c r="G14" s="11">
        <f>Chi_phi!G42</f>
        <v/>
      </c>
      <c r="H14" s="11">
        <f>Chi_phi!H42</f>
        <v/>
      </c>
      <c r="I14" s="11">
        <f>Chi_phi!I42</f>
        <v/>
      </c>
      <c r="J14" s="11">
        <f>Chi_phi!J42</f>
        <v/>
      </c>
      <c r="K14" s="11">
        <f>Chi_phi!K42</f>
        <v/>
      </c>
      <c r="L14" s="11">
        <f>Chi_phi!L42</f>
        <v/>
      </c>
      <c r="M14" s="11">
        <f>Chi_phi!M42</f>
        <v/>
      </c>
      <c r="N14" s="11">
        <f>Chi_phi!N42</f>
        <v/>
      </c>
      <c r="O14" s="11">
        <f>Chi_phi!O42</f>
        <v/>
      </c>
      <c r="P14" s="11">
        <f>Chi_phi!P42</f>
        <v/>
      </c>
      <c r="Q14" s="11">
        <f>Chi_phi!Q42</f>
        <v/>
      </c>
      <c r="R14" s="11">
        <f>Chi_phi!R42</f>
        <v/>
      </c>
      <c r="S14" s="11">
        <f>Chi_phi!S42</f>
        <v/>
      </c>
      <c r="T14" s="11">
        <f>Chi_phi!T42</f>
        <v/>
      </c>
      <c r="U14" s="11">
        <f>Chi_phi!U42</f>
        <v/>
      </c>
      <c r="V14" s="11">
        <f>Chi_phi!V42</f>
        <v/>
      </c>
      <c r="W14" s="11">
        <f>Chi_phi!W42</f>
        <v/>
      </c>
      <c r="X14" s="11">
        <f>Chi_phi!X42</f>
        <v/>
      </c>
      <c r="Y14" s="11">
        <f>Chi_phi!Y42</f>
        <v/>
      </c>
      <c r="Z14" s="11">
        <f>Chi_phi!Z42</f>
        <v/>
      </c>
      <c r="AA14" s="11">
        <f>Chi_phi!AA42</f>
        <v/>
      </c>
      <c r="AB14" s="11">
        <f>Chi_phi!AB42</f>
        <v/>
      </c>
      <c r="AC14" s="11">
        <f>Chi_phi!AC42</f>
        <v/>
      </c>
      <c r="AD14" s="11">
        <f>Chi_phi!AD42</f>
        <v/>
      </c>
      <c r="AE14" s="11">
        <f>Chi_phi!AE42</f>
        <v/>
      </c>
      <c r="AF14" s="11">
        <f>Chi_phi!AF42</f>
        <v/>
      </c>
      <c r="AG14" s="11">
        <f>Chi_phi!AG42</f>
        <v/>
      </c>
      <c r="AH14" s="11">
        <f>Chi_phi!AH42</f>
        <v/>
      </c>
      <c r="AI14" s="11">
        <f>Chi_phi!AI42</f>
        <v/>
      </c>
      <c r="AJ14" s="11">
        <f>Chi_phi!AJ42</f>
        <v/>
      </c>
      <c r="AK14" s="11">
        <f>Chi_phi!AK42</f>
        <v/>
      </c>
      <c r="AL14" s="11">
        <f>Chi_phi!AL42</f>
        <v/>
      </c>
      <c r="AM14" s="11">
        <f>Chi_phi!AM42</f>
        <v/>
      </c>
    </row>
    <row r="15">
      <c r="B15" s="2" t="inlineStr">
        <is>
          <t>TỔNG CHI</t>
        </is>
      </c>
      <c r="C15" t="inlineStr">
        <is>
          <t>triệu VND</t>
        </is>
      </c>
      <c r="D15" s="34">
        <f>SUM(D10:D14)</f>
        <v/>
      </c>
      <c r="E15" s="34">
        <f>SUM(E10:E14)</f>
        <v/>
      </c>
      <c r="F15" s="34">
        <f>SUM(F10:F14)</f>
        <v/>
      </c>
      <c r="G15" s="34">
        <f>SUM(G10:G14)</f>
        <v/>
      </c>
      <c r="H15" s="34">
        <f>SUM(H10:H14)</f>
        <v/>
      </c>
      <c r="I15" s="34">
        <f>SUM(I10:I14)</f>
        <v/>
      </c>
      <c r="J15" s="34">
        <f>SUM(J10:J14)</f>
        <v/>
      </c>
      <c r="K15" s="34">
        <f>SUM(K10:K14)</f>
        <v/>
      </c>
      <c r="L15" s="34">
        <f>SUM(L10:L14)</f>
        <v/>
      </c>
      <c r="M15" s="34">
        <f>SUM(M10:M14)</f>
        <v/>
      </c>
      <c r="N15" s="34">
        <f>SUM(N10:N14)</f>
        <v/>
      </c>
      <c r="O15" s="34">
        <f>SUM(O10:O14)</f>
        <v/>
      </c>
      <c r="P15" s="34">
        <f>SUM(P10:P14)</f>
        <v/>
      </c>
      <c r="Q15" s="34">
        <f>SUM(Q10:Q14)</f>
        <v/>
      </c>
      <c r="R15" s="34">
        <f>SUM(R10:R14)</f>
        <v/>
      </c>
      <c r="S15" s="34">
        <f>SUM(S10:S14)</f>
        <v/>
      </c>
      <c r="T15" s="34">
        <f>SUM(T10:T14)</f>
        <v/>
      </c>
      <c r="U15" s="34">
        <f>SUM(U10:U14)</f>
        <v/>
      </c>
      <c r="V15" s="34">
        <f>SUM(V10:V14)</f>
        <v/>
      </c>
      <c r="W15" s="34">
        <f>SUM(W10:W14)</f>
        <v/>
      </c>
      <c r="X15" s="34">
        <f>SUM(X10:X14)</f>
        <v/>
      </c>
      <c r="Y15" s="34">
        <f>SUM(Y10:Y14)</f>
        <v/>
      </c>
      <c r="Z15" s="34">
        <f>SUM(Z10:Z14)</f>
        <v/>
      </c>
      <c r="AA15" s="34">
        <f>SUM(AA10:AA14)</f>
        <v/>
      </c>
      <c r="AB15" s="34">
        <f>SUM(AB10:AB14)</f>
        <v/>
      </c>
      <c r="AC15" s="34">
        <f>SUM(AC10:AC14)</f>
        <v/>
      </c>
      <c r="AD15" s="34">
        <f>SUM(AD10:AD14)</f>
        <v/>
      </c>
      <c r="AE15" s="34">
        <f>SUM(AE10:AE14)</f>
        <v/>
      </c>
      <c r="AF15" s="34">
        <f>SUM(AF10:AF14)</f>
        <v/>
      </c>
      <c r="AG15" s="34">
        <f>SUM(AG10:AG14)</f>
        <v/>
      </c>
      <c r="AH15" s="34">
        <f>SUM(AH10:AH14)</f>
        <v/>
      </c>
      <c r="AI15" s="34">
        <f>SUM(AI10:AI14)</f>
        <v/>
      </c>
      <c r="AJ15" s="34">
        <f>SUM(AJ10:AJ14)</f>
        <v/>
      </c>
      <c r="AK15" s="34">
        <f>SUM(AK10:AK14)</f>
        <v/>
      </c>
      <c r="AL15" s="34">
        <f>SUM(AL10:AL14)</f>
        <v/>
      </c>
      <c r="AM15" s="34">
        <f>SUM(AM10:AM14)</f>
        <v/>
      </c>
    </row>
    <row r="17">
      <c r="B17" s="2" t="inlineStr">
        <is>
          <t>DÒNG TIỀN TỪ HOẠT ĐỘNG &amp; ĐẦU TƯ</t>
        </is>
      </c>
      <c r="C17" t="inlineStr">
        <is>
          <t>triệu VND</t>
        </is>
      </c>
      <c r="D17" s="34">
        <f>D7-D15</f>
        <v/>
      </c>
      <c r="E17" s="34">
        <f>E7-E15</f>
        <v/>
      </c>
      <c r="F17" s="34">
        <f>F7-F15</f>
        <v/>
      </c>
      <c r="G17" s="34">
        <f>G7-G15</f>
        <v/>
      </c>
      <c r="H17" s="34">
        <f>H7-H15</f>
        <v/>
      </c>
      <c r="I17" s="34">
        <f>I7-I15</f>
        <v/>
      </c>
      <c r="J17" s="34">
        <f>J7-J15</f>
        <v/>
      </c>
      <c r="K17" s="34">
        <f>K7-K15</f>
        <v/>
      </c>
      <c r="L17" s="34">
        <f>L7-L15</f>
        <v/>
      </c>
      <c r="M17" s="34">
        <f>M7-M15</f>
        <v/>
      </c>
      <c r="N17" s="34">
        <f>N7-N15</f>
        <v/>
      </c>
      <c r="O17" s="34">
        <f>O7-O15</f>
        <v/>
      </c>
      <c r="P17" s="34">
        <f>P7-P15</f>
        <v/>
      </c>
      <c r="Q17" s="34">
        <f>Q7-Q15</f>
        <v/>
      </c>
      <c r="R17" s="34">
        <f>R7-R15</f>
        <v/>
      </c>
      <c r="S17" s="34">
        <f>S7-S15</f>
        <v/>
      </c>
      <c r="T17" s="34">
        <f>T7-T15</f>
        <v/>
      </c>
      <c r="U17" s="34">
        <f>U7-U15</f>
        <v/>
      </c>
      <c r="V17" s="34">
        <f>V7-V15</f>
        <v/>
      </c>
      <c r="W17" s="34">
        <f>W7-W15</f>
        <v/>
      </c>
      <c r="X17" s="34">
        <f>X7-X15</f>
        <v/>
      </c>
      <c r="Y17" s="34">
        <f>Y7-Y15</f>
        <v/>
      </c>
      <c r="Z17" s="34">
        <f>Z7-Z15</f>
        <v/>
      </c>
      <c r="AA17" s="34">
        <f>AA7-AA15</f>
        <v/>
      </c>
      <c r="AB17" s="34">
        <f>AB7-AB15</f>
        <v/>
      </c>
      <c r="AC17" s="34">
        <f>AC7-AC15</f>
        <v/>
      </c>
      <c r="AD17" s="34">
        <f>AD7-AD15</f>
        <v/>
      </c>
      <c r="AE17" s="34">
        <f>AE7-AE15</f>
        <v/>
      </c>
      <c r="AF17" s="34">
        <f>AF7-AF15</f>
        <v/>
      </c>
      <c r="AG17" s="34">
        <f>AG7-AG15</f>
        <v/>
      </c>
      <c r="AH17" s="34">
        <f>AH7-AH15</f>
        <v/>
      </c>
      <c r="AI17" s="34">
        <f>AI7-AI15</f>
        <v/>
      </c>
      <c r="AJ17" s="34">
        <f>AJ7-AJ15</f>
        <v/>
      </c>
      <c r="AK17" s="34">
        <f>AK7-AK15</f>
        <v/>
      </c>
      <c r="AL17" s="34">
        <f>AL7-AL15</f>
        <v/>
      </c>
      <c r="AM17" s="34">
        <f>AM7-AM15</f>
        <v/>
      </c>
    </row>
    <row r="18">
      <c r="B18" t="inlineStr">
        <is>
          <t>Vốn góp từ nhà đầu tư</t>
        </is>
      </c>
      <c r="C18" t="inlineStr">
        <is>
          <t>triệu VND</t>
        </is>
      </c>
      <c r="D18" s="11">
        <f>IF(1=Gia_dinh!$F$97,Gia_dinh!$F$96,0)+IF(1=Gia_dinh!$F$99,Gia_dinh!$F$98,0)</f>
        <v/>
      </c>
      <c r="E18" s="11">
        <f>IF(2=Gia_dinh!$F$97,Gia_dinh!$F$96,0)+IF(2=Gia_dinh!$F$99,Gia_dinh!$F$98,0)</f>
        <v/>
      </c>
      <c r="F18" s="11">
        <f>IF(3=Gia_dinh!$F$97,Gia_dinh!$F$96,0)+IF(3=Gia_dinh!$F$99,Gia_dinh!$F$98,0)</f>
        <v/>
      </c>
      <c r="G18" s="11">
        <f>IF(4=Gia_dinh!$F$97,Gia_dinh!$F$96,0)+IF(4=Gia_dinh!$F$99,Gia_dinh!$F$98,0)</f>
        <v/>
      </c>
      <c r="H18" s="11">
        <f>IF(5=Gia_dinh!$F$97,Gia_dinh!$F$96,0)+IF(5=Gia_dinh!$F$99,Gia_dinh!$F$98,0)</f>
        <v/>
      </c>
      <c r="I18" s="11">
        <f>IF(6=Gia_dinh!$F$97,Gia_dinh!$F$96,0)+IF(6=Gia_dinh!$F$99,Gia_dinh!$F$98,0)</f>
        <v/>
      </c>
      <c r="J18" s="11">
        <f>IF(7=Gia_dinh!$F$97,Gia_dinh!$F$96,0)+IF(7=Gia_dinh!$F$99,Gia_dinh!$F$98,0)</f>
        <v/>
      </c>
      <c r="K18" s="11">
        <f>IF(8=Gia_dinh!$F$97,Gia_dinh!$F$96,0)+IF(8=Gia_dinh!$F$99,Gia_dinh!$F$98,0)</f>
        <v/>
      </c>
      <c r="L18" s="11">
        <f>IF(9=Gia_dinh!$F$97,Gia_dinh!$F$96,0)+IF(9=Gia_dinh!$F$99,Gia_dinh!$F$98,0)</f>
        <v/>
      </c>
      <c r="M18" s="11">
        <f>IF(10=Gia_dinh!$F$97,Gia_dinh!$F$96,0)+IF(10=Gia_dinh!$F$99,Gia_dinh!$F$98,0)</f>
        <v/>
      </c>
      <c r="N18" s="11">
        <f>IF(11=Gia_dinh!$F$97,Gia_dinh!$F$96,0)+IF(11=Gia_dinh!$F$99,Gia_dinh!$F$98,0)</f>
        <v/>
      </c>
      <c r="O18" s="11">
        <f>IF(12=Gia_dinh!$F$97,Gia_dinh!$F$96,0)+IF(12=Gia_dinh!$F$99,Gia_dinh!$F$98,0)</f>
        <v/>
      </c>
      <c r="P18" s="11">
        <f>IF(13=Gia_dinh!$F$97,Gia_dinh!$F$96,0)+IF(13=Gia_dinh!$F$99,Gia_dinh!$F$98,0)</f>
        <v/>
      </c>
      <c r="Q18" s="11">
        <f>IF(14=Gia_dinh!$F$97,Gia_dinh!$F$96,0)+IF(14=Gia_dinh!$F$99,Gia_dinh!$F$98,0)</f>
        <v/>
      </c>
      <c r="R18" s="11">
        <f>IF(15=Gia_dinh!$F$97,Gia_dinh!$F$96,0)+IF(15=Gia_dinh!$F$99,Gia_dinh!$F$98,0)</f>
        <v/>
      </c>
      <c r="S18" s="11">
        <f>IF(16=Gia_dinh!$F$97,Gia_dinh!$F$96,0)+IF(16=Gia_dinh!$F$99,Gia_dinh!$F$98,0)</f>
        <v/>
      </c>
      <c r="T18" s="11">
        <f>IF(17=Gia_dinh!$F$97,Gia_dinh!$F$96,0)+IF(17=Gia_dinh!$F$99,Gia_dinh!$F$98,0)</f>
        <v/>
      </c>
      <c r="U18" s="11">
        <f>IF(18=Gia_dinh!$F$97,Gia_dinh!$F$96,0)+IF(18=Gia_dinh!$F$99,Gia_dinh!$F$98,0)</f>
        <v/>
      </c>
      <c r="V18" s="11">
        <f>IF(19=Gia_dinh!$F$97,Gia_dinh!$F$96,0)+IF(19=Gia_dinh!$F$99,Gia_dinh!$F$98,0)</f>
        <v/>
      </c>
      <c r="W18" s="11">
        <f>IF(20=Gia_dinh!$F$97,Gia_dinh!$F$96,0)+IF(20=Gia_dinh!$F$99,Gia_dinh!$F$98,0)</f>
        <v/>
      </c>
      <c r="X18" s="11">
        <f>IF(21=Gia_dinh!$F$97,Gia_dinh!$F$96,0)+IF(21=Gia_dinh!$F$99,Gia_dinh!$F$98,0)</f>
        <v/>
      </c>
      <c r="Y18" s="11">
        <f>IF(22=Gia_dinh!$F$97,Gia_dinh!$F$96,0)+IF(22=Gia_dinh!$F$99,Gia_dinh!$F$98,0)</f>
        <v/>
      </c>
      <c r="Z18" s="11">
        <f>IF(23=Gia_dinh!$F$97,Gia_dinh!$F$96,0)+IF(23=Gia_dinh!$F$99,Gia_dinh!$F$98,0)</f>
        <v/>
      </c>
      <c r="AA18" s="11">
        <f>IF(24=Gia_dinh!$F$97,Gia_dinh!$F$96,0)+IF(24=Gia_dinh!$F$99,Gia_dinh!$F$98,0)</f>
        <v/>
      </c>
      <c r="AB18" s="11">
        <f>IF(25=Gia_dinh!$F$97,Gia_dinh!$F$96,0)+IF(25=Gia_dinh!$F$99,Gia_dinh!$F$98,0)</f>
        <v/>
      </c>
      <c r="AC18" s="11">
        <f>IF(26=Gia_dinh!$F$97,Gia_dinh!$F$96,0)+IF(26=Gia_dinh!$F$99,Gia_dinh!$F$98,0)</f>
        <v/>
      </c>
      <c r="AD18" s="11">
        <f>IF(27=Gia_dinh!$F$97,Gia_dinh!$F$96,0)+IF(27=Gia_dinh!$F$99,Gia_dinh!$F$98,0)</f>
        <v/>
      </c>
      <c r="AE18" s="11">
        <f>IF(28=Gia_dinh!$F$97,Gia_dinh!$F$96,0)+IF(28=Gia_dinh!$F$99,Gia_dinh!$F$98,0)</f>
        <v/>
      </c>
      <c r="AF18" s="11">
        <f>IF(29=Gia_dinh!$F$97,Gia_dinh!$F$96,0)+IF(29=Gia_dinh!$F$99,Gia_dinh!$F$98,0)</f>
        <v/>
      </c>
      <c r="AG18" s="11">
        <f>IF(30=Gia_dinh!$F$97,Gia_dinh!$F$96,0)+IF(30=Gia_dinh!$F$99,Gia_dinh!$F$98,0)</f>
        <v/>
      </c>
      <c r="AH18" s="11">
        <f>IF(31=Gia_dinh!$F$97,Gia_dinh!$F$96,0)+IF(31=Gia_dinh!$F$99,Gia_dinh!$F$98,0)</f>
        <v/>
      </c>
      <c r="AI18" s="11">
        <f>IF(32=Gia_dinh!$F$97,Gia_dinh!$F$96,0)+IF(32=Gia_dinh!$F$99,Gia_dinh!$F$98,0)</f>
        <v/>
      </c>
      <c r="AJ18" s="11">
        <f>IF(33=Gia_dinh!$F$97,Gia_dinh!$F$96,0)+IF(33=Gia_dinh!$F$99,Gia_dinh!$F$98,0)</f>
        <v/>
      </c>
      <c r="AK18" s="11">
        <f>IF(34=Gia_dinh!$F$97,Gia_dinh!$F$96,0)+IF(34=Gia_dinh!$F$99,Gia_dinh!$F$98,0)</f>
        <v/>
      </c>
      <c r="AL18" s="11">
        <f>IF(35=Gia_dinh!$F$97,Gia_dinh!$F$96,0)+IF(35=Gia_dinh!$F$99,Gia_dinh!$F$98,0)</f>
        <v/>
      </c>
      <c r="AM18" s="11">
        <f>IF(36=Gia_dinh!$F$97,Gia_dinh!$F$96,0)+IF(36=Gia_dinh!$F$99,Gia_dinh!$F$98,0)</f>
        <v/>
      </c>
    </row>
    <row r="19">
      <c r="B19" s="2" t="inlineStr">
        <is>
          <t>DÒNG TIỀN THUẦN TRONG THÁNG</t>
        </is>
      </c>
      <c r="C19" t="inlineStr">
        <is>
          <t>triệu VND</t>
        </is>
      </c>
      <c r="D19" s="34">
        <f>D17+D18</f>
        <v/>
      </c>
      <c r="E19" s="34">
        <f>E17+E18</f>
        <v/>
      </c>
      <c r="F19" s="34">
        <f>F17+F18</f>
        <v/>
      </c>
      <c r="G19" s="34">
        <f>G17+G18</f>
        <v/>
      </c>
      <c r="H19" s="34">
        <f>H17+H18</f>
        <v/>
      </c>
      <c r="I19" s="34">
        <f>I17+I18</f>
        <v/>
      </c>
      <c r="J19" s="34">
        <f>J17+J18</f>
        <v/>
      </c>
      <c r="K19" s="34">
        <f>K17+K18</f>
        <v/>
      </c>
      <c r="L19" s="34">
        <f>L17+L18</f>
        <v/>
      </c>
      <c r="M19" s="34">
        <f>M17+M18</f>
        <v/>
      </c>
      <c r="N19" s="34">
        <f>N17+N18</f>
        <v/>
      </c>
      <c r="O19" s="34">
        <f>O17+O18</f>
        <v/>
      </c>
      <c r="P19" s="34">
        <f>P17+P18</f>
        <v/>
      </c>
      <c r="Q19" s="34">
        <f>Q17+Q18</f>
        <v/>
      </c>
      <c r="R19" s="34">
        <f>R17+R18</f>
        <v/>
      </c>
      <c r="S19" s="34">
        <f>S17+S18</f>
        <v/>
      </c>
      <c r="T19" s="34">
        <f>T17+T18</f>
        <v/>
      </c>
      <c r="U19" s="34">
        <f>U17+U18</f>
        <v/>
      </c>
      <c r="V19" s="34">
        <f>V17+V18</f>
        <v/>
      </c>
      <c r="W19" s="34">
        <f>W17+W18</f>
        <v/>
      </c>
      <c r="X19" s="34">
        <f>X17+X18</f>
        <v/>
      </c>
      <c r="Y19" s="34">
        <f>Y17+Y18</f>
        <v/>
      </c>
      <c r="Z19" s="34">
        <f>Z17+Z18</f>
        <v/>
      </c>
      <c r="AA19" s="34">
        <f>AA17+AA18</f>
        <v/>
      </c>
      <c r="AB19" s="34">
        <f>AB17+AB18</f>
        <v/>
      </c>
      <c r="AC19" s="34">
        <f>AC17+AC18</f>
        <v/>
      </c>
      <c r="AD19" s="34">
        <f>AD17+AD18</f>
        <v/>
      </c>
      <c r="AE19" s="34">
        <f>AE17+AE18</f>
        <v/>
      </c>
      <c r="AF19" s="34">
        <f>AF17+AF18</f>
        <v/>
      </c>
      <c r="AG19" s="34">
        <f>AG17+AG18</f>
        <v/>
      </c>
      <c r="AH19" s="34">
        <f>AH17+AH18</f>
        <v/>
      </c>
      <c r="AI19" s="34">
        <f>AI17+AI18</f>
        <v/>
      </c>
      <c r="AJ19" s="34">
        <f>AJ17+AJ18</f>
        <v/>
      </c>
      <c r="AK19" s="34">
        <f>AK17+AK18</f>
        <v/>
      </c>
      <c r="AL19" s="34">
        <f>AL17+AL18</f>
        <v/>
      </c>
      <c r="AM19" s="34">
        <f>AM17+AM18</f>
        <v/>
      </c>
    </row>
    <row r="20">
      <c r="B20" t="inlineStr">
        <is>
          <t>Tiền đầu kỳ</t>
        </is>
      </c>
      <c r="C20" t="inlineStr">
        <is>
          <t>triệu VND</t>
        </is>
      </c>
      <c r="D20" s="11">
        <f>Gia_dinh!$F$95</f>
        <v/>
      </c>
      <c r="E20" s="11">
        <f>D21</f>
        <v/>
      </c>
      <c r="F20" s="11">
        <f>E21</f>
        <v/>
      </c>
      <c r="G20" s="11">
        <f>F21</f>
        <v/>
      </c>
      <c r="H20" s="11">
        <f>G21</f>
        <v/>
      </c>
      <c r="I20" s="11">
        <f>H21</f>
        <v/>
      </c>
      <c r="J20" s="11">
        <f>I21</f>
        <v/>
      </c>
      <c r="K20" s="11">
        <f>J21</f>
        <v/>
      </c>
      <c r="L20" s="11">
        <f>K21</f>
        <v/>
      </c>
      <c r="M20" s="11">
        <f>L21</f>
        <v/>
      </c>
      <c r="N20" s="11">
        <f>M21</f>
        <v/>
      </c>
      <c r="O20" s="11">
        <f>N21</f>
        <v/>
      </c>
      <c r="P20" s="11">
        <f>O21</f>
        <v/>
      </c>
      <c r="Q20" s="11">
        <f>P21</f>
        <v/>
      </c>
      <c r="R20" s="11">
        <f>Q21</f>
        <v/>
      </c>
      <c r="S20" s="11">
        <f>R21</f>
        <v/>
      </c>
      <c r="T20" s="11">
        <f>S21</f>
        <v/>
      </c>
      <c r="U20" s="11">
        <f>T21</f>
        <v/>
      </c>
      <c r="V20" s="11">
        <f>U21</f>
        <v/>
      </c>
      <c r="W20" s="11">
        <f>V21</f>
        <v/>
      </c>
      <c r="X20" s="11">
        <f>W21</f>
        <v/>
      </c>
      <c r="Y20" s="11">
        <f>X21</f>
        <v/>
      </c>
      <c r="Z20" s="11">
        <f>Y21</f>
        <v/>
      </c>
      <c r="AA20" s="11">
        <f>Z21</f>
        <v/>
      </c>
      <c r="AB20" s="11">
        <f>AA21</f>
        <v/>
      </c>
      <c r="AC20" s="11">
        <f>AB21</f>
        <v/>
      </c>
      <c r="AD20" s="11">
        <f>AC21</f>
        <v/>
      </c>
      <c r="AE20" s="11">
        <f>AD21</f>
        <v/>
      </c>
      <c r="AF20" s="11">
        <f>AE21</f>
        <v/>
      </c>
      <c r="AG20" s="11">
        <f>AF21</f>
        <v/>
      </c>
      <c r="AH20" s="11">
        <f>AG21</f>
        <v/>
      </c>
      <c r="AI20" s="11">
        <f>AH21</f>
        <v/>
      </c>
      <c r="AJ20" s="11">
        <f>AI21</f>
        <v/>
      </c>
      <c r="AK20" s="11">
        <f>AJ21</f>
        <v/>
      </c>
      <c r="AL20" s="11">
        <f>AK21</f>
        <v/>
      </c>
      <c r="AM20" s="11">
        <f>AL21</f>
        <v/>
      </c>
    </row>
    <row r="21">
      <c r="B21" s="2" t="inlineStr">
        <is>
          <t>TIỀN CUỐI KỲ</t>
        </is>
      </c>
      <c r="C21" t="inlineStr">
        <is>
          <t>triệu VND</t>
        </is>
      </c>
      <c r="D21" s="34">
        <f>D20+D19</f>
        <v/>
      </c>
      <c r="E21" s="34">
        <f>E20+E19</f>
        <v/>
      </c>
      <c r="F21" s="34">
        <f>F20+F19</f>
        <v/>
      </c>
      <c r="G21" s="34">
        <f>G20+G19</f>
        <v/>
      </c>
      <c r="H21" s="34">
        <f>H20+H19</f>
        <v/>
      </c>
      <c r="I21" s="34">
        <f>I20+I19</f>
        <v/>
      </c>
      <c r="J21" s="34">
        <f>J20+J19</f>
        <v/>
      </c>
      <c r="K21" s="34">
        <f>K20+K19</f>
        <v/>
      </c>
      <c r="L21" s="34">
        <f>L20+L19</f>
        <v/>
      </c>
      <c r="M21" s="34">
        <f>M20+M19</f>
        <v/>
      </c>
      <c r="N21" s="34">
        <f>N20+N19</f>
        <v/>
      </c>
      <c r="O21" s="34">
        <f>O20+O19</f>
        <v/>
      </c>
      <c r="P21" s="34">
        <f>P20+P19</f>
        <v/>
      </c>
      <c r="Q21" s="34">
        <f>Q20+Q19</f>
        <v/>
      </c>
      <c r="R21" s="34">
        <f>R20+R19</f>
        <v/>
      </c>
      <c r="S21" s="34">
        <f>S20+S19</f>
        <v/>
      </c>
      <c r="T21" s="34">
        <f>T20+T19</f>
        <v/>
      </c>
      <c r="U21" s="34">
        <f>U20+U19</f>
        <v/>
      </c>
      <c r="V21" s="34">
        <f>V20+V19</f>
        <v/>
      </c>
      <c r="W21" s="34">
        <f>W20+W19</f>
        <v/>
      </c>
      <c r="X21" s="34">
        <f>X20+X19</f>
        <v/>
      </c>
      <c r="Y21" s="34">
        <f>Y20+Y19</f>
        <v/>
      </c>
      <c r="Z21" s="34">
        <f>Z20+Z19</f>
        <v/>
      </c>
      <c r="AA21" s="34">
        <f>AA20+AA19</f>
        <v/>
      </c>
      <c r="AB21" s="34">
        <f>AB20+AB19</f>
        <v/>
      </c>
      <c r="AC21" s="34">
        <f>AC20+AC19</f>
        <v/>
      </c>
      <c r="AD21" s="34">
        <f>AD20+AD19</f>
        <v/>
      </c>
      <c r="AE21" s="34">
        <f>AE20+AE19</f>
        <v/>
      </c>
      <c r="AF21" s="34">
        <f>AF20+AF19</f>
        <v/>
      </c>
      <c r="AG21" s="34">
        <f>AG20+AG19</f>
        <v/>
      </c>
      <c r="AH21" s="34">
        <f>AH20+AH19</f>
        <v/>
      </c>
      <c r="AI21" s="34">
        <f>AI20+AI19</f>
        <v/>
      </c>
      <c r="AJ21" s="34">
        <f>AJ20+AJ19</f>
        <v/>
      </c>
      <c r="AK21" s="34">
        <f>AK20+AK19</f>
        <v/>
      </c>
      <c r="AL21" s="34">
        <f>AL20+AL19</f>
        <v/>
      </c>
      <c r="AM21" s="34">
        <f>AM20+AM19</f>
        <v/>
      </c>
    </row>
    <row r="23">
      <c r="B23" s="4" t="inlineStr">
        <is>
          <t>NHU CẦU VỐN</t>
        </is>
      </c>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row>
    <row r="24">
      <c r="B24" t="inlineStr">
        <is>
          <t>Dòng tiền HĐKD &amp; đầu tư luỹ kế (chưa tính vốn góp)</t>
        </is>
      </c>
      <c r="C24" t="inlineStr">
        <is>
          <t>triệu VND</t>
        </is>
      </c>
      <c r="D24" s="11">
        <f>D17</f>
        <v/>
      </c>
      <c r="E24" s="11">
        <f>D24+E17</f>
        <v/>
      </c>
      <c r="F24" s="11">
        <f>E24+F17</f>
        <v/>
      </c>
      <c r="G24" s="11">
        <f>F24+G17</f>
        <v/>
      </c>
      <c r="H24" s="11">
        <f>G24+H17</f>
        <v/>
      </c>
      <c r="I24" s="11">
        <f>H24+I17</f>
        <v/>
      </c>
      <c r="J24" s="11">
        <f>I24+J17</f>
        <v/>
      </c>
      <c r="K24" s="11">
        <f>J24+K17</f>
        <v/>
      </c>
      <c r="L24" s="11">
        <f>K24+L17</f>
        <v/>
      </c>
      <c r="M24" s="11">
        <f>L24+M17</f>
        <v/>
      </c>
      <c r="N24" s="11">
        <f>M24+N17</f>
        <v/>
      </c>
      <c r="O24" s="11">
        <f>N24+O17</f>
        <v/>
      </c>
      <c r="P24" s="11">
        <f>O24+P17</f>
        <v/>
      </c>
      <c r="Q24" s="11">
        <f>P24+Q17</f>
        <v/>
      </c>
      <c r="R24" s="11">
        <f>Q24+R17</f>
        <v/>
      </c>
      <c r="S24" s="11">
        <f>R24+S17</f>
        <v/>
      </c>
      <c r="T24" s="11">
        <f>S24+T17</f>
        <v/>
      </c>
      <c r="U24" s="11">
        <f>T24+U17</f>
        <v/>
      </c>
      <c r="V24" s="11">
        <f>U24+V17</f>
        <v/>
      </c>
      <c r="W24" s="11">
        <f>V24+W17</f>
        <v/>
      </c>
      <c r="X24" s="11">
        <f>W24+X17</f>
        <v/>
      </c>
      <c r="Y24" s="11">
        <f>X24+Y17</f>
        <v/>
      </c>
      <c r="Z24" s="11">
        <f>Y24+Z17</f>
        <v/>
      </c>
      <c r="AA24" s="11">
        <f>Z24+AA17</f>
        <v/>
      </c>
      <c r="AB24" s="11">
        <f>AA24+AB17</f>
        <v/>
      </c>
      <c r="AC24" s="11">
        <f>AB24+AC17</f>
        <v/>
      </c>
      <c r="AD24" s="11">
        <f>AC24+AD17</f>
        <v/>
      </c>
      <c r="AE24" s="11">
        <f>AD24+AE17</f>
        <v/>
      </c>
      <c r="AF24" s="11">
        <f>AE24+AF17</f>
        <v/>
      </c>
      <c r="AG24" s="11">
        <f>AF24+AG17</f>
        <v/>
      </c>
      <c r="AH24" s="11">
        <f>AG24+AH17</f>
        <v/>
      </c>
      <c r="AI24" s="11">
        <f>AH24+AI17</f>
        <v/>
      </c>
      <c r="AJ24" s="11">
        <f>AI24+AJ17</f>
        <v/>
      </c>
      <c r="AK24" s="11">
        <f>AJ24+AK17</f>
        <v/>
      </c>
      <c r="AL24" s="11">
        <f>AK24+AL17</f>
        <v/>
      </c>
      <c r="AM24" s="11">
        <f>AL24+AM17</f>
        <v/>
      </c>
    </row>
    <row r="25">
      <c r="B25" t="inlineStr">
        <is>
          <t>Nhu cầu vốn luỹ kế tối đa tính đến tháng này</t>
        </is>
      </c>
      <c r="C25" t="inlineStr">
        <is>
          <t>triệu VND</t>
        </is>
      </c>
      <c r="D25" s="37">
        <f>-MIN(0,MIN($D$24:D24))</f>
        <v/>
      </c>
      <c r="E25" s="37">
        <f>-MIN(0,MIN($D$24:E24))</f>
        <v/>
      </c>
      <c r="F25" s="37">
        <f>-MIN(0,MIN($D$24:F24))</f>
        <v/>
      </c>
      <c r="G25" s="37">
        <f>-MIN(0,MIN($D$24:G24))</f>
        <v/>
      </c>
      <c r="H25" s="37">
        <f>-MIN(0,MIN($D$24:H24))</f>
        <v/>
      </c>
      <c r="I25" s="37">
        <f>-MIN(0,MIN($D$24:I24))</f>
        <v/>
      </c>
      <c r="J25" s="37">
        <f>-MIN(0,MIN($D$24:J24))</f>
        <v/>
      </c>
      <c r="K25" s="37">
        <f>-MIN(0,MIN($D$24:K24))</f>
        <v/>
      </c>
      <c r="L25" s="37">
        <f>-MIN(0,MIN($D$24:L24))</f>
        <v/>
      </c>
      <c r="M25" s="37">
        <f>-MIN(0,MIN($D$24:M24))</f>
        <v/>
      </c>
      <c r="N25" s="37">
        <f>-MIN(0,MIN($D$24:N24))</f>
        <v/>
      </c>
      <c r="O25" s="37">
        <f>-MIN(0,MIN($D$24:O24))</f>
        <v/>
      </c>
      <c r="P25" s="37">
        <f>-MIN(0,MIN($D$24:P24))</f>
        <v/>
      </c>
      <c r="Q25" s="37">
        <f>-MIN(0,MIN($D$24:Q24))</f>
        <v/>
      </c>
      <c r="R25" s="37">
        <f>-MIN(0,MIN($D$24:R24))</f>
        <v/>
      </c>
      <c r="S25" s="37">
        <f>-MIN(0,MIN($D$24:S24))</f>
        <v/>
      </c>
      <c r="T25" s="37">
        <f>-MIN(0,MIN($D$24:T24))</f>
        <v/>
      </c>
      <c r="U25" s="37">
        <f>-MIN(0,MIN($D$24:U24))</f>
        <v/>
      </c>
      <c r="V25" s="37">
        <f>-MIN(0,MIN($D$24:V24))</f>
        <v/>
      </c>
      <c r="W25" s="37">
        <f>-MIN(0,MIN($D$24:W24))</f>
        <v/>
      </c>
      <c r="X25" s="37">
        <f>-MIN(0,MIN($D$24:X24))</f>
        <v/>
      </c>
      <c r="Y25" s="37">
        <f>-MIN(0,MIN($D$24:Y24))</f>
        <v/>
      </c>
      <c r="Z25" s="37">
        <f>-MIN(0,MIN($D$24:Z24))</f>
        <v/>
      </c>
      <c r="AA25" s="37">
        <f>-MIN(0,MIN($D$24:AA24))</f>
        <v/>
      </c>
      <c r="AB25" s="37">
        <f>-MIN(0,MIN($D$24:AB24))</f>
        <v/>
      </c>
      <c r="AC25" s="37">
        <f>-MIN(0,MIN($D$24:AC24))</f>
        <v/>
      </c>
      <c r="AD25" s="37">
        <f>-MIN(0,MIN($D$24:AD24))</f>
        <v/>
      </c>
      <c r="AE25" s="37">
        <f>-MIN(0,MIN($D$24:AE24))</f>
        <v/>
      </c>
      <c r="AF25" s="37">
        <f>-MIN(0,MIN($D$24:AF24))</f>
        <v/>
      </c>
      <c r="AG25" s="37">
        <f>-MIN(0,MIN($D$24:AG24))</f>
        <v/>
      </c>
      <c r="AH25" s="37">
        <f>-MIN(0,MIN($D$24:AH24))</f>
        <v/>
      </c>
      <c r="AI25" s="37">
        <f>-MIN(0,MIN($D$24:AI24))</f>
        <v/>
      </c>
      <c r="AJ25" s="37">
        <f>-MIN(0,MIN($D$24:AJ24))</f>
        <v/>
      </c>
      <c r="AK25" s="37">
        <f>-MIN(0,MIN($D$24:AK24))</f>
        <v/>
      </c>
      <c r="AL25" s="37">
        <f>-MIN(0,MIN($D$24:AL24))</f>
        <v/>
      </c>
      <c r="AM25" s="37">
        <f>-MIN(0,MIN($D$24:AM24))</f>
        <v/>
      </c>
    </row>
    <row r="26">
      <c r="B26" t="inlineStr">
        <is>
          <t>Số tháng tiền còn đủ (runway) theo mức đốt hiện tại</t>
        </is>
      </c>
      <c r="C26" t="inlineStr">
        <is>
          <t>thang</t>
        </is>
      </c>
      <c r="D26" s="36">
        <f>IF(D17&gt;=0,"lãi dương",IFERROR(ROUND(D21/-D17,1),0))</f>
        <v/>
      </c>
      <c r="E26" s="36">
        <f>IF(E17&gt;=0,"lãi dương",IFERROR(ROUND(E21/-E17,1),0))</f>
        <v/>
      </c>
      <c r="F26" s="36">
        <f>IF(F17&gt;=0,"lãi dương",IFERROR(ROUND(F21/-F17,1),0))</f>
        <v/>
      </c>
      <c r="G26" s="36">
        <f>IF(G17&gt;=0,"lãi dương",IFERROR(ROUND(G21/-G17,1),0))</f>
        <v/>
      </c>
      <c r="H26" s="36">
        <f>IF(H17&gt;=0,"lãi dương",IFERROR(ROUND(H21/-H17,1),0))</f>
        <v/>
      </c>
      <c r="I26" s="36">
        <f>IF(I17&gt;=0,"lãi dương",IFERROR(ROUND(I21/-I17,1),0))</f>
        <v/>
      </c>
      <c r="J26" s="36">
        <f>IF(J17&gt;=0,"lãi dương",IFERROR(ROUND(J21/-J17,1),0))</f>
        <v/>
      </c>
      <c r="K26" s="36">
        <f>IF(K17&gt;=0,"lãi dương",IFERROR(ROUND(K21/-K17,1),0))</f>
        <v/>
      </c>
      <c r="L26" s="36">
        <f>IF(L17&gt;=0,"lãi dương",IFERROR(ROUND(L21/-L17,1),0))</f>
        <v/>
      </c>
      <c r="M26" s="36">
        <f>IF(M17&gt;=0,"lãi dương",IFERROR(ROUND(M21/-M17,1),0))</f>
        <v/>
      </c>
      <c r="N26" s="36">
        <f>IF(N17&gt;=0,"lãi dương",IFERROR(ROUND(N21/-N17,1),0))</f>
        <v/>
      </c>
      <c r="O26" s="36">
        <f>IF(O17&gt;=0,"lãi dương",IFERROR(ROUND(O21/-O17,1),0))</f>
        <v/>
      </c>
      <c r="P26" s="36">
        <f>IF(P17&gt;=0,"lãi dương",IFERROR(ROUND(P21/-P17,1),0))</f>
        <v/>
      </c>
      <c r="Q26" s="36">
        <f>IF(Q17&gt;=0,"lãi dương",IFERROR(ROUND(Q21/-Q17,1),0))</f>
        <v/>
      </c>
      <c r="R26" s="36">
        <f>IF(R17&gt;=0,"lãi dương",IFERROR(ROUND(R21/-R17,1),0))</f>
        <v/>
      </c>
      <c r="S26" s="36">
        <f>IF(S17&gt;=0,"lãi dương",IFERROR(ROUND(S21/-S17,1),0))</f>
        <v/>
      </c>
      <c r="T26" s="36">
        <f>IF(T17&gt;=0,"lãi dương",IFERROR(ROUND(T21/-T17,1),0))</f>
        <v/>
      </c>
      <c r="U26" s="36">
        <f>IF(U17&gt;=0,"lãi dương",IFERROR(ROUND(U21/-U17,1),0))</f>
        <v/>
      </c>
      <c r="V26" s="36">
        <f>IF(V17&gt;=0,"lãi dương",IFERROR(ROUND(V21/-V17,1),0))</f>
        <v/>
      </c>
      <c r="W26" s="36">
        <f>IF(W17&gt;=0,"lãi dương",IFERROR(ROUND(W21/-W17,1),0))</f>
        <v/>
      </c>
      <c r="X26" s="36">
        <f>IF(X17&gt;=0,"lãi dương",IFERROR(ROUND(X21/-X17,1),0))</f>
        <v/>
      </c>
      <c r="Y26" s="36">
        <f>IF(Y17&gt;=0,"lãi dương",IFERROR(ROUND(Y21/-Y17,1),0))</f>
        <v/>
      </c>
      <c r="Z26" s="36">
        <f>IF(Z17&gt;=0,"lãi dương",IFERROR(ROUND(Z21/-Z17,1),0))</f>
        <v/>
      </c>
      <c r="AA26" s="36">
        <f>IF(AA17&gt;=0,"lãi dương",IFERROR(ROUND(AA21/-AA17,1),0))</f>
        <v/>
      </c>
      <c r="AB26" s="36">
        <f>IF(AB17&gt;=0,"lãi dương",IFERROR(ROUND(AB21/-AB17,1),0))</f>
        <v/>
      </c>
      <c r="AC26" s="36">
        <f>IF(AC17&gt;=0,"lãi dương",IFERROR(ROUND(AC21/-AC17,1),0))</f>
        <v/>
      </c>
      <c r="AD26" s="36">
        <f>IF(AD17&gt;=0,"lãi dương",IFERROR(ROUND(AD21/-AD17,1),0))</f>
        <v/>
      </c>
      <c r="AE26" s="36">
        <f>IF(AE17&gt;=0,"lãi dương",IFERROR(ROUND(AE21/-AE17,1),0))</f>
        <v/>
      </c>
      <c r="AF26" s="36">
        <f>IF(AF17&gt;=0,"lãi dương",IFERROR(ROUND(AF21/-AF17,1),0))</f>
        <v/>
      </c>
      <c r="AG26" s="36">
        <f>IF(AG17&gt;=0,"lãi dương",IFERROR(ROUND(AG21/-AG17,1),0))</f>
        <v/>
      </c>
      <c r="AH26" s="36">
        <f>IF(AH17&gt;=0,"lãi dương",IFERROR(ROUND(AH21/-AH17,1),0))</f>
        <v/>
      </c>
      <c r="AI26" s="36">
        <f>IF(AI17&gt;=0,"lãi dương",IFERROR(ROUND(AI21/-AI17,1),0))</f>
        <v/>
      </c>
      <c r="AJ26" s="36">
        <f>IF(AJ17&gt;=0,"lãi dương",IFERROR(ROUND(AJ21/-AJ17,1),0))</f>
        <v/>
      </c>
      <c r="AK26" s="36">
        <f>IF(AK17&gt;=0,"lãi dương",IFERROR(ROUND(AK21/-AK17,1),0))</f>
        <v/>
      </c>
      <c r="AL26" s="36">
        <f>IF(AL17&gt;=0,"lãi dương",IFERROR(ROUND(AL21/-AL17,1),0))</f>
        <v/>
      </c>
      <c r="AM26" s="36">
        <f>IF(AM17&gt;=0,"lãi dương",IFERROR(ROUND(AM21/-AM17,1),0))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2026-09-18T13:23:09Z</dcterms:created>
  <dcterms:modified xsi:type="dcterms:W3CDTF">2026-09-18T13:23:10Z</dcterms:modified>
</cp:coreProperties>
</file>