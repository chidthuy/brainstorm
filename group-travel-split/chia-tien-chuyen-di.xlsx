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ia tiề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B4D"/>
      <sz val="14"/>
    </font>
    <font>
      <name val="Arial"/>
      <i val="1"/>
      <color rgb="005A6B71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5A6B71"/>
      <sz val="9"/>
    </font>
    <font>
      <name val="Arial"/>
      <b val="1"/>
      <color rgb="00000000"/>
      <sz val="10"/>
    </font>
    <font>
      <name val="Arial"/>
      <b val="1"/>
      <color rgb="001F3B4D"/>
      <sz val="9"/>
    </font>
    <font>
      <name val="Arial"/>
      <b val="1"/>
      <color rgb="001F3B4D"/>
      <sz val="11"/>
    </font>
  </fonts>
  <fills count="5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6F8"/>
      </patternFill>
    </fill>
    <fill>
      <patternFill patternType="solid">
        <fgColor rgb="00DCE6EC"/>
      </patternFill>
    </fill>
  </fills>
  <borders count="3">
    <border>
      <left/>
      <right/>
      <top/>
      <bottom/>
      <diagonal/>
    </border>
    <border>
      <left style="thin">
        <color rgb="00C3CED4"/>
      </left>
      <right style="thin">
        <color rgb="00C3CED4"/>
      </right>
      <top style="thin">
        <color rgb="00C3CED4"/>
      </top>
      <bottom style="thin">
        <color rgb="00C3CED4"/>
      </bottom>
    </border>
    <border>
      <left style="thin">
        <color rgb="00C3CED4"/>
      </left>
      <right style="thin">
        <color rgb="00C3CED4"/>
      </right>
      <top style="medium">
        <color rgb="001F3B4D"/>
      </top>
      <bottom style="medium">
        <color rgb="001F3B4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" fontId="5" fillId="0" borderId="1" pivotButton="0" quotePrefix="0" xfId="0"/>
    <xf numFmtId="0" fontId="6" fillId="0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3" fontId="5" fillId="3" borderId="1" pivotButton="0" quotePrefix="0" xfId="0"/>
    <xf numFmtId="0" fontId="6" fillId="3" borderId="1" pivotButton="0" quotePrefix="0" xfId="0"/>
    <xf numFmtId="3" fontId="4" fillId="3" borderId="1" pivotButton="0" quotePrefix="0" xfId="0"/>
    <xf numFmtId="0" fontId="7" fillId="4" borderId="2" pivotButton="0" quotePrefix="0" xfId="0"/>
    <xf numFmtId="3" fontId="7" fillId="4" borderId="2" pivotButton="0" quotePrefix="0" xfId="0"/>
    <xf numFmtId="0" fontId="4" fillId="4" borderId="2" pivotButton="0" quotePrefix="0" xfId="0"/>
    <xf numFmtId="0" fontId="9" fillId="0" borderId="0" pivotButton="0" quotePrefix="0" xfId="0"/>
    <xf numFmtId="3" fontId="7" fillId="0" borderId="1" pivotButton="0" quotePrefix="0" xfId="0"/>
    <xf numFmtId="3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30" customWidth="1" min="3" max="3"/>
    <col width="15" customWidth="1" min="4" max="4"/>
    <col width="14" customWidth="1" min="5" max="5"/>
    <col width="14" customWidth="1" min="6" max="6"/>
    <col width="3" customWidth="1" min="7" max="7"/>
    <col width="14" customWidth="1" min="8" max="8"/>
    <col width="26" customWidth="1" min="9" max="9"/>
  </cols>
  <sheetData>
    <row r="1">
      <c r="A1" s="1" t="inlineStr">
        <is>
          <t>CHIA TIỀN CHUYẾN ĐI — 6 NGƯỜI</t>
        </is>
      </c>
    </row>
    <row r="2">
      <c r="A2" s="2" t="inlineStr">
        <is>
          <t>Chi, Quỳnh, Hà, Hiếu, Việt, Tú  ·  đơn vị: VNĐ  ·  ô chữ xanh là số nhập tay</t>
        </is>
      </c>
    </row>
    <row r="3">
      <c r="H3" s="3" t="inlineStr">
        <is>
          <t>THAM SỐ</t>
        </is>
      </c>
    </row>
    <row r="4">
      <c r="A4" s="4" t="inlineStr">
        <is>
          <t>Loại chi phí</t>
        </is>
      </c>
      <c r="B4" s="4" t="inlineStr">
        <is>
          <t>Số tiền</t>
        </is>
      </c>
      <c r="C4" s="4" t="inlineStr">
        <is>
          <t>Người trả</t>
        </is>
      </c>
      <c r="D4" s="4" t="inlineStr">
        <is>
          <t>Mỗi người</t>
        </is>
      </c>
      <c r="E4" s="4" t="inlineStr">
        <is>
          <t>Đã đóng</t>
        </is>
      </c>
      <c r="F4" s="4" t="inlineStr">
        <is>
          <t>Còn thiếu</t>
        </is>
      </c>
      <c r="H4" s="5" t="n">
        <v>6</v>
      </c>
      <c r="I4" s="6" t="inlineStr">
        <is>
          <t>Số người</t>
        </is>
      </c>
    </row>
    <row r="5">
      <c r="A5" s="7" t="inlineStr">
        <is>
          <t>Lưu trú</t>
        </is>
      </c>
      <c r="B5" s="8" t="n">
        <v>13700000</v>
      </c>
      <c r="C5" s="9" t="inlineStr">
        <is>
          <t>Chi</t>
        </is>
      </c>
      <c r="D5" s="10">
        <f>B5/$H$4</f>
        <v/>
      </c>
      <c r="E5" s="7" t="n"/>
      <c r="F5" s="7" t="n"/>
      <c r="H5" s="8" t="n">
        <v>3000000</v>
      </c>
      <c r="I5" s="6" t="inlineStr">
        <is>
          <t>Tiền cọc mỗi người đã đóng</t>
        </is>
      </c>
    </row>
    <row r="6">
      <c r="A6" s="11" t="inlineStr">
        <is>
          <t>Ăn trưa Cậu Khấu</t>
        </is>
      </c>
      <c r="B6" s="12" t="n">
        <v>1228000</v>
      </c>
      <c r="C6" s="13" t="inlineStr">
        <is>
          <t>Chi</t>
        </is>
      </c>
      <c r="D6" s="14">
        <f>B6/$H$4</f>
        <v/>
      </c>
      <c r="E6" s="11" t="n"/>
      <c r="F6" s="11" t="n"/>
      <c r="H6" s="8" t="n">
        <v>1100000</v>
      </c>
      <c r="I6" s="6" t="inlineStr">
        <is>
          <t>Tú ứng trả bữa BBQ</t>
        </is>
      </c>
    </row>
    <row r="7">
      <c r="A7" s="7" t="inlineStr">
        <is>
          <t>Ăn tối Hồng Phát</t>
        </is>
      </c>
      <c r="B7" s="8" t="n">
        <v>2257400</v>
      </c>
      <c r="C7" s="9" t="inlineStr">
        <is>
          <t>Chi</t>
        </is>
      </c>
      <c r="D7" s="10">
        <f>B7/$H$4</f>
        <v/>
      </c>
      <c r="E7" s="7" t="n"/>
      <c r="F7" s="7" t="n"/>
      <c r="H7" s="8" t="n">
        <v>1000000</v>
      </c>
      <c r="I7" s="6" t="inlineStr">
        <is>
          <t>Việt ứng trả bữa BBQ</t>
        </is>
      </c>
    </row>
    <row r="8">
      <c r="A8" s="11" t="inlineStr">
        <is>
          <t>Bar</t>
        </is>
      </c>
      <c r="B8" s="12" t="n">
        <v>1075200</v>
      </c>
      <c r="C8" s="13" t="inlineStr">
        <is>
          <t>Chi</t>
        </is>
      </c>
      <c r="D8" s="14">
        <f>B8/$H$4</f>
        <v/>
      </c>
      <c r="E8" s="11" t="n"/>
      <c r="F8" s="11" t="n"/>
    </row>
    <row r="9">
      <c r="A9" s="7" t="inlineStr">
        <is>
          <t>Ăn sáng</t>
        </is>
      </c>
      <c r="B9" s="8" t="n">
        <v>680000</v>
      </c>
      <c r="C9" s="9" t="inlineStr">
        <is>
          <t>Chi</t>
        </is>
      </c>
      <c r="D9" s="10">
        <f>B9/$H$4</f>
        <v/>
      </c>
      <c r="E9" s="7" t="n"/>
      <c r="F9" s="7" t="n"/>
    </row>
    <row r="10">
      <c r="A10" s="11" t="inlineStr">
        <is>
          <t>Cafe sáng</t>
        </is>
      </c>
      <c r="B10" s="12" t="n">
        <v>723600</v>
      </c>
      <c r="C10" s="13" t="inlineStr">
        <is>
          <t>Chi</t>
        </is>
      </c>
      <c r="D10" s="14">
        <f>B10/$H$4</f>
        <v/>
      </c>
      <c r="E10" s="11" t="n"/>
      <c r="F10" s="11" t="n"/>
    </row>
    <row r="11">
      <c r="A11" s="7" t="inlineStr">
        <is>
          <t>Ăn tối BBQ</t>
        </is>
      </c>
      <c r="B11" s="10">
        <f>$H$6+$H$7</f>
        <v/>
      </c>
      <c r="C11" s="9" t="inlineStr">
        <is>
          <t>Tú và Việt ứng trả</t>
        </is>
      </c>
      <c r="D11" s="10">
        <f>B11/$H$4</f>
        <v/>
      </c>
      <c r="E11" s="7" t="n"/>
      <c r="F11" s="7" t="n"/>
    </row>
    <row r="12">
      <c r="A12" s="11" t="inlineStr">
        <is>
          <t>Ăn sáng 2</t>
        </is>
      </c>
      <c r="B12" s="12" t="n">
        <v>645000</v>
      </c>
      <c r="C12" s="13" t="inlineStr">
        <is>
          <t>Chi</t>
        </is>
      </c>
      <c r="D12" s="14">
        <f>B12/$H$4</f>
        <v/>
      </c>
      <c r="E12" s="11" t="n"/>
      <c r="F12" s="11" t="n"/>
    </row>
    <row r="13">
      <c r="A13" s="7" t="inlineStr">
        <is>
          <t>Snack</t>
        </is>
      </c>
      <c r="B13" s="8" t="n">
        <v>584445</v>
      </c>
      <c r="C13" s="9" t="inlineStr">
        <is>
          <t>Chi</t>
        </is>
      </c>
      <c r="D13" s="10">
        <f>B13/$H$4</f>
        <v/>
      </c>
      <c r="E13" s="7" t="n"/>
      <c r="F13" s="7" t="n"/>
    </row>
    <row r="14">
      <c r="A14" s="11" t="inlineStr">
        <is>
          <t>Snack (thêm)</t>
        </is>
      </c>
      <c r="B14" s="12" t="n">
        <v>180000</v>
      </c>
      <c r="C14" s="13" t="inlineStr">
        <is>
          <t>Chi</t>
        </is>
      </c>
      <c r="D14" s="14">
        <f>B14/$H$4</f>
        <v/>
      </c>
      <c r="E14" s="11" t="n"/>
      <c r="F14" s="11" t="n"/>
    </row>
    <row r="15">
      <c r="A15" s="15" t="inlineStr">
        <is>
          <t>TỔNG</t>
        </is>
      </c>
      <c r="B15" s="16">
        <f>SUM(B5:B14)</f>
        <v/>
      </c>
      <c r="C15" s="17" t="n"/>
      <c r="D15" s="16">
        <f>SUM(D5:D14)</f>
        <v/>
      </c>
      <c r="E15" s="16">
        <f>$H$5</f>
        <v/>
      </c>
      <c r="F15" s="16">
        <f>ROUND(D15,0)-E15</f>
        <v/>
      </c>
    </row>
    <row r="16">
      <c r="A16" s="2" t="inlineStr">
        <is>
          <t>Mỗi người chịu chung một phần bằng nhau; đã đóng cọc rồi nên mỗi người còn thiếu phần chênh ở cột cuối.</t>
        </is>
      </c>
    </row>
    <row r="18">
      <c r="A18" s="18" t="inlineStr">
        <is>
          <t>CHUYỂN TIỀN</t>
        </is>
      </c>
      <c r="C18" s="2" t="inlineStr">
        <is>
          <t>Tú và Việt không phải đóng — tiền hai bạn ứng đang dư.</t>
        </is>
      </c>
    </row>
    <row r="19">
      <c r="A19" s="7" t="inlineStr">
        <is>
          <t>Quỳnh  →  Chi</t>
        </is>
      </c>
      <c r="B19" s="19">
        <f>$F$15</f>
        <v/>
      </c>
      <c r="C19" s="6" t="inlineStr">
        <is>
          <t>phần còn thiếu</t>
        </is>
      </c>
    </row>
    <row r="20">
      <c r="A20" s="7" t="inlineStr">
        <is>
          <t>Hà  →  Chi</t>
        </is>
      </c>
      <c r="B20" s="19">
        <f>$F$15</f>
        <v/>
      </c>
      <c r="C20" s="6" t="inlineStr">
        <is>
          <t>phần còn thiếu</t>
        </is>
      </c>
    </row>
    <row r="21">
      <c r="A21" s="7" t="inlineStr">
        <is>
          <t>Hiếu  →  Chi</t>
        </is>
      </c>
      <c r="B21" s="19">
        <f>$F$15</f>
        <v/>
      </c>
      <c r="C21" s="6" t="inlineStr">
        <is>
          <t>phần còn thiếu</t>
        </is>
      </c>
    </row>
    <row r="22">
      <c r="A22" s="11" t="inlineStr">
        <is>
          <t>Chi  →  Tú</t>
        </is>
      </c>
      <c r="B22" s="20">
        <f>$H$6-$F$15</f>
        <v/>
      </c>
      <c r="C22" s="6" t="inlineStr">
        <is>
          <t>đã ứng 1.100.000 cho BBQ → đang dư, nhận lại phần chênh</t>
        </is>
      </c>
    </row>
    <row r="23">
      <c r="A23" s="11" t="inlineStr">
        <is>
          <t>Chi  →  Việt</t>
        </is>
      </c>
      <c r="B23" s="20">
        <f>$H$7-$F$15</f>
        <v/>
      </c>
      <c r="C23" s="6" t="inlineStr">
        <is>
          <t>đã ứng 1.000.000 cho BBQ → đang dư, nhận lại phần chênh</t>
        </is>
      </c>
    </row>
    <row r="24">
      <c r="A24" s="15" t="inlineStr">
        <is>
          <t>Chi thực nhận</t>
        </is>
      </c>
      <c r="B24" s="16">
        <f>SUM(B19:B21)-SUM(B22:B23)</f>
        <v/>
      </c>
    </row>
    <row r="26">
      <c r="A26" s="2" t="inlineStr">
        <is>
          <t>Giả định: tiền cọc gom thành quỹ chung do Chi giữ và Chi dùng để thanh toán. Nếu cọc nộp cho bên khác thì cách chốt sẽ khác.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2026-08-08T15:40:33Z</dcterms:created>
  <dcterms:modified xsi:type="dcterms:W3CDTF">2026-08-08T15:40:33Z</dcterms:modified>
</cp:coreProperties>
</file>