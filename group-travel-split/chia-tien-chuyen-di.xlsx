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i phí" sheetId="1" state="visible" r:id="rId1"/>
    <sheet name="Chốt sổ" sheetId="2" state="visible" r:id="rId2"/>
    <sheet name="Chuyển tiề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-"/>
  </numFmts>
  <fonts count="14">
    <font>
      <name val="Calibri"/>
      <family val="2"/>
      <color theme="1"/>
      <sz val="11"/>
      <scheme val="minor"/>
    </font>
    <font>
      <name val="Arial"/>
      <b val="1"/>
      <color rgb="001F3B4D"/>
      <sz val="14"/>
    </font>
    <font>
      <name val="Arial"/>
      <i val="1"/>
      <color rgb="005A6B71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B4D"/>
      <sz val="9"/>
    </font>
    <font>
      <name val="Arial"/>
      <color rgb="005A6B71"/>
      <sz val="10"/>
    </font>
    <font>
      <name val="Arial"/>
      <b val="1"/>
      <color rgb="00008000"/>
      <sz val="10"/>
    </font>
    <font>
      <name val="Arial"/>
      <color rgb="005A6B71"/>
      <sz val="9"/>
    </font>
  </fonts>
  <fills count="6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EDF2F4"/>
      </patternFill>
    </fill>
    <fill>
      <patternFill patternType="solid">
        <fgColor rgb="00DCE6EC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 style="thin">
        <color rgb="00B7C4CC"/>
      </left>
      <right style="thin">
        <color rgb="00B7C4CC"/>
      </right>
      <top style="thin">
        <color rgb="00B7C4CC"/>
      </top>
      <bottom style="thin">
        <color rgb="00B7C4CC"/>
      </bottom>
    </border>
    <border>
      <left style="thin">
        <color rgb="00B7C4CC"/>
      </left>
      <right style="thin">
        <color rgb="00B7C4CC"/>
      </right>
      <top style="medium">
        <color rgb="001F3B4D"/>
      </top>
      <bottom style="medium">
        <color rgb="001F3B4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164" fontId="6" fillId="3" borderId="1" pivotButton="0" quotePrefix="0" xfId="0"/>
    <xf numFmtId="164" fontId="7" fillId="3" borderId="1" pivotButton="0" quotePrefix="0" xfId="0"/>
    <xf numFmtId="0" fontId="5" fillId="4" borderId="2" pivotButton="0" quotePrefix="0" xfId="0"/>
    <xf numFmtId="164" fontId="5" fillId="4" borderId="2" pivotButton="0" quotePrefix="0" xfId="0"/>
    <xf numFmtId="0" fontId="2" fillId="5" borderId="0" pivotButton="0" quotePrefix="0" xfId="0"/>
    <xf numFmtId="1" fontId="6" fillId="0" borderId="1" pivotButton="0" quotePrefix="0" xfId="0"/>
    <xf numFmtId="3" fontId="6" fillId="0" borderId="1" pivotButton="0" quotePrefix="0" xfId="0"/>
    <xf numFmtId="3" fontId="8" fillId="0" borderId="1" pivotButton="0" quotePrefix="0" xfId="0"/>
    <xf numFmtId="3" fontId="7" fillId="0" borderId="1" pivotButton="0" quotePrefix="0" xfId="0"/>
    <xf numFmtId="0" fontId="5" fillId="4" borderId="1" pivotButton="0" quotePrefix="0" xfId="0"/>
    <xf numFmtId="3" fontId="9" fillId="4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3" borderId="1" pivotButton="0" quotePrefix="0" xfId="0"/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10" fillId="0" borderId="0" pivotButton="0" quotePrefix="0" xfId="0"/>
    <xf numFmtId="0" fontId="11" fillId="0" borderId="1" applyAlignment="1" pivotButton="0" quotePrefix="0" xfId="0">
      <alignment horizontal="center"/>
    </xf>
    <xf numFmtId="164" fontId="12" fillId="0" borderId="1" pivotButton="0" quotePrefix="0" xfId="0"/>
    <xf numFmtId="0" fontId="11" fillId="3" borderId="1" applyAlignment="1" pivotButton="0" quotePrefix="0" xfId="0">
      <alignment horizontal="center"/>
    </xf>
    <xf numFmtId="164" fontId="12" fillId="3" borderId="1" pivotButton="0" quotePrefix="0" xfId="0"/>
    <xf numFmtId="0" fontId="0" fillId="4" borderId="2" pivotButton="0" quotePrefix="0" xfId="0"/>
    <xf numFmtId="164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4" customWidth="1" min="4" max="4"/>
    <col width="14" customWidth="1" min="5" max="5"/>
    <col width="15" customWidth="1" min="6" max="6"/>
  </cols>
  <sheetData>
    <row r="1">
      <c r="A1" s="1" t="inlineStr">
        <is>
          <t>CHI PHÍ CHUYẾN ĐI</t>
        </is>
      </c>
    </row>
    <row r="2">
      <c r="A2" s="2" t="inlineStr">
        <is>
          <t>Ô chữ xanh = số liệu nhập tay, ô chữ đen = công thức tự tính.</t>
        </is>
      </c>
    </row>
    <row r="4">
      <c r="A4" s="3" t="inlineStr">
        <is>
          <t>Khoản chi</t>
        </is>
      </c>
      <c r="B4" s="3" t="inlineStr">
        <is>
          <t>Số tiền</t>
        </is>
      </c>
      <c r="C4" s="3" t="inlineStr">
        <is>
          <t>Chi trả</t>
        </is>
      </c>
      <c r="D4" s="3" t="inlineStr">
        <is>
          <t>Tú trả</t>
        </is>
      </c>
      <c r="E4" s="3" t="inlineStr">
        <is>
          <t>Việt trả</t>
        </is>
      </c>
      <c r="F4" s="3" t="inlineStr">
        <is>
          <t>Mỗi người</t>
        </is>
      </c>
    </row>
    <row r="5">
      <c r="A5" s="4" t="inlineStr">
        <is>
          <t>Lưu trú</t>
        </is>
      </c>
      <c r="B5" s="5">
        <f>SUM(C5:E5)</f>
        <v/>
      </c>
      <c r="C5" s="6" t="n">
        <v>13700000</v>
      </c>
      <c r="D5" s="6" t="n">
        <v>0</v>
      </c>
      <c r="E5" s="6" t="n">
        <v>0</v>
      </c>
      <c r="F5" s="7">
        <f>B5/'Chốt sổ'!$B$4</f>
        <v/>
      </c>
    </row>
    <row r="6">
      <c r="A6" s="8" t="inlineStr">
        <is>
          <t>Ăn trưa Cậu Khấu</t>
        </is>
      </c>
      <c r="B6" s="9">
        <f>SUM(C6:E6)</f>
        <v/>
      </c>
      <c r="C6" s="10" t="n">
        <v>1228000</v>
      </c>
      <c r="D6" s="10" t="n">
        <v>0</v>
      </c>
      <c r="E6" s="10" t="n">
        <v>0</v>
      </c>
      <c r="F6" s="11">
        <f>B6/'Chốt sổ'!$B$4</f>
        <v/>
      </c>
    </row>
    <row r="7">
      <c r="A7" s="4" t="inlineStr">
        <is>
          <t>Ăn tối Hồng Phát</t>
        </is>
      </c>
      <c r="B7" s="5">
        <f>SUM(C7:E7)</f>
        <v/>
      </c>
      <c r="C7" s="6" t="n">
        <v>2257400</v>
      </c>
      <c r="D7" s="6" t="n">
        <v>0</v>
      </c>
      <c r="E7" s="6" t="n">
        <v>0</v>
      </c>
      <c r="F7" s="7">
        <f>B7/'Chốt sổ'!$B$4</f>
        <v/>
      </c>
    </row>
    <row r="8">
      <c r="A8" s="8" t="inlineStr">
        <is>
          <t>Bar</t>
        </is>
      </c>
      <c r="B8" s="9">
        <f>SUM(C8:E8)</f>
        <v/>
      </c>
      <c r="C8" s="10" t="n">
        <v>1075200</v>
      </c>
      <c r="D8" s="10" t="n">
        <v>0</v>
      </c>
      <c r="E8" s="10" t="n">
        <v>0</v>
      </c>
      <c r="F8" s="11">
        <f>B8/'Chốt sổ'!$B$4</f>
        <v/>
      </c>
    </row>
    <row r="9">
      <c r="A9" s="4" t="inlineStr">
        <is>
          <t>Ăn sáng</t>
        </is>
      </c>
      <c r="B9" s="5">
        <f>SUM(C9:E9)</f>
        <v/>
      </c>
      <c r="C9" s="6" t="n">
        <v>680000</v>
      </c>
      <c r="D9" s="6" t="n">
        <v>0</v>
      </c>
      <c r="E9" s="6" t="n">
        <v>0</v>
      </c>
      <c r="F9" s="7">
        <f>B9/'Chốt sổ'!$B$4</f>
        <v/>
      </c>
    </row>
    <row r="10">
      <c r="A10" s="8" t="inlineStr">
        <is>
          <t>Cafe sáng</t>
        </is>
      </c>
      <c r="B10" s="9">
        <f>SUM(C10:E10)</f>
        <v/>
      </c>
      <c r="C10" s="10" t="n">
        <v>723600</v>
      </c>
      <c r="D10" s="10" t="n">
        <v>0</v>
      </c>
      <c r="E10" s="10" t="n">
        <v>0</v>
      </c>
      <c r="F10" s="11">
        <f>B10/'Chốt sổ'!$B$4</f>
        <v/>
      </c>
    </row>
    <row r="11">
      <c r="A11" s="4" t="inlineStr">
        <is>
          <t>Ăn tối BBQ</t>
        </is>
      </c>
      <c r="B11" s="5">
        <f>SUM(C11:E11)</f>
        <v/>
      </c>
      <c r="C11" s="6" t="n">
        <v>0</v>
      </c>
      <c r="D11" s="6" t="n">
        <v>1100000</v>
      </c>
      <c r="E11" s="6" t="n">
        <v>1000000</v>
      </c>
      <c r="F11" s="7">
        <f>B11/'Chốt sổ'!$B$4</f>
        <v/>
      </c>
    </row>
    <row r="12">
      <c r="A12" s="8" t="inlineStr">
        <is>
          <t>Ăn sáng 2</t>
        </is>
      </c>
      <c r="B12" s="9">
        <f>SUM(C12:E12)</f>
        <v/>
      </c>
      <c r="C12" s="10" t="n">
        <v>645000</v>
      </c>
      <c r="D12" s="10" t="n">
        <v>0</v>
      </c>
      <c r="E12" s="10" t="n">
        <v>0</v>
      </c>
      <c r="F12" s="11">
        <f>B12/'Chốt sổ'!$B$4</f>
        <v/>
      </c>
    </row>
    <row r="13">
      <c r="A13" s="4" t="inlineStr">
        <is>
          <t>Snack</t>
        </is>
      </c>
      <c r="B13" s="5">
        <f>SUM(C13:E13)</f>
        <v/>
      </c>
      <c r="C13" s="6" t="n">
        <v>584445</v>
      </c>
      <c r="D13" s="6" t="n">
        <v>0</v>
      </c>
      <c r="E13" s="6" t="n">
        <v>0</v>
      </c>
      <c r="F13" s="7">
        <f>B13/'Chốt sổ'!$B$4</f>
        <v/>
      </c>
    </row>
    <row r="14">
      <c r="A14" s="8" t="inlineStr">
        <is>
          <t>Snack (thêm)</t>
        </is>
      </c>
      <c r="B14" s="9">
        <f>SUM(C14:E14)</f>
        <v/>
      </c>
      <c r="C14" s="10" t="n">
        <v>180000</v>
      </c>
      <c r="D14" s="10" t="n">
        <v>0</v>
      </c>
      <c r="E14" s="10" t="n">
        <v>0</v>
      </c>
      <c r="F14" s="11">
        <f>B14/'Chốt sổ'!$B$4</f>
        <v/>
      </c>
    </row>
    <row r="15">
      <c r="A15" s="12" t="inlineStr">
        <is>
          <t>TỔNG</t>
        </is>
      </c>
      <c r="B15" s="13">
        <f>SUM(B5:B14)</f>
        <v/>
      </c>
      <c r="C15" s="13">
        <f>SUM(C5:C14)</f>
        <v/>
      </c>
      <c r="D15" s="13">
        <f>SUM(D5:D14)</f>
        <v/>
      </c>
      <c r="E15" s="13">
        <f>SUM(E5:E14)</f>
        <v/>
      </c>
      <c r="F15" s="13">
        <f>SUM(F5:F14)</f>
        <v/>
      </c>
    </row>
    <row r="17">
      <c r="A17" s="14" t="inlineStr">
        <is>
          <t>Ghi chú: Toàn bộ các khoản do Chi thanh toán, trừ bữa BBQ do Tú trả 1.100.000 và Việt trả 1.000.000 (số liệu do người dùng cung cấp).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9" customWidth="1" min="3" max="3"/>
    <col width="15" customWidth="1" min="4" max="4"/>
    <col width="15" customWidth="1" min="5" max="5"/>
    <col width="20" customWidth="1" min="6" max="6"/>
    <col width="13" customWidth="1" min="7" max="7"/>
  </cols>
  <sheetData>
    <row r="1">
      <c r="A1" s="1" t="inlineStr">
        <is>
          <t>CHỐT SỔ — CHIA ĐỀU 6 NGƯỜI</t>
        </is>
      </c>
    </row>
    <row r="2">
      <c r="A2" s="2" t="inlineStr">
        <is>
          <t>Sửa số người / tiền cọc ở ô xanh, mọi kết quả bên dưới tự cập nhật.</t>
        </is>
      </c>
    </row>
    <row r="4">
      <c r="A4" s="4" t="inlineStr">
        <is>
          <t>Số người</t>
        </is>
      </c>
      <c r="B4" s="15" t="n">
        <v>6</v>
      </c>
    </row>
    <row r="5">
      <c r="A5" s="4" t="inlineStr">
        <is>
          <t>Tiền cọc mỗi người</t>
        </is>
      </c>
      <c r="B5" s="16" t="n">
        <v>3000000</v>
      </c>
    </row>
    <row r="6">
      <c r="A6" s="4" t="inlineStr">
        <is>
          <t>Tổng quỹ cọc</t>
        </is>
      </c>
      <c r="B6" s="17">
        <f>B4*B5</f>
        <v/>
      </c>
    </row>
    <row r="7">
      <c r="A7" s="4" t="inlineStr">
        <is>
          <t>Tổng chi phí</t>
        </is>
      </c>
      <c r="B7" s="18">
        <f>'Chi phí'!B15</f>
        <v/>
      </c>
    </row>
    <row r="8">
      <c r="A8" s="19" t="inlineStr">
        <is>
          <t>Mỗi người phải chịu</t>
        </is>
      </c>
      <c r="B8" s="20">
        <f>B7/B4</f>
        <v/>
      </c>
    </row>
    <row r="9">
      <c r="A9" s="19" t="inlineStr">
        <is>
          <t>Còn phải bù mỗi người</t>
        </is>
      </c>
      <c r="B9" s="20">
        <f>B8-B5</f>
        <v/>
      </c>
    </row>
    <row r="12">
      <c r="A12" s="3" t="inlineStr">
        <is>
          <t>Thành viên</t>
        </is>
      </c>
      <c r="B12" s="3" t="inlineStr">
        <is>
          <t>Cọc đã đóng</t>
        </is>
      </c>
      <c r="C12" s="3" t="inlineStr">
        <is>
          <t>Đã ứng ngoài quỹ</t>
        </is>
      </c>
      <c r="D12" s="3" t="inlineStr">
        <is>
          <t>Phải chịu</t>
        </is>
      </c>
      <c r="E12" s="3" t="inlineStr">
        <is>
          <t>Chênh lệch</t>
        </is>
      </c>
      <c r="F12" s="3" t="inlineStr">
        <is>
          <t>Chốt (làm tròn 100đ)</t>
        </is>
      </c>
      <c r="G12" s="3" t="inlineStr">
        <is>
          <t>Kết luận</t>
        </is>
      </c>
    </row>
    <row r="13">
      <c r="A13" s="21" t="inlineStr">
        <is>
          <t>Chi</t>
        </is>
      </c>
      <c r="B13" s="22">
        <f>$B$5</f>
        <v/>
      </c>
      <c r="C13" s="7">
        <f>'Chi phí'!C15-$B$6</f>
        <v/>
      </c>
      <c r="D13" s="22">
        <f>$B$8</f>
        <v/>
      </c>
      <c r="E13" s="22">
        <f>B13+C13-D13</f>
        <v/>
      </c>
      <c r="F13" s="5">
        <f>-SUM(F14:F18)</f>
        <v/>
      </c>
      <c r="G13" s="23">
        <f>IF(F13&gt;0,"Nhận về","Trả thêm")</f>
        <v/>
      </c>
    </row>
    <row r="14">
      <c r="A14" s="24" t="inlineStr">
        <is>
          <t>Quỳnh</t>
        </is>
      </c>
      <c r="B14" s="25">
        <f>$B$5</f>
        <v/>
      </c>
      <c r="C14" s="10" t="n">
        <v>0</v>
      </c>
      <c r="D14" s="25">
        <f>$B$8</f>
        <v/>
      </c>
      <c r="E14" s="25">
        <f>B14+C14-D14</f>
        <v/>
      </c>
      <c r="F14" s="9">
        <f>ROUND(E14,-2)</f>
        <v/>
      </c>
      <c r="G14" s="26">
        <f>IF(F14&gt;0,"Nhận về","Trả thêm")</f>
        <v/>
      </c>
    </row>
    <row r="15">
      <c r="A15" s="21" t="inlineStr">
        <is>
          <t>Hà</t>
        </is>
      </c>
      <c r="B15" s="22">
        <f>$B$5</f>
        <v/>
      </c>
      <c r="C15" s="6" t="n">
        <v>0</v>
      </c>
      <c r="D15" s="22">
        <f>$B$8</f>
        <v/>
      </c>
      <c r="E15" s="22">
        <f>B15+C15-D15</f>
        <v/>
      </c>
      <c r="F15" s="5">
        <f>ROUND(E15,-2)</f>
        <v/>
      </c>
      <c r="G15" s="23">
        <f>IF(F15&gt;0,"Nhận về","Trả thêm")</f>
        <v/>
      </c>
    </row>
    <row r="16">
      <c r="A16" s="24" t="inlineStr">
        <is>
          <t>Hiếu</t>
        </is>
      </c>
      <c r="B16" s="25">
        <f>$B$5</f>
        <v/>
      </c>
      <c r="C16" s="10" t="n">
        <v>0</v>
      </c>
      <c r="D16" s="25">
        <f>$B$8</f>
        <v/>
      </c>
      <c r="E16" s="25">
        <f>B16+C16-D16</f>
        <v/>
      </c>
      <c r="F16" s="9">
        <f>ROUND(E16,-2)</f>
        <v/>
      </c>
      <c r="G16" s="26">
        <f>IF(F16&gt;0,"Nhận về","Trả thêm")</f>
        <v/>
      </c>
    </row>
    <row r="17">
      <c r="A17" s="21" t="inlineStr">
        <is>
          <t>Việt</t>
        </is>
      </c>
      <c r="B17" s="22">
        <f>$B$5</f>
        <v/>
      </c>
      <c r="C17" s="7">
        <f>'Chi phí'!E15</f>
        <v/>
      </c>
      <c r="D17" s="22">
        <f>$B$8</f>
        <v/>
      </c>
      <c r="E17" s="22">
        <f>B17+C17-D17</f>
        <v/>
      </c>
      <c r="F17" s="5">
        <f>ROUND(E17,-2)</f>
        <v/>
      </c>
      <c r="G17" s="23">
        <f>IF(F17&gt;0,"Nhận về","Trả thêm")</f>
        <v/>
      </c>
    </row>
    <row r="18">
      <c r="A18" s="24" t="inlineStr">
        <is>
          <t>Tú</t>
        </is>
      </c>
      <c r="B18" s="25">
        <f>$B$5</f>
        <v/>
      </c>
      <c r="C18" s="11">
        <f>'Chi phí'!D15</f>
        <v/>
      </c>
      <c r="D18" s="25">
        <f>$B$8</f>
        <v/>
      </c>
      <c r="E18" s="25">
        <f>B18+C18-D18</f>
        <v/>
      </c>
      <c r="F18" s="9">
        <f>ROUND(E18,-2)</f>
        <v/>
      </c>
      <c r="G18" s="26">
        <f>IF(F18&gt;0,"Nhận về","Trả thêm")</f>
        <v/>
      </c>
    </row>
    <row r="19">
      <c r="A19" s="12" t="inlineStr">
        <is>
          <t>TỔNG</t>
        </is>
      </c>
      <c r="B19" s="13">
        <f>SUM(B13:B18)</f>
        <v/>
      </c>
      <c r="C19" s="13">
        <f>SUM(C13:C18)</f>
        <v/>
      </c>
      <c r="D19" s="13">
        <f>SUM(D13:D18)</f>
        <v/>
      </c>
      <c r="E19" s="13">
        <f>SUM(E13:E18)</f>
        <v/>
      </c>
      <c r="F19" s="13">
        <f>SUM(F13:F18)</f>
        <v/>
      </c>
      <c r="G19" s="27">
        <f>IF(ROUND(E19,2)=0,"Cân sổ","LỆCH!")</f>
        <v/>
      </c>
    </row>
    <row r="21">
      <c r="A21" s="28" t="inlineStr">
        <is>
          <t>CÁCH TÍNH</t>
        </is>
      </c>
    </row>
    <row r="22">
      <c r="A22" s="14" t="inlineStr">
        <is>
          <t>• Giả định: tiền cọc 3.000.000/người được gom thành quỹ chung do Chi giữ và Chi dùng quỹ này để thanh toán.</t>
        </is>
      </c>
    </row>
    <row r="23">
      <c r="A23" s="14" t="inlineStr">
        <is>
          <t>• 'Đã ứng ngoài quỹ' của Chi = tổng Chi thanh toán (21.073.645) − tổng quỹ cọc (18.000.000) = 3.073.645 tiền túi.</t>
        </is>
      </c>
    </row>
    <row r="24">
      <c r="A24" s="14" t="inlineStr">
        <is>
          <t>• Tú và Việt trả bữa BBQ trực tiếp nên toàn bộ số đó là tiền ứng ngoài quỹ.</t>
        </is>
      </c>
    </row>
    <row r="25">
      <c r="A25" s="14" t="inlineStr">
        <is>
          <t>• Chênh lệch = Cọc đã đóng + Đã ứng ngoài quỹ − Phải chịu. Dương = được nhận lại, âm = phải trả thêm.</t>
        </is>
      </c>
    </row>
    <row r="26">
      <c r="A26" s="14" t="inlineStr">
        <is>
          <t>• Cột 'Chốt' làm tròn đến 100đ; phần lẻ do làm tròn được gom vào dòng của Chi để tổng thu và tổng chi luôn khớp.</t>
        </is>
      </c>
    </row>
    <row r="27">
      <c r="A27" s="14" t="inlineStr">
        <is>
          <t>• Nếu tiền cọc thực tế nộp cho bên khác (không phải Chi giữ), hãy sửa lại cột 'Đã ứng ngoài quỹ' cho đúng.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CHUYỂN TIỀN — 5 LƯỢT LÀ XONG</t>
        </is>
      </c>
    </row>
    <row r="2">
      <c r="A2" s="2" t="inlineStr">
        <is>
          <t>Số tiền lấy trực tiếp từ cột 'Chốt' của sheet Chốt sổ.</t>
        </is>
      </c>
    </row>
    <row r="4">
      <c r="A4" s="3" t="inlineStr">
        <is>
          <t>#</t>
        </is>
      </c>
      <c r="B4" s="3" t="inlineStr">
        <is>
          <t>Người chuyển</t>
        </is>
      </c>
      <c r="C4" s="3" t="inlineStr">
        <is>
          <t>Người nhận</t>
        </is>
      </c>
      <c r="D4" s="3" t="inlineStr">
        <is>
          <t>Số tiền</t>
        </is>
      </c>
    </row>
    <row r="5">
      <c r="A5" s="29" t="n">
        <v>1</v>
      </c>
      <c r="B5" s="21" t="inlineStr">
        <is>
          <t>Quỳnh</t>
        </is>
      </c>
      <c r="C5" s="4" t="inlineStr">
        <is>
          <t>Chi</t>
        </is>
      </c>
      <c r="D5" s="30">
        <f>-'Chốt sổ'!F14</f>
        <v/>
      </c>
    </row>
    <row r="6">
      <c r="A6" s="31" t="n">
        <v>2</v>
      </c>
      <c r="B6" s="24" t="inlineStr">
        <is>
          <t>Hà</t>
        </is>
      </c>
      <c r="C6" s="8" t="inlineStr">
        <is>
          <t>Chi</t>
        </is>
      </c>
      <c r="D6" s="32">
        <f>-'Chốt sổ'!F15</f>
        <v/>
      </c>
    </row>
    <row r="7">
      <c r="A7" s="29" t="n">
        <v>3</v>
      </c>
      <c r="B7" s="21" t="inlineStr">
        <is>
          <t>Hiếu</t>
        </is>
      </c>
      <c r="C7" s="4" t="inlineStr">
        <is>
          <t>Tú</t>
        </is>
      </c>
      <c r="D7" s="30">
        <f>'Chốt sổ'!F18</f>
        <v/>
      </c>
    </row>
    <row r="8">
      <c r="A8" s="31" t="n">
        <v>4</v>
      </c>
      <c r="B8" s="24" t="inlineStr">
        <is>
          <t>Hiếu</t>
        </is>
      </c>
      <c r="C8" s="8" t="inlineStr">
        <is>
          <t>Việt</t>
        </is>
      </c>
      <c r="D8" s="32">
        <f>'Chốt sổ'!F17</f>
        <v/>
      </c>
    </row>
    <row r="9">
      <c r="A9" s="29" t="n">
        <v>5</v>
      </c>
      <c r="B9" s="21" t="inlineStr">
        <is>
          <t>Hiếu</t>
        </is>
      </c>
      <c r="C9" s="4" t="inlineStr">
        <is>
          <t>Chi</t>
        </is>
      </c>
      <c r="D9" s="30">
        <f>-'Chốt sổ'!F16-D7-D8</f>
        <v/>
      </c>
    </row>
    <row r="10">
      <c r="A10" s="33" t="n"/>
      <c r="B10" s="12" t="inlineStr">
        <is>
          <t>TỔNG</t>
        </is>
      </c>
      <c r="C10" s="33" t="n"/>
      <c r="D10" s="13">
        <f>SUM(D5:D9)</f>
        <v/>
      </c>
    </row>
    <row r="12">
      <c r="B12" s="28" t="inlineStr">
        <is>
          <t>KIỂM TRA</t>
        </is>
      </c>
    </row>
    <row r="13">
      <c r="B13" s="2" t="inlineStr">
        <is>
          <t>Chi nhận đủ</t>
        </is>
      </c>
      <c r="D13" s="34">
        <f>D5+D6+D9</f>
        <v/>
      </c>
    </row>
    <row r="14">
      <c r="B14" s="2" t="inlineStr">
        <is>
          <t>Tú nhận đủ</t>
        </is>
      </c>
      <c r="D14" s="34">
        <f>D7</f>
        <v/>
      </c>
    </row>
    <row r="15">
      <c r="B15" s="2" t="inlineStr">
        <is>
          <t>Việt nhận đủ</t>
        </is>
      </c>
      <c r="D15" s="34">
        <f>D8</f>
        <v/>
      </c>
    </row>
    <row r="16">
      <c r="B16" s="2" t="inlineStr">
        <is>
          <t>Hiếu chuyển đi tổng</t>
        </is>
      </c>
      <c r="D16" s="34">
        <f>D7+D8+D9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2026-08-08T15:24:18Z</dcterms:created>
  <dcterms:modified xsi:type="dcterms:W3CDTF">2026-08-08T15:24:18Z</dcterms:modified>
</cp:coreProperties>
</file>