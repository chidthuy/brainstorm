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a tiề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9">
    <font>
      <name val="Calibri"/>
      <family val="2"/>
      <color theme="1"/>
      <sz val="11"/>
      <scheme val="minor"/>
    </font>
    <font>
      <name val="Arial"/>
      <b val="1"/>
      <color rgb="001F3B4D"/>
      <sz val="14"/>
    </font>
    <font>
      <name val="Arial"/>
      <i val="1"/>
      <color rgb="005A6B71"/>
      <sz val="9"/>
    </font>
    <font>
      <name val="Arial"/>
      <b val="1"/>
      <color rgb="001F3B4D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1F3B4D"/>
      <sz val="9"/>
    </font>
  </fonts>
  <fills count="6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EDF2F4"/>
      </patternFill>
    </fill>
    <fill>
      <patternFill patternType="solid">
        <fgColor rgb="00DCE6EC"/>
      </patternFill>
    </fill>
    <fill>
      <patternFill patternType="solid">
        <fgColor rgb="00FFF9DB"/>
      </patternFill>
    </fill>
  </fills>
  <borders count="3">
    <border>
      <left/>
      <right/>
      <top/>
      <bottom/>
      <diagonal/>
    </border>
    <border>
      <left style="thin">
        <color rgb="00B7C4CC"/>
      </left>
      <right style="thin">
        <color rgb="00B7C4CC"/>
      </right>
      <top style="thin">
        <color rgb="00B7C4CC"/>
      </top>
      <bottom style="thin">
        <color rgb="00B7C4CC"/>
      </bottom>
    </border>
    <border>
      <left style="thin">
        <color rgb="00B7C4CC"/>
      </left>
      <right style="thin">
        <color rgb="00B7C4CC"/>
      </right>
      <top style="medium">
        <color rgb="001F3B4D"/>
      </top>
      <bottom style="medium">
        <color rgb="001F3B4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0" borderId="1" pivotButton="0" quotePrefix="0" xfId="0"/>
    <xf numFmtId="164" fontId="7" fillId="0" borderId="1" pivotButton="0" quotePrefix="0" xfId="0"/>
    <xf numFmtId="164" fontId="5" fillId="0" borderId="1" pivotButton="0" quotePrefix="0" xfId="0"/>
    <xf numFmtId="0" fontId="5" fillId="3" borderId="1" pivotButton="0" quotePrefix="0" xfId="0"/>
    <xf numFmtId="164" fontId="6" fillId="3" borderId="1" pivotButton="0" quotePrefix="0" xfId="0"/>
    <xf numFmtId="164" fontId="7" fillId="3" borderId="1" pivotButton="0" quotePrefix="0" xfId="0"/>
    <xf numFmtId="164" fontId="5" fillId="3" borderId="1" pivotButton="0" quotePrefix="0" xfId="0"/>
    <xf numFmtId="0" fontId="6" fillId="4" borderId="2" pivotButton="0" quotePrefix="0" xfId="0"/>
    <xf numFmtId="164" fontId="6" fillId="4" borderId="2" pivotButton="0" quotePrefix="0" xfId="0"/>
    <xf numFmtId="1" fontId="7" fillId="0" borderId="1" pivotButton="0" quotePrefix="0" xfId="0"/>
    <xf numFmtId="0" fontId="6" fillId="4" borderId="1" pivotButton="0" quotePrefix="0" xfId="0"/>
    <xf numFmtId="164" fontId="6" fillId="4" borderId="1" pivotButton="0" quotePrefix="0" xfId="0"/>
    <xf numFmtId="0" fontId="6" fillId="0" borderId="1" pivotButton="0" quotePrefix="0" xfId="0"/>
    <xf numFmtId="0" fontId="6" fillId="3" borderId="1" pivotButton="0" quotePrefix="0" xfId="0"/>
    <xf numFmtId="0" fontId="8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9" customWidth="1" min="3" max="3"/>
    <col width="16" customWidth="1" min="4" max="4"/>
    <col width="16" customWidth="1" min="5" max="5"/>
    <col width="21" customWidth="1" min="6" max="6"/>
  </cols>
  <sheetData>
    <row r="1">
      <c r="A1" s="1" t="inlineStr">
        <is>
          <t>BẢNG CHIA TIỀN CHUYẾN ĐI — 6 NGƯỜI</t>
        </is>
      </c>
    </row>
    <row r="2">
      <c r="A2" s="2" t="inlineStr">
        <is>
          <t>Ô chữ xanh là số nhập tay, còn lại tự tính. Sửa ô xanh là cả bảng cập nhật theo.</t>
        </is>
      </c>
    </row>
    <row r="4">
      <c r="A4" s="3" t="inlineStr">
        <is>
          <t>1. CHI PHÍ</t>
        </is>
      </c>
    </row>
    <row r="5">
      <c r="A5" s="4" t="inlineStr">
        <is>
          <t>Khoản chi</t>
        </is>
      </c>
      <c r="B5" s="4" t="inlineStr">
        <is>
          <t>Số tiền</t>
        </is>
      </c>
      <c r="C5" s="4" t="inlineStr">
        <is>
          <t>Chi trả</t>
        </is>
      </c>
      <c r="D5" s="4" t="inlineStr">
        <is>
          <t>Tú trả</t>
        </is>
      </c>
      <c r="E5" s="4" t="inlineStr">
        <is>
          <t>Việt trả</t>
        </is>
      </c>
      <c r="F5" s="4" t="inlineStr">
        <is>
          <t>Mỗi người</t>
        </is>
      </c>
    </row>
    <row r="6">
      <c r="A6" s="5" t="inlineStr">
        <is>
          <t>Lưu trú</t>
        </is>
      </c>
      <c r="B6" s="6">
        <f>SUM(C6:E6)</f>
        <v/>
      </c>
      <c r="C6" s="7" t="n">
        <v>13700000</v>
      </c>
      <c r="D6" s="7" t="n">
        <v>0</v>
      </c>
      <c r="E6" s="7" t="n">
        <v>0</v>
      </c>
      <c r="F6" s="8">
        <f>B6/$B$18</f>
        <v/>
      </c>
    </row>
    <row r="7">
      <c r="A7" s="9" t="inlineStr">
        <is>
          <t>Ăn trưa Cậu Khấu</t>
        </is>
      </c>
      <c r="B7" s="10">
        <f>SUM(C7:E7)</f>
        <v/>
      </c>
      <c r="C7" s="11" t="n">
        <v>1228000</v>
      </c>
      <c r="D7" s="11" t="n">
        <v>0</v>
      </c>
      <c r="E7" s="11" t="n">
        <v>0</v>
      </c>
      <c r="F7" s="12">
        <f>B7/$B$18</f>
        <v/>
      </c>
    </row>
    <row r="8">
      <c r="A8" s="5" t="inlineStr">
        <is>
          <t>Ăn tối Hồng Phát</t>
        </is>
      </c>
      <c r="B8" s="6">
        <f>SUM(C8:E8)</f>
        <v/>
      </c>
      <c r="C8" s="7" t="n">
        <v>2257400</v>
      </c>
      <c r="D8" s="7" t="n">
        <v>0</v>
      </c>
      <c r="E8" s="7" t="n">
        <v>0</v>
      </c>
      <c r="F8" s="8">
        <f>B8/$B$18</f>
        <v/>
      </c>
    </row>
    <row r="9">
      <c r="A9" s="9" t="inlineStr">
        <is>
          <t>Bar</t>
        </is>
      </c>
      <c r="B9" s="10">
        <f>SUM(C9:E9)</f>
        <v/>
      </c>
      <c r="C9" s="11" t="n">
        <v>1075200</v>
      </c>
      <c r="D9" s="11" t="n">
        <v>0</v>
      </c>
      <c r="E9" s="11" t="n">
        <v>0</v>
      </c>
      <c r="F9" s="12">
        <f>B9/$B$18</f>
        <v/>
      </c>
    </row>
    <row r="10">
      <c r="A10" s="5" t="inlineStr">
        <is>
          <t>Ăn sáng</t>
        </is>
      </c>
      <c r="B10" s="6">
        <f>SUM(C10:E10)</f>
        <v/>
      </c>
      <c r="C10" s="7" t="n">
        <v>680000</v>
      </c>
      <c r="D10" s="7" t="n">
        <v>0</v>
      </c>
      <c r="E10" s="7" t="n">
        <v>0</v>
      </c>
      <c r="F10" s="8">
        <f>B10/$B$18</f>
        <v/>
      </c>
    </row>
    <row r="11">
      <c r="A11" s="9" t="inlineStr">
        <is>
          <t>Cafe sáng</t>
        </is>
      </c>
      <c r="B11" s="10">
        <f>SUM(C11:E11)</f>
        <v/>
      </c>
      <c r="C11" s="11" t="n">
        <v>723600</v>
      </c>
      <c r="D11" s="11" t="n">
        <v>0</v>
      </c>
      <c r="E11" s="11" t="n">
        <v>0</v>
      </c>
      <c r="F11" s="12">
        <f>B11/$B$18</f>
        <v/>
      </c>
    </row>
    <row r="12">
      <c r="A12" s="5" t="inlineStr">
        <is>
          <t>Ăn tối BBQ</t>
        </is>
      </c>
      <c r="B12" s="6">
        <f>SUM(C12:E12)</f>
        <v/>
      </c>
      <c r="C12" s="7" t="n">
        <v>0</v>
      </c>
      <c r="D12" s="7" t="n">
        <v>1100000</v>
      </c>
      <c r="E12" s="7" t="n">
        <v>1000000</v>
      </c>
      <c r="F12" s="8">
        <f>B12/$B$18</f>
        <v/>
      </c>
    </row>
    <row r="13">
      <c r="A13" s="9" t="inlineStr">
        <is>
          <t>Ăn sáng 2</t>
        </is>
      </c>
      <c r="B13" s="10">
        <f>SUM(C13:E13)</f>
        <v/>
      </c>
      <c r="C13" s="11" t="n">
        <v>645000</v>
      </c>
      <c r="D13" s="11" t="n">
        <v>0</v>
      </c>
      <c r="E13" s="11" t="n">
        <v>0</v>
      </c>
      <c r="F13" s="12">
        <f>B13/$B$18</f>
        <v/>
      </c>
    </row>
    <row r="14">
      <c r="A14" s="5" t="inlineStr">
        <is>
          <t>Snack</t>
        </is>
      </c>
      <c r="B14" s="6">
        <f>SUM(C14:E14)</f>
        <v/>
      </c>
      <c r="C14" s="7" t="n">
        <v>584445</v>
      </c>
      <c r="D14" s="7" t="n">
        <v>0</v>
      </c>
      <c r="E14" s="7" t="n">
        <v>0</v>
      </c>
      <c r="F14" s="8">
        <f>B14/$B$18</f>
        <v/>
      </c>
    </row>
    <row r="15">
      <c r="A15" s="9" t="inlineStr">
        <is>
          <t>Snack (thêm)</t>
        </is>
      </c>
      <c r="B15" s="10">
        <f>SUM(C15:E15)</f>
        <v/>
      </c>
      <c r="C15" s="11" t="n">
        <v>180000</v>
      </c>
      <c r="D15" s="11" t="n">
        <v>0</v>
      </c>
      <c r="E15" s="11" t="n">
        <v>0</v>
      </c>
      <c r="F15" s="12">
        <f>B15/$B$18</f>
        <v/>
      </c>
    </row>
    <row r="16">
      <c r="A16" s="13" t="inlineStr">
        <is>
          <t>TỔNG CHI</t>
        </is>
      </c>
      <c r="B16" s="14">
        <f>SUM(B6:B15)</f>
        <v/>
      </c>
      <c r="C16" s="14">
        <f>SUM(C6:C15)</f>
        <v/>
      </c>
      <c r="D16" s="14">
        <f>SUM(D6:D15)</f>
        <v/>
      </c>
      <c r="E16" s="14">
        <f>SUM(E6:E15)</f>
        <v/>
      </c>
      <c r="F16" s="14">
        <f>SUM(F6:F15)</f>
        <v/>
      </c>
    </row>
    <row r="18">
      <c r="A18" s="5" t="inlineStr">
        <is>
          <t>Số người</t>
        </is>
      </c>
      <c r="B18" s="15" t="n">
        <v>6</v>
      </c>
    </row>
    <row r="19">
      <c r="A19" s="5" t="inlineStr">
        <is>
          <t>Tiền cọc mỗi người</t>
        </is>
      </c>
      <c r="B19" s="7" t="n">
        <v>3000000</v>
      </c>
    </row>
    <row r="20">
      <c r="A20" s="5" t="inlineStr">
        <is>
          <t>Tổng quỹ cọc</t>
        </is>
      </c>
      <c r="B20" s="8">
        <f>B18*B19</f>
        <v/>
      </c>
    </row>
    <row r="21">
      <c r="A21" s="5" t="inlineStr">
        <is>
          <t>Tổng chi phí</t>
        </is>
      </c>
      <c r="B21" s="8">
        <f>B16</f>
        <v/>
      </c>
    </row>
    <row r="22">
      <c r="A22" s="16" t="inlineStr">
        <is>
          <t>Mỗi người phải chịu</t>
        </is>
      </c>
      <c r="B22" s="17">
        <f>B21/B18</f>
        <v/>
      </c>
    </row>
    <row r="23">
      <c r="A23" s="16" t="inlineStr">
        <is>
          <t>Còn phải bù mỗi người</t>
        </is>
      </c>
      <c r="B23" s="17">
        <f>B22-B19</f>
        <v/>
      </c>
    </row>
    <row r="25">
      <c r="A25" s="3" t="inlineStr">
        <is>
          <t>2. CHỐT SỔ</t>
        </is>
      </c>
    </row>
    <row r="26">
      <c r="A26" s="4" t="inlineStr">
        <is>
          <t>Thành viên</t>
        </is>
      </c>
      <c r="B26" s="4" t="inlineStr">
        <is>
          <t>Cọc đã đóng</t>
        </is>
      </c>
      <c r="C26" s="4" t="inlineStr">
        <is>
          <t>Đã ứng ngoài quỹ</t>
        </is>
      </c>
      <c r="D26" s="4" t="inlineStr">
        <is>
          <t>Phải chịu</t>
        </is>
      </c>
      <c r="E26" s="4" t="inlineStr">
        <is>
          <t>Chênh lệch</t>
        </is>
      </c>
      <c r="F26" s="4" t="inlineStr">
        <is>
          <t>Chốt (làm tròn 100đ)</t>
        </is>
      </c>
    </row>
    <row r="27">
      <c r="A27" s="18" t="inlineStr">
        <is>
          <t>Chi</t>
        </is>
      </c>
      <c r="B27" s="8">
        <f>$B$19</f>
        <v/>
      </c>
      <c r="C27" s="8">
        <f>C16-$B$20</f>
        <v/>
      </c>
      <c r="D27" s="8">
        <f>$B$22</f>
        <v/>
      </c>
      <c r="E27" s="8">
        <f>B27+C27-D27</f>
        <v/>
      </c>
      <c r="F27" s="6">
        <f>-SUM(F28:F32)</f>
        <v/>
      </c>
    </row>
    <row r="28">
      <c r="A28" s="19" t="inlineStr">
        <is>
          <t>Quỳnh</t>
        </is>
      </c>
      <c r="B28" s="12">
        <f>$B$19</f>
        <v/>
      </c>
      <c r="C28" s="11" t="n">
        <v>0</v>
      </c>
      <c r="D28" s="12">
        <f>$B$22</f>
        <v/>
      </c>
      <c r="E28" s="12">
        <f>B28+C28-D28</f>
        <v/>
      </c>
      <c r="F28" s="10">
        <f>ROUND(E28,-2)</f>
        <v/>
      </c>
    </row>
    <row r="29">
      <c r="A29" s="18" t="inlineStr">
        <is>
          <t>Hà</t>
        </is>
      </c>
      <c r="B29" s="8">
        <f>$B$19</f>
        <v/>
      </c>
      <c r="C29" s="7" t="n">
        <v>0</v>
      </c>
      <c r="D29" s="8">
        <f>$B$22</f>
        <v/>
      </c>
      <c r="E29" s="8">
        <f>B29+C29-D29</f>
        <v/>
      </c>
      <c r="F29" s="6">
        <f>ROUND(E29,-2)</f>
        <v/>
      </c>
    </row>
    <row r="30">
      <c r="A30" s="19" t="inlineStr">
        <is>
          <t>Hiếu</t>
        </is>
      </c>
      <c r="B30" s="12">
        <f>$B$19</f>
        <v/>
      </c>
      <c r="C30" s="11" t="n">
        <v>0</v>
      </c>
      <c r="D30" s="12">
        <f>$B$22</f>
        <v/>
      </c>
      <c r="E30" s="12">
        <f>B30+C30-D30</f>
        <v/>
      </c>
      <c r="F30" s="10">
        <f>ROUND(E30,-2)</f>
        <v/>
      </c>
    </row>
    <row r="31">
      <c r="A31" s="18" t="inlineStr">
        <is>
          <t>Việt</t>
        </is>
      </c>
      <c r="B31" s="8">
        <f>$B$19</f>
        <v/>
      </c>
      <c r="C31" s="8">
        <f>E16</f>
        <v/>
      </c>
      <c r="D31" s="8">
        <f>$B$22</f>
        <v/>
      </c>
      <c r="E31" s="8">
        <f>B31+C31-D31</f>
        <v/>
      </c>
      <c r="F31" s="6">
        <f>ROUND(E31,-2)</f>
        <v/>
      </c>
    </row>
    <row r="32">
      <c r="A32" s="19" t="inlineStr">
        <is>
          <t>Tú</t>
        </is>
      </c>
      <c r="B32" s="12">
        <f>$B$19</f>
        <v/>
      </c>
      <c r="C32" s="12">
        <f>D16</f>
        <v/>
      </c>
      <c r="D32" s="12">
        <f>$B$22</f>
        <v/>
      </c>
      <c r="E32" s="12">
        <f>B32+C32-D32</f>
        <v/>
      </c>
      <c r="F32" s="10">
        <f>ROUND(E32,-2)</f>
        <v/>
      </c>
    </row>
    <row r="33">
      <c r="A33" s="13" t="inlineStr">
        <is>
          <t>TỔNG</t>
        </is>
      </c>
      <c r="B33" s="14">
        <f>SUM(B27:B32)</f>
        <v/>
      </c>
      <c r="C33" s="14">
        <f>SUM(C27:C32)</f>
        <v/>
      </c>
      <c r="D33" s="14">
        <f>SUM(D27:D32)</f>
        <v/>
      </c>
      <c r="E33" s="14">
        <f>SUM(E27:E32)</f>
        <v/>
      </c>
      <c r="F33" s="14">
        <f>SUM(F27:F32)</f>
        <v/>
      </c>
    </row>
    <row r="34">
      <c r="A34" s="2" t="inlineStr">
        <is>
          <t>Chênh lệch dương = được nhận lại, âm = phải trả thêm. Cột TỔNG của 'Chênh lệch' phải bằng 0 thì sổ mới cân.</t>
        </is>
      </c>
    </row>
    <row r="36">
      <c r="A36" s="3" t="inlineStr">
        <is>
          <t>3. CHUYỂN TIỀN (5 lượt là xong)</t>
        </is>
      </c>
    </row>
    <row r="37">
      <c r="A37" s="5" t="inlineStr">
        <is>
          <t>Quỳnh  →  Chi</t>
        </is>
      </c>
      <c r="B37" s="6">
        <f>-F28</f>
        <v/>
      </c>
    </row>
    <row r="38">
      <c r="A38" s="5" t="inlineStr">
        <is>
          <t>Hà  →  Chi</t>
        </is>
      </c>
      <c r="B38" s="6">
        <f>-F29</f>
        <v/>
      </c>
    </row>
    <row r="39">
      <c r="A39" s="5" t="inlineStr">
        <is>
          <t>Hiếu  →  Tú</t>
        </is>
      </c>
      <c r="B39" s="6">
        <f>F32</f>
        <v/>
      </c>
    </row>
    <row r="40">
      <c r="A40" s="5" t="inlineStr">
        <is>
          <t>Hiếu  →  Việt</t>
        </is>
      </c>
      <c r="B40" s="6">
        <f>F31</f>
        <v/>
      </c>
    </row>
    <row r="41">
      <c r="A41" s="5" t="inlineStr">
        <is>
          <t>Hiếu  →  Chi</t>
        </is>
      </c>
      <c r="B41" s="6">
        <f>-F30-B39-B40</f>
        <v/>
      </c>
    </row>
    <row r="44">
      <c r="A44" s="20" t="inlineStr">
        <is>
          <t>GHI CHÚ</t>
        </is>
      </c>
    </row>
    <row r="45">
      <c r="A45" s="21" t="inlineStr">
        <is>
          <t>• Giả định: tiền cọc 3.000.000/người gom thành quỹ chung do Chi giữ, và Chi dùng quỹ này để thanh toán.</t>
        </is>
      </c>
    </row>
    <row r="46">
      <c r="A46" s="21" t="inlineStr">
        <is>
          <t>• Toàn bộ các khoản do Chi trả, trừ bữa BBQ do Tú trả 1.100.000 và Việt trả 1.000.000 (số liệu người dùng cung cấp).</t>
        </is>
      </c>
    </row>
    <row r="47">
      <c r="A47" s="21" t="inlineStr">
        <is>
          <t>• 'Đã ứng ngoài quỹ' của Chi = tổng Chi thanh toán − tổng quỹ cọc, tức phần Chi bỏ tiền túi thêm.</t>
        </is>
      </c>
    </row>
    <row r="48">
      <c r="A48" s="21" t="inlineStr">
        <is>
          <t>• Cột 'Chốt' làm tròn đến 100đ; phần lẻ gom vào dòng của Chi để tổng thu và tổng chi luôn khớp.</t>
        </is>
      </c>
    </row>
    <row r="49">
      <c r="A49" s="21" t="inlineStr">
        <is>
          <t>• Nếu tiền cọc thực tế nộp cho bên khác chứ không phải Chi giữ, sửa lại cột 'Đã ứng ngoài quỹ' cho đúng.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2026-08-08T15:30:52Z</dcterms:created>
  <dcterms:modified xsi:type="dcterms:W3CDTF">2026-08-08T15:30:52Z</dcterms:modified>
</cp:coreProperties>
</file>